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defaultThemeVersion="124226"/>
  <mc:AlternateContent xmlns:mc="http://schemas.openxmlformats.org/markup-compatibility/2006">
    <mc:Choice Requires="x15">
      <x15ac:absPath xmlns:x15ac="http://schemas.microsoft.com/office/spreadsheetml/2010/11/ac" url="C:\Users\lenovo\Desktop\Interview\Al Tayer\"/>
    </mc:Choice>
  </mc:AlternateContent>
  <xr:revisionPtr revIDLastSave="0" documentId="13_ncr:1_{B9B901E6-D5CF-42BE-A5AB-B327AD482061}" xr6:coauthVersionLast="47" xr6:coauthVersionMax="47" xr10:uidLastSave="{00000000-0000-0000-0000-000000000000}"/>
  <bookViews>
    <workbookView xWindow="-110" yWindow="-110" windowWidth="19420" windowHeight="10300" tabRatio="682" activeTab="5" xr2:uid="{00000000-000D-0000-FFFF-FFFF00000000}"/>
  </bookViews>
  <sheets>
    <sheet name="Q # 1" sheetId="3" r:id="rId1"/>
    <sheet name="Q # 2" sheetId="5" r:id="rId2"/>
    <sheet name="Q # 3" sheetId="6" r:id="rId3"/>
    <sheet name="Q # 4" sheetId="10" r:id="rId4"/>
    <sheet name="Q # 5" sheetId="13" r:id="rId5"/>
    <sheet name="Report (Q # 5)" sheetId="15" r:id="rId6"/>
  </sheets>
  <definedNames>
    <definedName name="_xlnm._FilterDatabase" localSheetId="0" hidden="1">'Q # 1'!$A$6:$C$79</definedName>
    <definedName name="_xlnm._FilterDatabase" localSheetId="1" hidden="1">'Q # 2'!$A$7:$D$56</definedName>
    <definedName name="_xlnm._FilterDatabase" localSheetId="2" hidden="1">'Q # 3'!$A$6:$E$6</definedName>
    <definedName name="_xlnm._FilterDatabase" localSheetId="4" hidden="1">'Q # 5'!$A$6:$O$6</definedName>
    <definedName name="_xlchart.v2.0" hidden="1">'Report (Q # 5)'!$BG$3:$BG$12</definedName>
    <definedName name="_xlchart.v2.1" hidden="1">'Report (Q # 5)'!$BH$2</definedName>
    <definedName name="_xlchart.v2.2" hidden="1">'Report (Q # 5)'!$BH$3:$BH$12</definedName>
    <definedName name="_xlchart.v2.3" hidden="1">'Report (Q # 5)'!$BG$3:$BG$12</definedName>
    <definedName name="_xlchart.v2.4" hidden="1">'Report (Q # 5)'!$BH$2</definedName>
    <definedName name="_xlchart.v2.5" hidden="1">'Report (Q # 5)'!$BH$3:$BH$12</definedName>
    <definedName name="_xlnm.Print_Titles" localSheetId="0">'Q # 1'!$6:$6</definedName>
    <definedName name="Slicer_Department">#N/A</definedName>
    <definedName name="Slicer_Season">#N/A</definedName>
  </definedNames>
  <calcPr calcId="191028"/>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8" i="13" l="1"/>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8" i="13"/>
  <c r="P269" i="13"/>
  <c r="P270" i="13"/>
  <c r="P271" i="13"/>
  <c r="P272" i="13"/>
  <c r="P273" i="13"/>
  <c r="P274" i="13"/>
  <c r="P275" i="13"/>
  <c r="P276" i="13"/>
  <c r="P277" i="13"/>
  <c r="P278" i="13"/>
  <c r="P279" i="13"/>
  <c r="P280" i="13"/>
  <c r="P281" i="13"/>
  <c r="P282" i="13"/>
  <c r="P283" i="13"/>
  <c r="P284" i="13"/>
  <c r="P285" i="13"/>
  <c r="P286" i="13"/>
  <c r="P287" i="13"/>
  <c r="P288" i="13"/>
  <c r="P289" i="13"/>
  <c r="P290" i="13"/>
  <c r="P291" i="13"/>
  <c r="P292" i="13"/>
  <c r="P293" i="13"/>
  <c r="P294" i="13"/>
  <c r="P295" i="13"/>
  <c r="P296" i="13"/>
  <c r="P297" i="13"/>
  <c r="P298" i="13"/>
  <c r="P299" i="13"/>
  <c r="P300" i="13"/>
  <c r="P301" i="13"/>
  <c r="P302" i="13"/>
  <c r="P303" i="13"/>
  <c r="P304" i="13"/>
  <c r="P305" i="13"/>
  <c r="P306" i="13"/>
  <c r="P307" i="13"/>
  <c r="P308" i="13"/>
  <c r="P309" i="13"/>
  <c r="P310" i="13"/>
  <c r="P311" i="13"/>
  <c r="P312" i="13"/>
  <c r="P313" i="13"/>
  <c r="P314" i="13"/>
  <c r="P315" i="13"/>
  <c r="P316" i="13"/>
  <c r="P317" i="13"/>
  <c r="P318" i="13"/>
  <c r="P319" i="13"/>
  <c r="P320" i="13"/>
  <c r="P321" i="13"/>
  <c r="P322" i="13"/>
  <c r="P323" i="13"/>
  <c r="P324" i="13"/>
  <c r="P325" i="13"/>
  <c r="P326" i="13"/>
  <c r="P327" i="13"/>
  <c r="P328" i="13"/>
  <c r="P329" i="13"/>
  <c r="P330" i="13"/>
  <c r="P331" i="13"/>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79" i="13"/>
  <c r="P380" i="13"/>
  <c r="P381" i="13"/>
  <c r="P382" i="13"/>
  <c r="P383" i="13"/>
  <c r="P384" i="13"/>
  <c r="P385" i="13"/>
  <c r="P386" i="13"/>
  <c r="P387" i="13"/>
  <c r="P388" i="13"/>
  <c r="P389" i="13"/>
  <c r="P390" i="13"/>
  <c r="P391" i="13"/>
  <c r="P392" i="13"/>
  <c r="P393" i="13"/>
  <c r="P394" i="13"/>
  <c r="P395" i="13"/>
  <c r="P396" i="13"/>
  <c r="P397" i="13"/>
  <c r="P398" i="13"/>
  <c r="P399" i="13"/>
  <c r="P400" i="13"/>
  <c r="P401" i="13"/>
  <c r="P402" i="13"/>
  <c r="P403" i="13"/>
  <c r="P404" i="13"/>
  <c r="P405" i="13"/>
  <c r="P406" i="13"/>
  <c r="P407" i="13"/>
  <c r="P408" i="13"/>
  <c r="P409" i="13"/>
  <c r="P410" i="13"/>
  <c r="P411" i="13"/>
  <c r="P412" i="13"/>
  <c r="P413" i="13"/>
  <c r="P414" i="13"/>
  <c r="P415" i="13"/>
  <c r="P416" i="13"/>
  <c r="P417" i="13"/>
  <c r="P418" i="13"/>
  <c r="P419" i="13"/>
  <c r="P420" i="13"/>
  <c r="P421" i="13"/>
  <c r="P422" i="13"/>
  <c r="P423" i="13"/>
  <c r="P424" i="13"/>
  <c r="P425" i="13"/>
  <c r="P426" i="13"/>
  <c r="P427" i="13"/>
  <c r="P428" i="13"/>
  <c r="P429" i="13"/>
  <c r="P430" i="13"/>
  <c r="P431" i="13"/>
  <c r="P432" i="13"/>
  <c r="P433" i="13"/>
  <c r="P434" i="13"/>
  <c r="P435" i="13"/>
  <c r="P436" i="13"/>
  <c r="P437" i="13"/>
  <c r="P438" i="13"/>
  <c r="P439" i="13"/>
  <c r="P440" i="13"/>
  <c r="P441" i="13"/>
  <c r="P442" i="13"/>
  <c r="P443" i="13"/>
  <c r="P444" i="13"/>
  <c r="P445" i="13"/>
  <c r="P446" i="13"/>
  <c r="P447" i="13"/>
  <c r="P448" i="13"/>
  <c r="P449" i="13"/>
  <c r="P450" i="13"/>
  <c r="P451" i="13"/>
  <c r="P452" i="13"/>
  <c r="P453" i="13"/>
  <c r="P454" i="13"/>
  <c r="P455" i="13"/>
  <c r="P456" i="13"/>
  <c r="P457" i="13"/>
  <c r="P458" i="13"/>
  <c r="P459" i="13"/>
  <c r="P460" i="13"/>
  <c r="P461" i="13"/>
  <c r="P462" i="13"/>
  <c r="P463" i="13"/>
  <c r="P464" i="13"/>
  <c r="P465" i="13"/>
  <c r="P466" i="13"/>
  <c r="P467" i="13"/>
  <c r="P468" i="13"/>
  <c r="P469" i="13"/>
  <c r="P470" i="13"/>
  <c r="P471" i="13"/>
  <c r="P472" i="13"/>
  <c r="P473" i="13"/>
  <c r="P474" i="13"/>
  <c r="P475" i="13"/>
  <c r="P476" i="13"/>
  <c r="P477" i="13"/>
  <c r="P478" i="13"/>
  <c r="P479" i="13"/>
  <c r="P480" i="13"/>
  <c r="P481" i="13"/>
  <c r="P482" i="13"/>
  <c r="P483" i="13"/>
  <c r="P484" i="13"/>
  <c r="P485" i="13"/>
  <c r="P486" i="13"/>
  <c r="P487" i="13"/>
  <c r="P488" i="13"/>
  <c r="P489" i="13"/>
  <c r="P490" i="13"/>
  <c r="P491" i="13"/>
  <c r="P492" i="13"/>
  <c r="P493" i="13"/>
  <c r="P494" i="13"/>
  <c r="P495" i="13"/>
  <c r="P496" i="13"/>
  <c r="P497" i="13"/>
  <c r="P498" i="13"/>
  <c r="P499" i="13"/>
  <c r="P500" i="13"/>
  <c r="P501" i="13"/>
  <c r="P502" i="13"/>
  <c r="P503" i="13"/>
  <c r="P504" i="13"/>
  <c r="P505" i="13"/>
  <c r="P506" i="13"/>
  <c r="P507" i="13"/>
  <c r="P508" i="13"/>
  <c r="P509" i="13"/>
  <c r="P510" i="13"/>
  <c r="P511" i="13"/>
  <c r="P512" i="13"/>
  <c r="P513" i="13"/>
  <c r="P514" i="13"/>
  <c r="P515" i="13"/>
  <c r="P516" i="13"/>
  <c r="P517" i="13"/>
  <c r="P518" i="13"/>
  <c r="P519" i="13"/>
  <c r="P520" i="13"/>
  <c r="P521" i="13"/>
  <c r="P522" i="13"/>
  <c r="P523" i="13"/>
  <c r="P524" i="13"/>
  <c r="P525" i="13"/>
  <c r="P526" i="13"/>
  <c r="P527" i="13"/>
  <c r="P528" i="13"/>
  <c r="P529" i="13"/>
  <c r="P530" i="13"/>
  <c r="P531" i="13"/>
  <c r="P532" i="13"/>
  <c r="P533" i="13"/>
  <c r="P534" i="13"/>
  <c r="P535" i="13"/>
  <c r="P536" i="13"/>
  <c r="P537" i="13"/>
  <c r="P538" i="13"/>
  <c r="P539" i="13"/>
  <c r="P540" i="13"/>
  <c r="P541" i="13"/>
  <c r="P542" i="13"/>
  <c r="P543" i="13"/>
  <c r="P544" i="13"/>
  <c r="P545" i="13"/>
  <c r="P546" i="13"/>
  <c r="P547" i="13"/>
  <c r="P548" i="13"/>
  <c r="P549" i="13"/>
  <c r="P550" i="13"/>
  <c r="P551" i="13"/>
  <c r="P552" i="13"/>
  <c r="P553" i="13"/>
  <c r="P554" i="13"/>
  <c r="P555" i="13"/>
  <c r="P556" i="13"/>
  <c r="P557" i="13"/>
  <c r="P558" i="13"/>
  <c r="P559" i="13"/>
  <c r="P560" i="13"/>
  <c r="P561" i="13"/>
  <c r="P562" i="13"/>
  <c r="P563" i="13"/>
  <c r="P564" i="13"/>
  <c r="P565" i="13"/>
  <c r="P566" i="13"/>
  <c r="P567" i="13"/>
  <c r="P568" i="13"/>
  <c r="P569" i="13"/>
  <c r="P570" i="13"/>
  <c r="P571" i="13"/>
  <c r="P572" i="13"/>
  <c r="P573" i="13"/>
  <c r="P574" i="13"/>
  <c r="P575" i="13"/>
  <c r="P576" i="13"/>
  <c r="P577" i="13"/>
  <c r="P578" i="13"/>
  <c r="P579" i="13"/>
  <c r="P580" i="13"/>
  <c r="P581" i="13"/>
  <c r="P582" i="13"/>
  <c r="P583" i="13"/>
  <c r="P584" i="13"/>
  <c r="P585" i="13"/>
  <c r="P586" i="13"/>
  <c r="P587" i="13"/>
  <c r="P588" i="13"/>
  <c r="P589" i="13"/>
  <c r="P590" i="13"/>
  <c r="P591" i="13"/>
  <c r="P592" i="13"/>
  <c r="P593" i="13"/>
  <c r="P594" i="13"/>
  <c r="P595" i="13"/>
  <c r="P596" i="13"/>
  <c r="P597" i="13"/>
  <c r="P598" i="13"/>
  <c r="P599" i="13"/>
  <c r="P600" i="13"/>
  <c r="P601" i="13"/>
  <c r="P602" i="13"/>
  <c r="P603" i="13"/>
  <c r="P604" i="13"/>
  <c r="P605" i="13"/>
  <c r="P606" i="13"/>
  <c r="P607" i="13"/>
  <c r="P608" i="13"/>
  <c r="P609" i="13"/>
  <c r="P610" i="13"/>
  <c r="P611" i="13"/>
  <c r="P612" i="13"/>
  <c r="P613" i="13"/>
  <c r="P614" i="13"/>
  <c r="P615" i="13"/>
  <c r="P616" i="13"/>
  <c r="P617" i="13"/>
  <c r="P618" i="13"/>
  <c r="P619" i="13"/>
  <c r="P620" i="13"/>
  <c r="P621" i="13"/>
  <c r="P622" i="13"/>
  <c r="P623" i="13"/>
  <c r="P624" i="13"/>
  <c r="P625" i="13"/>
  <c r="P626" i="13"/>
  <c r="P627" i="13"/>
  <c r="P628" i="13"/>
  <c r="P629" i="13"/>
  <c r="P630" i="13"/>
  <c r="P631" i="13"/>
  <c r="P632" i="13"/>
  <c r="P633" i="13"/>
  <c r="P634" i="13"/>
  <c r="P635" i="13"/>
  <c r="P636" i="13"/>
  <c r="P637" i="13"/>
  <c r="P638" i="13"/>
  <c r="P639" i="13"/>
  <c r="P640" i="13"/>
  <c r="P641" i="13"/>
  <c r="P642" i="13"/>
  <c r="P643" i="13"/>
  <c r="P644" i="13"/>
  <c r="P645" i="13"/>
  <c r="P646" i="13"/>
  <c r="P647" i="13"/>
  <c r="P648" i="13"/>
  <c r="P649" i="13"/>
  <c r="P650" i="13"/>
  <c r="P651" i="13"/>
  <c r="P652" i="13"/>
  <c r="P653" i="13"/>
  <c r="P654" i="13"/>
  <c r="P655" i="13"/>
  <c r="P656" i="13"/>
  <c r="P657" i="13"/>
  <c r="P658" i="13"/>
  <c r="P659" i="13"/>
  <c r="P660" i="13"/>
  <c r="P661" i="13"/>
  <c r="P662" i="13"/>
  <c r="P663" i="13"/>
  <c r="P664" i="13"/>
  <c r="P665" i="13"/>
  <c r="P666" i="13"/>
  <c r="P667" i="13"/>
  <c r="P668" i="13"/>
  <c r="P669" i="13"/>
  <c r="P670" i="13"/>
  <c r="P671" i="13"/>
  <c r="P672" i="13"/>
  <c r="P673" i="13"/>
  <c r="P674" i="13"/>
  <c r="P675" i="13"/>
  <c r="P676" i="13"/>
  <c r="P677" i="13"/>
  <c r="P678" i="13"/>
  <c r="P679" i="13"/>
  <c r="P680" i="13"/>
  <c r="P681" i="13"/>
  <c r="P682" i="13"/>
  <c r="P683" i="13"/>
  <c r="P684" i="13"/>
  <c r="P685" i="13"/>
  <c r="P686" i="13"/>
  <c r="P687" i="13"/>
  <c r="P688" i="13"/>
  <c r="P689" i="13"/>
  <c r="P690" i="13"/>
  <c r="P691" i="13"/>
  <c r="P692" i="13"/>
  <c r="P693" i="13"/>
  <c r="P694" i="13"/>
  <c r="P695" i="13"/>
  <c r="P696" i="13"/>
  <c r="P697" i="13"/>
  <c r="P698" i="13"/>
  <c r="P699" i="13"/>
  <c r="P700" i="13"/>
  <c r="P701" i="13"/>
  <c r="P702" i="13"/>
  <c r="P703" i="13"/>
  <c r="P704" i="13"/>
  <c r="P705" i="13"/>
  <c r="P706" i="13"/>
  <c r="P707" i="13"/>
  <c r="P708" i="13"/>
  <c r="P709" i="13"/>
  <c r="P710" i="13"/>
  <c r="P711" i="13"/>
  <c r="P712" i="13"/>
  <c r="P713" i="13"/>
  <c r="P714" i="13"/>
  <c r="P715" i="13"/>
  <c r="P716" i="13"/>
  <c r="P717" i="13"/>
  <c r="P718" i="13"/>
  <c r="P719" i="13"/>
  <c r="P720" i="13"/>
  <c r="P721" i="13"/>
  <c r="P722" i="13"/>
  <c r="P723" i="13"/>
  <c r="P724" i="13"/>
  <c r="P725" i="13"/>
  <c r="P726" i="13"/>
  <c r="P727" i="13"/>
  <c r="P728" i="13"/>
  <c r="P729" i="13"/>
  <c r="P730" i="13"/>
  <c r="P731" i="13"/>
  <c r="P732" i="13"/>
  <c r="P733" i="13"/>
  <c r="P734" i="13"/>
  <c r="P735" i="13"/>
  <c r="P736" i="13"/>
  <c r="P737" i="13"/>
  <c r="P738" i="13"/>
  <c r="P739" i="13"/>
  <c r="P740" i="13"/>
  <c r="P741" i="13"/>
  <c r="P742" i="13"/>
  <c r="P743" i="13"/>
  <c r="P744" i="13"/>
  <c r="P745" i="13"/>
  <c r="P746" i="13"/>
  <c r="P747" i="13"/>
  <c r="P748" i="13"/>
  <c r="P749" i="13"/>
  <c r="P750" i="13"/>
  <c r="P751" i="13"/>
  <c r="P752" i="13"/>
  <c r="P753" i="13"/>
  <c r="P754" i="13"/>
  <c r="P755" i="13"/>
  <c r="P756" i="13"/>
  <c r="P757" i="13"/>
  <c r="P758" i="13"/>
  <c r="P759" i="13"/>
  <c r="P760" i="13"/>
  <c r="P761" i="13"/>
  <c r="P762" i="13"/>
  <c r="P763" i="13"/>
  <c r="P764" i="13"/>
  <c r="P765" i="13"/>
  <c r="P766" i="13"/>
  <c r="P767" i="13"/>
  <c r="P768" i="13"/>
  <c r="P769" i="13"/>
  <c r="P770" i="13"/>
  <c r="P771" i="13"/>
  <c r="P772" i="13"/>
  <c r="P773" i="13"/>
  <c r="P774" i="13"/>
  <c r="P775" i="13"/>
  <c r="P776" i="13"/>
  <c r="P777" i="13"/>
  <c r="P778" i="13"/>
  <c r="P779" i="13"/>
  <c r="P780" i="13"/>
  <c r="P781" i="13"/>
  <c r="P782" i="13"/>
  <c r="P783" i="13"/>
  <c r="P784" i="13"/>
  <c r="P785" i="13"/>
  <c r="P786" i="13"/>
  <c r="P787" i="13"/>
  <c r="P788" i="13"/>
  <c r="P789" i="13"/>
  <c r="P790" i="13"/>
  <c r="P791" i="13"/>
  <c r="P792" i="13"/>
  <c r="P793" i="13"/>
  <c r="P794" i="13"/>
  <c r="P795" i="13"/>
  <c r="P796" i="13"/>
  <c r="P797" i="13"/>
  <c r="P798" i="13"/>
  <c r="P799" i="13"/>
  <c r="P800" i="13"/>
  <c r="P801" i="13"/>
  <c r="P802" i="13"/>
  <c r="P803" i="13"/>
  <c r="P804" i="13"/>
  <c r="P805" i="13"/>
  <c r="P806" i="13"/>
  <c r="P807" i="13"/>
  <c r="P808" i="13"/>
  <c r="P809" i="13"/>
  <c r="P810" i="13"/>
  <c r="P811" i="13"/>
  <c r="P812" i="13"/>
  <c r="P813" i="13"/>
  <c r="P814" i="13"/>
  <c r="P815" i="13"/>
  <c r="P816" i="13"/>
  <c r="P817" i="13"/>
  <c r="P818" i="13"/>
  <c r="P819" i="13"/>
  <c r="P820" i="13"/>
  <c r="P821" i="13"/>
  <c r="P822" i="13"/>
  <c r="P823" i="13"/>
  <c r="P824" i="13"/>
  <c r="P825" i="13"/>
  <c r="P826" i="13"/>
  <c r="P827" i="13"/>
  <c r="P828" i="13"/>
  <c r="P829" i="13"/>
  <c r="P830" i="13"/>
  <c r="P831" i="13"/>
  <c r="P832" i="13"/>
  <c r="P833" i="13"/>
  <c r="P834" i="13"/>
  <c r="P835" i="13"/>
  <c r="P836" i="13"/>
  <c r="P837" i="13"/>
  <c r="P838" i="13"/>
  <c r="P839" i="13"/>
  <c r="P840" i="13"/>
  <c r="P841" i="13"/>
  <c r="P842" i="13"/>
  <c r="P843" i="13"/>
  <c r="P844" i="13"/>
  <c r="P845" i="13"/>
  <c r="P846" i="13"/>
  <c r="P847" i="13"/>
  <c r="P848" i="13"/>
  <c r="P849" i="13"/>
  <c r="P850" i="13"/>
  <c r="P851" i="13"/>
  <c r="P852" i="13"/>
  <c r="P853" i="13"/>
  <c r="P854" i="13"/>
  <c r="P855" i="13"/>
  <c r="P856" i="13"/>
  <c r="P857" i="13"/>
  <c r="P858" i="13"/>
  <c r="P859" i="13"/>
  <c r="P860" i="13"/>
  <c r="P861" i="13"/>
  <c r="P862" i="13"/>
  <c r="P863" i="13"/>
  <c r="P864" i="13"/>
  <c r="P865" i="13"/>
  <c r="P866" i="13"/>
  <c r="P867" i="13"/>
  <c r="P868" i="13"/>
  <c r="P869" i="13"/>
  <c r="P870" i="13"/>
  <c r="P871" i="13"/>
  <c r="P872" i="13"/>
  <c r="P873" i="13"/>
  <c r="P874" i="13"/>
  <c r="P875" i="13"/>
  <c r="P876" i="13"/>
  <c r="P877" i="13"/>
  <c r="P878" i="13"/>
  <c r="P879" i="13"/>
  <c r="P880" i="13"/>
  <c r="P881" i="13"/>
  <c r="P882" i="13"/>
  <c r="P883" i="13"/>
  <c r="P884" i="13"/>
  <c r="P885" i="13"/>
  <c r="P886" i="13"/>
  <c r="P887" i="13"/>
  <c r="P888" i="13"/>
  <c r="P889" i="13"/>
  <c r="P890" i="13"/>
  <c r="P891" i="13"/>
  <c r="P892" i="13"/>
  <c r="P893" i="13"/>
  <c r="P894" i="13"/>
  <c r="P895" i="13"/>
  <c r="P896" i="13"/>
  <c r="P897" i="13"/>
  <c r="P898" i="13"/>
  <c r="P899" i="13"/>
  <c r="P900" i="13"/>
  <c r="P901" i="13"/>
  <c r="P902" i="13"/>
  <c r="P903" i="13"/>
  <c r="P904" i="13"/>
  <c r="P905" i="13"/>
  <c r="P906" i="13"/>
  <c r="P907" i="13"/>
  <c r="P908" i="13"/>
  <c r="P909" i="13"/>
  <c r="P910" i="13"/>
  <c r="P911" i="13"/>
  <c r="P912" i="13"/>
  <c r="P913" i="13"/>
  <c r="P914" i="13"/>
  <c r="P915" i="13"/>
  <c r="P916" i="13"/>
  <c r="P917" i="13"/>
  <c r="P918" i="13"/>
  <c r="P919" i="13"/>
  <c r="P920" i="13"/>
  <c r="P921" i="13"/>
  <c r="P922" i="13"/>
  <c r="P923" i="13"/>
  <c r="P924" i="13"/>
  <c r="P925" i="13"/>
  <c r="P926" i="13"/>
  <c r="P927" i="13"/>
  <c r="P928" i="13"/>
  <c r="P929" i="13"/>
  <c r="P930" i="13"/>
  <c r="P931" i="13"/>
  <c r="P932" i="13"/>
  <c r="P933" i="13"/>
  <c r="P934" i="13"/>
  <c r="P935" i="13"/>
  <c r="P936" i="13"/>
  <c r="P937" i="13"/>
  <c r="P938" i="13"/>
  <c r="P939" i="13"/>
  <c r="P940" i="13"/>
  <c r="P941" i="13"/>
  <c r="P942" i="13"/>
  <c r="P943" i="13"/>
  <c r="P944" i="13"/>
  <c r="P945" i="13"/>
  <c r="P946" i="13"/>
  <c r="P947" i="13"/>
  <c r="P948" i="13"/>
  <c r="P949" i="13"/>
  <c r="P950" i="13"/>
  <c r="P951" i="13"/>
  <c r="P952" i="13"/>
  <c r="P953" i="13"/>
  <c r="P954" i="13"/>
  <c r="P955" i="13"/>
  <c r="P956" i="13"/>
  <c r="P957" i="13"/>
  <c r="P958" i="13"/>
  <c r="P959" i="13"/>
  <c r="P960" i="13"/>
  <c r="P961" i="13"/>
  <c r="P962" i="13"/>
  <c r="P963" i="13"/>
  <c r="P964" i="13"/>
  <c r="P965" i="13"/>
  <c r="P966" i="13"/>
  <c r="P967" i="13"/>
  <c r="P968" i="13"/>
  <c r="P969" i="13"/>
  <c r="P970" i="13"/>
  <c r="P971" i="13"/>
  <c r="P972" i="13"/>
  <c r="P973" i="13"/>
  <c r="P974" i="13"/>
  <c r="P975" i="13"/>
  <c r="P976" i="13"/>
  <c r="P977" i="13"/>
  <c r="P978" i="13"/>
  <c r="P979" i="13"/>
  <c r="P980" i="13"/>
  <c r="P981" i="13"/>
  <c r="P982" i="13"/>
  <c r="P983" i="13"/>
  <c r="P984" i="13"/>
  <c r="P985" i="13"/>
  <c r="P986" i="13"/>
  <c r="P987" i="13"/>
  <c r="P988" i="13"/>
  <c r="P989" i="13"/>
  <c r="P990" i="13"/>
  <c r="P991" i="13"/>
  <c r="P992" i="13"/>
  <c r="P993" i="13"/>
  <c r="P994" i="13"/>
  <c r="P995" i="13"/>
  <c r="P996" i="13"/>
  <c r="P997" i="13"/>
  <c r="P998" i="13"/>
  <c r="P999" i="13"/>
  <c r="P1000" i="13"/>
  <c r="P1001" i="13"/>
  <c r="P1002" i="13"/>
  <c r="P1003" i="13"/>
  <c r="P1004" i="13"/>
  <c r="P1005" i="13"/>
  <c r="P1006" i="13"/>
  <c r="P1007" i="13"/>
  <c r="P1008" i="13"/>
  <c r="P1009" i="13"/>
  <c r="P1010" i="13"/>
  <c r="P1011" i="13"/>
  <c r="P1012" i="13"/>
  <c r="P1013" i="13"/>
  <c r="P1014" i="13"/>
  <c r="P1015" i="13"/>
  <c r="P1016" i="13"/>
  <c r="P1017" i="13"/>
  <c r="P1018" i="13"/>
  <c r="P1019" i="13"/>
  <c r="P1020" i="13"/>
  <c r="P1021" i="13"/>
  <c r="P1022" i="13"/>
  <c r="P1023" i="13"/>
  <c r="P1024" i="13"/>
  <c r="P1025" i="13"/>
  <c r="P1026" i="13"/>
  <c r="P1027" i="13"/>
  <c r="P1028" i="13"/>
  <c r="P1029" i="13"/>
  <c r="P1030" i="13"/>
  <c r="P1031" i="13"/>
  <c r="P1032" i="13"/>
  <c r="P1033" i="13"/>
  <c r="P1034" i="13"/>
  <c r="P1035" i="13"/>
  <c r="P1036" i="13"/>
  <c r="P1037" i="13"/>
  <c r="P1038" i="13"/>
  <c r="P1039" i="13"/>
  <c r="P1040" i="13"/>
  <c r="P1041" i="13"/>
  <c r="P1042" i="13"/>
  <c r="P1043" i="13"/>
  <c r="P1044" i="13"/>
  <c r="P1045" i="13"/>
  <c r="P1046" i="13"/>
  <c r="P1047" i="13"/>
  <c r="P1048" i="13"/>
  <c r="P1049" i="13"/>
  <c r="P1050" i="13"/>
  <c r="P1051" i="13"/>
  <c r="P1052" i="13"/>
  <c r="P1053" i="13"/>
  <c r="P1054" i="13"/>
  <c r="P1055" i="13"/>
  <c r="P1056" i="13"/>
  <c r="P1057" i="13"/>
  <c r="P1058" i="13"/>
  <c r="P1059" i="13"/>
  <c r="P1060" i="13"/>
  <c r="P1061" i="13"/>
  <c r="P1062" i="13"/>
  <c r="P1063" i="13"/>
  <c r="P1064" i="13"/>
  <c r="P1065" i="13"/>
  <c r="P1066" i="13"/>
  <c r="P1067" i="13"/>
  <c r="P1068" i="13"/>
  <c r="P1069" i="13"/>
  <c r="P1070" i="13"/>
  <c r="P1071" i="13"/>
  <c r="P1072" i="13"/>
  <c r="P1073" i="13"/>
  <c r="P1074" i="13"/>
  <c r="P1075" i="13"/>
  <c r="P1076" i="13"/>
  <c r="P1077" i="13"/>
  <c r="P1078" i="13"/>
  <c r="P1079" i="13"/>
  <c r="P1080" i="13"/>
  <c r="P1081" i="13"/>
  <c r="P1082" i="13"/>
  <c r="P1083" i="13"/>
  <c r="P1084" i="13"/>
  <c r="P1085" i="13"/>
  <c r="P1086" i="13"/>
  <c r="P1087" i="13"/>
  <c r="P1088" i="13"/>
  <c r="P1089" i="13"/>
  <c r="P1090" i="13"/>
  <c r="P1091" i="13"/>
  <c r="P1092" i="13"/>
  <c r="P1093" i="13"/>
  <c r="P1094" i="13"/>
  <c r="P1095" i="13"/>
  <c r="P1096" i="13"/>
  <c r="P1097" i="13"/>
  <c r="P1098" i="13"/>
  <c r="P1099" i="13"/>
  <c r="P1100" i="13"/>
  <c r="P1101" i="13"/>
  <c r="P1102" i="13"/>
  <c r="P1103" i="13"/>
  <c r="P1104" i="13"/>
  <c r="P1105" i="13"/>
  <c r="P1106" i="13"/>
  <c r="P1107" i="13"/>
  <c r="P1108" i="13"/>
  <c r="P1109" i="13"/>
  <c r="P1110" i="13"/>
  <c r="P1111" i="13"/>
  <c r="P1112" i="13"/>
  <c r="P1113" i="13"/>
  <c r="P1114" i="13"/>
  <c r="P1115" i="13"/>
  <c r="P1116" i="13"/>
  <c r="P1117" i="13"/>
  <c r="P1118" i="13"/>
  <c r="P1119" i="13"/>
  <c r="P1120" i="13"/>
  <c r="P1121" i="13"/>
  <c r="P1122" i="13"/>
  <c r="P1123" i="13"/>
  <c r="P1124" i="13"/>
  <c r="P1125" i="13"/>
  <c r="P1126" i="13"/>
  <c r="P1127" i="13"/>
  <c r="P1128" i="13"/>
  <c r="P1129" i="13"/>
  <c r="P1130" i="13"/>
  <c r="P1131" i="13"/>
  <c r="P1132" i="13"/>
  <c r="P1133" i="13"/>
  <c r="P1134" i="13"/>
  <c r="P1135" i="13"/>
  <c r="P1136" i="13"/>
  <c r="P1137" i="13"/>
  <c r="P1138" i="13"/>
  <c r="P1139" i="13"/>
  <c r="P1140" i="13"/>
  <c r="P1141" i="13"/>
  <c r="P1142" i="13"/>
  <c r="P1143" i="13"/>
  <c r="P1144" i="13"/>
  <c r="P1145" i="13"/>
  <c r="P1146" i="13"/>
  <c r="P1147" i="13"/>
  <c r="P1148" i="13"/>
  <c r="P1149" i="13"/>
  <c r="P1150" i="13"/>
  <c r="P1151" i="13"/>
  <c r="P1152" i="13"/>
  <c r="P1153" i="13"/>
  <c r="P1154" i="13"/>
  <c r="P1155" i="13"/>
  <c r="P1156" i="13"/>
  <c r="P1157" i="13"/>
  <c r="P1158" i="13"/>
  <c r="P1159" i="13"/>
  <c r="P1160" i="13"/>
  <c r="P1161" i="13"/>
  <c r="P1162" i="13"/>
  <c r="P1163" i="13"/>
  <c r="P1164" i="13"/>
  <c r="P1165" i="13"/>
  <c r="P1166" i="13"/>
  <c r="P1167" i="13"/>
  <c r="P1168" i="13"/>
  <c r="P1169" i="13"/>
  <c r="P1170" i="13"/>
  <c r="P1171" i="13"/>
  <c r="P1172" i="13"/>
  <c r="P1173" i="13"/>
  <c r="P1174" i="13"/>
  <c r="P1175" i="13"/>
  <c r="P1176" i="13"/>
  <c r="P1177" i="13"/>
  <c r="P1178" i="13"/>
  <c r="P1179" i="13"/>
  <c r="P1180" i="13"/>
  <c r="P1181" i="13"/>
  <c r="P1182" i="13"/>
  <c r="P1183" i="13"/>
  <c r="P1184" i="13"/>
  <c r="P1185" i="13"/>
  <c r="P1186" i="13"/>
  <c r="P1187" i="13"/>
  <c r="P1188" i="13"/>
  <c r="P1189" i="13"/>
  <c r="P1190" i="13"/>
  <c r="P1191" i="13"/>
  <c r="P1192" i="13"/>
  <c r="P1193" i="13"/>
  <c r="P1194" i="13"/>
  <c r="P1195" i="13"/>
  <c r="P1196" i="13"/>
  <c r="P1197" i="13"/>
  <c r="P1198" i="13"/>
  <c r="P1199" i="13"/>
  <c r="P1200" i="13"/>
  <c r="P1201" i="13"/>
  <c r="P1202" i="13"/>
  <c r="P1203" i="13"/>
  <c r="P1204" i="13"/>
  <c r="P1205" i="13"/>
  <c r="P1206" i="13"/>
  <c r="P1207" i="13"/>
  <c r="P1208" i="13"/>
  <c r="P1209" i="13"/>
  <c r="P1210" i="13"/>
  <c r="P1211" i="13"/>
  <c r="P1212" i="13"/>
  <c r="P1213" i="13"/>
  <c r="P1214" i="13"/>
  <c r="P1215" i="13"/>
  <c r="P1216" i="13"/>
  <c r="P1217" i="13"/>
  <c r="P1218" i="13"/>
  <c r="P1219" i="13"/>
  <c r="P1220" i="13"/>
  <c r="P1221" i="13"/>
  <c r="P1222" i="13"/>
  <c r="P1223" i="13"/>
  <c r="P1224" i="13"/>
  <c r="P1225" i="13"/>
  <c r="P1226" i="13"/>
  <c r="P1227" i="13"/>
  <c r="P1228" i="13"/>
  <c r="P1229" i="13"/>
  <c r="P1230" i="13"/>
  <c r="P1231" i="13"/>
  <c r="P1232" i="13"/>
  <c r="P1233" i="13"/>
  <c r="P1234" i="13"/>
  <c r="P1235" i="13"/>
  <c r="P1236" i="13"/>
  <c r="P1237" i="13"/>
  <c r="P1238" i="13"/>
  <c r="P1239" i="13"/>
  <c r="P1240" i="13"/>
  <c r="P1241" i="13"/>
  <c r="P1242" i="13"/>
  <c r="P1243" i="13"/>
  <c r="P1244" i="13"/>
  <c r="P1245" i="13"/>
  <c r="P1246" i="13"/>
  <c r="P1247" i="13"/>
  <c r="P1248" i="13"/>
  <c r="P1249" i="13"/>
  <c r="P1250" i="13"/>
  <c r="P1251" i="13"/>
  <c r="P1252" i="13"/>
  <c r="P1253" i="13"/>
  <c r="P1254" i="13"/>
  <c r="P1255" i="13"/>
  <c r="P1256" i="13"/>
  <c r="P1257" i="13"/>
  <c r="P1258" i="13"/>
  <c r="P1259" i="13"/>
  <c r="P1260" i="13"/>
  <c r="P1261" i="13"/>
  <c r="P1262" i="13"/>
  <c r="P1263" i="13"/>
  <c r="P1264" i="13"/>
  <c r="P1265" i="13"/>
  <c r="P1266" i="13"/>
  <c r="P1267" i="13"/>
  <c r="P1268" i="13"/>
  <c r="P1269" i="13"/>
  <c r="P1270" i="13"/>
  <c r="P1271" i="13"/>
  <c r="P1272" i="13"/>
  <c r="P1273" i="13"/>
  <c r="P1274" i="13"/>
  <c r="P1275" i="13"/>
  <c r="P1276" i="13"/>
  <c r="P1277" i="13"/>
  <c r="P1278" i="13"/>
  <c r="P1279" i="13"/>
  <c r="P1280" i="13"/>
  <c r="P1281" i="13"/>
  <c r="P1282" i="13"/>
  <c r="P1283" i="13"/>
  <c r="P1284" i="13"/>
  <c r="P1285" i="13"/>
  <c r="P1286" i="13"/>
  <c r="P1287" i="13"/>
  <c r="P1288" i="13"/>
  <c r="P1289" i="13"/>
  <c r="P1290" i="13"/>
  <c r="P1291" i="13"/>
  <c r="P1292" i="13"/>
  <c r="P1293" i="13"/>
  <c r="P1294" i="13"/>
  <c r="P1295" i="13"/>
  <c r="P1296" i="13"/>
  <c r="P1297" i="13"/>
  <c r="P1298" i="13"/>
  <c r="P1299" i="13"/>
  <c r="P1300" i="13"/>
  <c r="P1301" i="13"/>
  <c r="P1302" i="13"/>
  <c r="P1303" i="13"/>
  <c r="P1304" i="13"/>
  <c r="P1305" i="13"/>
  <c r="P1306" i="13"/>
  <c r="P1307" i="13"/>
  <c r="P1308" i="13"/>
  <c r="P1309" i="13"/>
  <c r="P1310" i="13"/>
  <c r="P1311" i="13"/>
  <c r="P1312" i="13"/>
  <c r="P1313" i="13"/>
  <c r="P1314" i="13"/>
  <c r="P1315" i="13"/>
  <c r="P1316" i="13"/>
  <c r="P1317" i="13"/>
  <c r="P1318" i="13"/>
  <c r="P1319" i="13"/>
  <c r="P1320" i="13"/>
  <c r="P1321" i="13"/>
  <c r="P1322" i="13"/>
  <c r="P1323" i="13"/>
  <c r="P1324" i="13"/>
  <c r="P1325" i="13"/>
  <c r="P1326" i="13"/>
  <c r="P1327" i="13"/>
  <c r="P1328" i="13"/>
  <c r="P1329" i="13"/>
  <c r="P1330" i="13"/>
  <c r="P1331" i="13"/>
  <c r="P1332" i="13"/>
  <c r="P1333" i="13"/>
  <c r="P1334" i="13"/>
  <c r="P1335" i="13"/>
  <c r="P1336" i="13"/>
  <c r="P1337" i="13"/>
  <c r="P1338" i="13"/>
  <c r="P1339" i="13"/>
  <c r="P1340" i="13"/>
  <c r="P1341" i="13"/>
  <c r="P1342" i="13"/>
  <c r="P1343" i="13"/>
  <c r="P1344" i="13"/>
  <c r="P1345" i="13"/>
  <c r="P1346" i="13"/>
  <c r="P1347" i="13"/>
  <c r="P1348" i="13"/>
  <c r="P1349" i="13"/>
  <c r="P1350" i="13"/>
  <c r="P1351" i="13"/>
  <c r="P1352" i="13"/>
  <c r="P1353" i="13"/>
  <c r="P1354" i="13"/>
  <c r="P1355" i="13"/>
  <c r="P1356" i="13"/>
  <c r="P1357" i="13"/>
  <c r="P1358" i="13"/>
  <c r="P1359" i="13"/>
  <c r="P1360" i="13"/>
  <c r="P1361" i="13"/>
  <c r="P1362" i="13"/>
  <c r="P1363" i="13"/>
  <c r="P1364" i="13"/>
  <c r="P1365" i="13"/>
  <c r="P1366" i="13"/>
  <c r="P1367" i="13"/>
  <c r="P1368" i="13"/>
  <c r="P1369" i="13"/>
  <c r="P1370" i="13"/>
  <c r="P1371" i="13"/>
  <c r="P1372" i="13"/>
  <c r="P1373" i="13"/>
  <c r="P1374" i="13"/>
  <c r="P1375" i="13"/>
  <c r="P1376" i="13"/>
  <c r="P1377" i="13"/>
  <c r="P1378" i="13"/>
  <c r="P1379" i="13"/>
  <c r="P1380" i="13"/>
  <c r="P1381" i="13"/>
  <c r="P1382" i="13"/>
  <c r="P1383" i="13"/>
  <c r="P1384" i="13"/>
  <c r="P1385" i="13"/>
  <c r="P1386" i="13"/>
  <c r="P1387" i="13"/>
  <c r="P1388" i="13"/>
  <c r="P1389" i="13"/>
  <c r="P1390" i="13"/>
  <c r="P1391" i="13"/>
  <c r="P1392" i="13"/>
  <c r="P1393" i="13"/>
  <c r="P1394" i="13"/>
  <c r="P1395" i="13"/>
  <c r="P1396" i="13"/>
  <c r="P1397" i="13"/>
  <c r="P1398" i="13"/>
  <c r="P1399" i="13"/>
  <c r="P1400" i="13"/>
  <c r="P1401" i="13"/>
  <c r="P1402" i="13"/>
  <c r="P1403" i="13"/>
  <c r="P1404" i="13"/>
  <c r="P1405" i="13"/>
  <c r="P1406" i="13"/>
  <c r="P1407" i="13"/>
  <c r="P1408" i="13"/>
  <c r="P1409" i="13"/>
  <c r="P1410" i="13"/>
  <c r="P1411" i="13"/>
  <c r="P1412" i="13"/>
  <c r="P1413" i="13"/>
  <c r="P1414" i="13"/>
  <c r="P1415" i="13"/>
  <c r="P1416" i="13"/>
  <c r="P1417" i="13"/>
  <c r="P1418" i="13"/>
  <c r="P1419" i="13"/>
  <c r="P1420" i="13"/>
  <c r="P1421" i="13"/>
  <c r="P1422" i="13"/>
  <c r="P1423" i="13"/>
  <c r="P1424" i="13"/>
  <c r="P1425" i="13"/>
  <c r="P1426" i="13"/>
  <c r="P1427" i="13"/>
  <c r="P1428" i="13"/>
  <c r="P1429" i="13"/>
  <c r="P1430" i="13"/>
  <c r="P1431" i="13"/>
  <c r="P1432" i="13"/>
  <c r="P1433" i="13"/>
  <c r="P1434" i="13"/>
  <c r="P1435" i="13"/>
  <c r="P1436" i="13"/>
  <c r="P1437" i="13"/>
  <c r="P1438" i="13"/>
  <c r="P1439" i="13"/>
  <c r="P1440" i="13"/>
  <c r="P1441" i="13"/>
  <c r="P1442" i="13"/>
  <c r="P7" i="13"/>
  <c r="BG4" i="15" l="1"/>
  <c r="BG5" i="15"/>
  <c r="BG6" i="15"/>
  <c r="BG7" i="15"/>
  <c r="BG8" i="15"/>
  <c r="BG9" i="15"/>
  <c r="BG10" i="15"/>
  <c r="BG11" i="15"/>
  <c r="BG12" i="15"/>
  <c r="BG3" i="15"/>
  <c r="K5" i="13"/>
  <c r="M5" i="13"/>
  <c r="N5" i="13"/>
  <c r="O5" i="13"/>
  <c r="L5" i="13"/>
  <c r="H10" i="10"/>
  <c r="H11" i="10"/>
  <c r="H12" i="10"/>
  <c r="H13" i="10"/>
  <c r="H14" i="10"/>
  <c r="H15" i="10"/>
  <c r="H9" i="10"/>
  <c r="G10" i="10"/>
  <c r="G11" i="10"/>
  <c r="G12" i="10"/>
  <c r="G13" i="10"/>
  <c r="G14" i="10"/>
  <c r="G15" i="10"/>
  <c r="G9" i="10"/>
  <c r="D8" i="6"/>
  <c r="D9" i="6"/>
  <c r="D10" i="6"/>
  <c r="D11" i="6"/>
  <c r="D12" i="6"/>
  <c r="D13" i="6"/>
  <c r="D14" i="6"/>
  <c r="D15" i="6"/>
  <c r="D7" i="6"/>
  <c r="K5" i="5"/>
  <c r="K9" i="5"/>
  <c r="D4" i="5"/>
  <c r="H21" i="5"/>
  <c r="H22" i="5"/>
  <c r="H23" i="5"/>
  <c r="H24" i="5"/>
  <c r="H20" i="5"/>
  <c r="H7" i="5"/>
  <c r="H8" i="5"/>
  <c r="H9" i="5"/>
  <c r="H10" i="5"/>
  <c r="H11" i="5"/>
  <c r="H12" i="5"/>
  <c r="H13" i="5"/>
  <c r="H14" i="5"/>
  <c r="H6" i="5"/>
  <c r="K9" i="3"/>
  <c r="K10" i="3"/>
  <c r="K11" i="3"/>
  <c r="K12" i="3"/>
  <c r="K13" i="3"/>
  <c r="K14" i="3"/>
  <c r="K15" i="3"/>
  <c r="K8" i="3"/>
  <c r="AE5" i="1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7" i="3"/>
  <c r="BH8" i="15"/>
  <c r="BH12" i="15"/>
  <c r="BH11" i="15"/>
  <c r="BH10" i="15"/>
  <c r="BH6" i="15"/>
  <c r="BH9" i="15"/>
  <c r="BH4" i="15"/>
  <c r="BH5" i="15"/>
  <c r="BH7" i="15"/>
  <c r="BH3" i="15"/>
  <c r="H16" i="3" l="1"/>
  <c r="H15" i="3"/>
  <c r="H9" i="3"/>
  <c r="H17" i="3"/>
  <c r="H14" i="3"/>
  <c r="H13" i="3"/>
  <c r="H8" i="3"/>
  <c r="H12" i="3"/>
  <c r="H19" i="3"/>
  <c r="H11" i="3"/>
  <c r="H18" i="3"/>
  <c r="H10" i="3"/>
  <c r="H25" i="5"/>
</calcChain>
</file>

<file path=xl/sharedStrings.xml><?xml version="1.0" encoding="utf-8"?>
<sst xmlns="http://schemas.openxmlformats.org/spreadsheetml/2006/main" count="11877" uniqueCount="693">
  <si>
    <t>Name</t>
  </si>
  <si>
    <t>DOB</t>
  </si>
  <si>
    <t>Month</t>
  </si>
  <si>
    <t>Jan</t>
  </si>
  <si>
    <t>Anne</t>
  </si>
  <si>
    <t>Feb</t>
  </si>
  <si>
    <t>Mar</t>
  </si>
  <si>
    <t>Apr</t>
  </si>
  <si>
    <t>May</t>
  </si>
  <si>
    <t>Jun</t>
  </si>
  <si>
    <t>Jul</t>
  </si>
  <si>
    <t>Aug</t>
  </si>
  <si>
    <t>Sep</t>
  </si>
  <si>
    <t>Oct</t>
  </si>
  <si>
    <t>Nov</t>
  </si>
  <si>
    <t>Dec</t>
  </si>
  <si>
    <t>Shawn</t>
  </si>
  <si>
    <t>You are highly recommended to attend this course</t>
  </si>
  <si>
    <t>Master List of Stores and the Emirate Name</t>
  </si>
  <si>
    <t>Store Name</t>
  </si>
  <si>
    <t>Sales (AED)</t>
  </si>
  <si>
    <t>Emirate Name</t>
  </si>
  <si>
    <t>Sales</t>
  </si>
  <si>
    <t>Al Wahda Mall</t>
  </si>
  <si>
    <t>Sales Per Day</t>
  </si>
  <si>
    <t>Store 1</t>
  </si>
  <si>
    <t>Store 2</t>
  </si>
  <si>
    <t>Store 3</t>
  </si>
  <si>
    <t>Store 4</t>
  </si>
  <si>
    <t>Store 6</t>
  </si>
  <si>
    <t>Store 5</t>
  </si>
  <si>
    <t>Store 11</t>
  </si>
  <si>
    <t>Store 13</t>
  </si>
  <si>
    <t>Store 7</t>
  </si>
  <si>
    <t>Store 8</t>
  </si>
  <si>
    <t>Store 9</t>
  </si>
  <si>
    <t>Store 10</t>
  </si>
  <si>
    <t>Store 12</t>
  </si>
  <si>
    <t>Store 14</t>
  </si>
  <si>
    <t>Store 15</t>
  </si>
  <si>
    <t>Store 16</t>
  </si>
  <si>
    <t>Store 17</t>
  </si>
  <si>
    <t>Sold Date older than Diest Rec DATE</t>
  </si>
  <si>
    <t>Question # 2 (2 marks)</t>
  </si>
  <si>
    <t>Question # 1 (1 marks)</t>
  </si>
  <si>
    <t>Lola</t>
  </si>
  <si>
    <t>Aziel</t>
  </si>
  <si>
    <t>Kailey</t>
  </si>
  <si>
    <t>Rafael</t>
  </si>
  <si>
    <t>Lyanna</t>
  </si>
  <si>
    <t>Ricky</t>
  </si>
  <si>
    <t>Siena</t>
  </si>
  <si>
    <t>Juan</t>
  </si>
  <si>
    <t>Dorothy</t>
  </si>
  <si>
    <t>Moses</t>
  </si>
  <si>
    <t>Tatum</t>
  </si>
  <si>
    <t>Joseph</t>
  </si>
  <si>
    <t>Kiara</t>
  </si>
  <si>
    <t>Zeke</t>
  </si>
  <si>
    <t>Anahi</t>
  </si>
  <si>
    <t>Colten</t>
  </si>
  <si>
    <t>Rudy</t>
  </si>
  <si>
    <t>Alianna</t>
  </si>
  <si>
    <t>Ameer</t>
  </si>
  <si>
    <t>Brittany</t>
  </si>
  <si>
    <t>Nico</t>
  </si>
  <si>
    <t>Max</t>
  </si>
  <si>
    <t>Faith</t>
  </si>
  <si>
    <t>Casen</t>
  </si>
  <si>
    <t>Itzel</t>
  </si>
  <si>
    <t>Khari</t>
  </si>
  <si>
    <t>Kamila</t>
  </si>
  <si>
    <t>Landry</t>
  </si>
  <si>
    <t>Noah</t>
  </si>
  <si>
    <t>Cory</t>
  </si>
  <si>
    <t>Selah</t>
  </si>
  <si>
    <t>Aarya</t>
  </si>
  <si>
    <t>Jaxton</t>
  </si>
  <si>
    <t>Galilea</t>
  </si>
  <si>
    <t>Aidan</t>
  </si>
  <si>
    <t>Elliana</t>
  </si>
  <si>
    <t>Isaias</t>
  </si>
  <si>
    <t>Maisie</t>
  </si>
  <si>
    <t>Dane</t>
  </si>
  <si>
    <t>Kalel</t>
  </si>
  <si>
    <t>Braelyn</t>
  </si>
  <si>
    <t>Ronin</t>
  </si>
  <si>
    <t>Bianca</t>
  </si>
  <si>
    <t>Kamari</t>
  </si>
  <si>
    <t>Marianna</t>
  </si>
  <si>
    <t>Jace</t>
  </si>
  <si>
    <t>Ariana</t>
  </si>
  <si>
    <t>Kylo</t>
  </si>
  <si>
    <t>Jane</t>
  </si>
  <si>
    <t>Rhys</t>
  </si>
  <si>
    <t>Arabella</t>
  </si>
  <si>
    <t>Braxton</t>
  </si>
  <si>
    <t>Ava</t>
  </si>
  <si>
    <t>Kasen</t>
  </si>
  <si>
    <t>Kimber</t>
  </si>
  <si>
    <t>Chase</t>
  </si>
  <si>
    <t>Victoria</t>
  </si>
  <si>
    <t>Dakota</t>
  </si>
  <si>
    <t>Aubree</t>
  </si>
  <si>
    <t>Ty</t>
  </si>
  <si>
    <t>Harley</t>
  </si>
  <si>
    <t>Oakley</t>
  </si>
  <si>
    <t>Eileen</t>
  </si>
  <si>
    <t>Kyree</t>
  </si>
  <si>
    <t>Amaris</t>
  </si>
  <si>
    <t>Riley</t>
  </si>
  <si>
    <t>Jaylee</t>
  </si>
  <si>
    <t>Sawyer</t>
  </si>
  <si>
    <t>Evie</t>
  </si>
  <si>
    <t>Collin</t>
  </si>
  <si>
    <t>Evelyn</t>
  </si>
  <si>
    <t># of People</t>
  </si>
  <si>
    <t>Q1</t>
  </si>
  <si>
    <r>
      <rPr>
        <b/>
        <sz val="10"/>
        <rFont val="Arial"/>
        <family val="2"/>
      </rPr>
      <t>Q1.</t>
    </r>
    <r>
      <rPr>
        <sz val="10"/>
        <rFont val="Arial"/>
        <family val="2"/>
      </rPr>
      <t xml:space="preserve"> Based on the data provided below, find out how many people are born in the month of Jan, Feb,…Nov, Dec. </t>
    </r>
  </si>
  <si>
    <t>Q2</t>
  </si>
  <si>
    <r>
      <rPr>
        <b/>
        <sz val="10"/>
        <rFont val="Arial"/>
        <family val="2"/>
      </rPr>
      <t>Q2.</t>
    </r>
    <r>
      <rPr>
        <sz val="10"/>
        <rFont val="Arial"/>
        <family val="2"/>
      </rPr>
      <t xml:space="preserve"> Based on the data provided below, find out DOB of mentioned people using excel formulas</t>
    </r>
  </si>
  <si>
    <t>Q3. How many stores are operating below sales value of AED 5000</t>
  </si>
  <si>
    <t>Q4. How many stores are there in UAE</t>
  </si>
  <si>
    <t>Qatar</t>
  </si>
  <si>
    <t>Oman</t>
  </si>
  <si>
    <t>Banana Republic - TDM</t>
  </si>
  <si>
    <t>UAE</t>
  </si>
  <si>
    <t>Kuwait</t>
  </si>
  <si>
    <t>KSA</t>
  </si>
  <si>
    <t>Bahrain</t>
  </si>
  <si>
    <t>Label Factory - DOM</t>
  </si>
  <si>
    <t>Mamas&amp; papas  - Dubai Hills</t>
  </si>
  <si>
    <t>Al Wahda</t>
  </si>
  <si>
    <t>Al Wahda Virtual</t>
  </si>
  <si>
    <t>Avenues</t>
  </si>
  <si>
    <t>Avenues Virtual</t>
  </si>
  <si>
    <t>Digital Commerce Bahrain - SFS</t>
  </si>
  <si>
    <t>Dubai Hills Virtual</t>
  </si>
  <si>
    <t>Galleria</t>
  </si>
  <si>
    <t>Mirdiff CC</t>
  </si>
  <si>
    <t>Mirdiff CC Virtual</t>
  </si>
  <si>
    <t>Nakheel - KSA</t>
  </si>
  <si>
    <t>Nakheel - KSA - Virtual</t>
  </si>
  <si>
    <t>Seef Mall</t>
  </si>
  <si>
    <t>Sowwah Pop-Up</t>
  </si>
  <si>
    <t>Sowwah Pop-Up Virtual</t>
  </si>
  <si>
    <t>TDM</t>
  </si>
  <si>
    <t>TDM Virtual</t>
  </si>
  <si>
    <t>Villagio</t>
  </si>
  <si>
    <t>Al Kout Mall Kuwait</t>
  </si>
  <si>
    <t>Doha Festival City</t>
  </si>
  <si>
    <t>KSA Digital Commerce</t>
  </si>
  <si>
    <t>Kuwait Digital Commerce</t>
  </si>
  <si>
    <t>Outlet Village</t>
  </si>
  <si>
    <t>Sowwah Central</t>
  </si>
  <si>
    <t>UAE Digital Commerce</t>
  </si>
  <si>
    <t>360 Kuwait</t>
  </si>
  <si>
    <t>Avenue Kuwait</t>
  </si>
  <si>
    <t>Dubai Hills</t>
  </si>
  <si>
    <t>Mercato Mall</t>
  </si>
  <si>
    <t>MOE</t>
  </si>
  <si>
    <t>Muscat CC</t>
  </si>
  <si>
    <t>Villagio Mall</t>
  </si>
  <si>
    <t>The Dubai Mall Zabeel</t>
  </si>
  <si>
    <t>ABC Ecom BHN</t>
  </si>
  <si>
    <t>ABC Ecom KWT</t>
  </si>
  <si>
    <t>ABC Ecom OMN</t>
  </si>
  <si>
    <t>ABC Ecom UAE</t>
  </si>
  <si>
    <t>ABC Pop Up</t>
  </si>
  <si>
    <t>Galleria Virtual</t>
  </si>
  <si>
    <t>360 Kuwait Virtual</t>
  </si>
  <si>
    <t>Al Yasmin Mall</t>
  </si>
  <si>
    <t>Digital Commerce  Kuwait</t>
  </si>
  <si>
    <t>Qatar Digital Commerce</t>
  </si>
  <si>
    <t>Red Sea Mall</t>
  </si>
  <si>
    <t>Red Sea Mall Virtual</t>
  </si>
  <si>
    <t>Muscat City Centre</t>
  </si>
  <si>
    <t>Days Trading</t>
  </si>
  <si>
    <t>Financial year is from July to June and the number of days trading in the year is mentioned in column B</t>
  </si>
  <si>
    <t>Stores</t>
  </si>
  <si>
    <t>Q2.</t>
  </si>
  <si>
    <t>Q3.</t>
  </si>
  <si>
    <t>Column G, Get the right data in the yellow cells</t>
  </si>
  <si>
    <t>Column H, use formula to determine - if the sales is greater than 50k, the result to reutrn "Y", sales less than 50k should return back "N"</t>
  </si>
  <si>
    <t>Sales greater than 50k ( Y / N )</t>
  </si>
  <si>
    <t>Location</t>
  </si>
  <si>
    <t>Department</t>
  </si>
  <si>
    <t>Group</t>
  </si>
  <si>
    <t>Buying Group</t>
  </si>
  <si>
    <t>VPN</t>
  </si>
  <si>
    <t>Family (32713)</t>
  </si>
  <si>
    <t>Item Size</t>
  </si>
  <si>
    <t>Season</t>
  </si>
  <si>
    <t>First Receive Date</t>
  </si>
  <si>
    <t>Last Received Date</t>
  </si>
  <si>
    <t>Sales Units</t>
  </si>
  <si>
    <t>Sales Cost</t>
  </si>
  <si>
    <t>Sales Retail Value</t>
  </si>
  <si>
    <t>Total Stock Units</t>
  </si>
  <si>
    <t>Total Stock Cost</t>
  </si>
  <si>
    <t>Brand ABC TDM</t>
  </si>
  <si>
    <t>Accessories</t>
  </si>
  <si>
    <t>Unisex</t>
  </si>
  <si>
    <t>Bottles</t>
  </si>
  <si>
    <t>I1A2J-BBBB</t>
  </si>
  <si>
    <t>Lifting Goods</t>
  </si>
  <si>
    <t>One Size</t>
  </si>
  <si>
    <t>Continuity</t>
  </si>
  <si>
    <t>I1A2J-PBVP</t>
  </si>
  <si>
    <t>I1A2U-BBBB</t>
  </si>
  <si>
    <t>I1A2U-ECJR</t>
  </si>
  <si>
    <t>I1A4T-BBBB</t>
  </si>
  <si>
    <t>I2A6T-BBBB</t>
  </si>
  <si>
    <t>OS</t>
  </si>
  <si>
    <t>I3A2K-BBBB</t>
  </si>
  <si>
    <t>Conditioning Goods</t>
  </si>
  <si>
    <t>I3A2K-KB1J</t>
  </si>
  <si>
    <t>I3A2K-KCCG</t>
  </si>
  <si>
    <t>FW24</t>
  </si>
  <si>
    <t>I3A2K-UCZX</t>
  </si>
  <si>
    <t>Headwear</t>
  </si>
  <si>
    <t>I1A6R-BBF7</t>
  </si>
  <si>
    <t>Sharkhead</t>
  </si>
  <si>
    <t>I1A6R-GBCN</t>
  </si>
  <si>
    <t>I1A6R-NBY9</t>
  </si>
  <si>
    <t>I1A6R-UCTM</t>
  </si>
  <si>
    <t>SS25</t>
  </si>
  <si>
    <t>I1A7G-BBBB</t>
  </si>
  <si>
    <t>Legacy</t>
  </si>
  <si>
    <t>I1A7G-GBCN</t>
  </si>
  <si>
    <t>Socks</t>
  </si>
  <si>
    <t>I1B2O-BB2J</t>
  </si>
  <si>
    <t>L</t>
  </si>
  <si>
    <t>M</t>
  </si>
  <si>
    <t>S</t>
  </si>
  <si>
    <t>I2A1Z-GBCN</t>
  </si>
  <si>
    <t>I2A1Z-NCDX</t>
  </si>
  <si>
    <t>I2A1Z-WBBM</t>
  </si>
  <si>
    <t>I2A3B-BBBB</t>
  </si>
  <si>
    <t>Rest Day Goods</t>
  </si>
  <si>
    <t>I2A3B-WBBM</t>
  </si>
  <si>
    <t>I2A3B-WBTM</t>
  </si>
  <si>
    <t>I3A3P-BB2J</t>
  </si>
  <si>
    <t>I3A3P-ECKQ</t>
  </si>
  <si>
    <t>I3A3P-KB1F</t>
  </si>
  <si>
    <t>I3A3P-KB4C</t>
  </si>
  <si>
    <t>I3A3P-PBV5</t>
  </si>
  <si>
    <t>I3A3P-WB57</t>
  </si>
  <si>
    <t>I3A3P-WB7Z</t>
  </si>
  <si>
    <t>I3A3P-WCCH</t>
  </si>
  <si>
    <t>I3A3P-WCKM</t>
  </si>
  <si>
    <t>I3A7W-BB2J</t>
  </si>
  <si>
    <t>I3A7W-WB57</t>
  </si>
  <si>
    <t>I3A9S-WB57</t>
  </si>
  <si>
    <t>I3A9T-BCNS</t>
  </si>
  <si>
    <t>I3A9T-NCQ0</t>
  </si>
  <si>
    <t>I3A9T-NCQ1</t>
  </si>
  <si>
    <t>Equipment</t>
  </si>
  <si>
    <t>I1A2S-BBBB</t>
  </si>
  <si>
    <t>XL</t>
  </si>
  <si>
    <t>I1A2S-GB7P</t>
  </si>
  <si>
    <t>I3A8K-BB2J</t>
  </si>
  <si>
    <t>Running</t>
  </si>
  <si>
    <t>M/L</t>
  </si>
  <si>
    <t>S/M</t>
  </si>
  <si>
    <t>Womens</t>
  </si>
  <si>
    <t>I2A9T-BBBB</t>
  </si>
  <si>
    <t>I2A9T-KB7D</t>
  </si>
  <si>
    <t>I3A3X-NCCT</t>
  </si>
  <si>
    <t>I3A3X-PBZN</t>
  </si>
  <si>
    <t>I3A3X-TBNG</t>
  </si>
  <si>
    <t>I4A1L-UC5L</t>
  </si>
  <si>
    <t>Bags</t>
  </si>
  <si>
    <t>I2A5Q-BBBB</t>
  </si>
  <si>
    <t>Everyday</t>
  </si>
  <si>
    <t>I2A5Q-GB7P</t>
  </si>
  <si>
    <t>I2A5W-GB7P</t>
  </si>
  <si>
    <t>I2A9I-BB3J</t>
  </si>
  <si>
    <t>Tech Series</t>
  </si>
  <si>
    <t>I2A9N-BB2J</t>
  </si>
  <si>
    <t>I3A1V-BBBB</t>
  </si>
  <si>
    <t>I3A2H-BBBB</t>
  </si>
  <si>
    <t>I3A2H-ECJK</t>
  </si>
  <si>
    <t>I3A4R-BB2J</t>
  </si>
  <si>
    <t>I4A1Z-BB2J</t>
  </si>
  <si>
    <t>I4A2K-BCYL</t>
  </si>
  <si>
    <t>Power</t>
  </si>
  <si>
    <t>I4A2K-WCTR</t>
  </si>
  <si>
    <t>I4A2T-BCYL</t>
  </si>
  <si>
    <t>Military</t>
  </si>
  <si>
    <t>I4A2T-WCTR</t>
  </si>
  <si>
    <t>Clothing</t>
  </si>
  <si>
    <t>Mens</t>
  </si>
  <si>
    <t>Short Sleeve Tops</t>
  </si>
  <si>
    <t>A1A3E-BBBB</t>
  </si>
  <si>
    <t>Essentials</t>
  </si>
  <si>
    <t>XS</t>
  </si>
  <si>
    <t>A1A3E-ECH1</t>
  </si>
  <si>
    <t>A1A3E-GB7P</t>
  </si>
  <si>
    <t>A1A3E-GBFH</t>
  </si>
  <si>
    <t>A1A3E-NCCZ</t>
  </si>
  <si>
    <t>A1A3E-PBZS</t>
  </si>
  <si>
    <t>A1A3E-WBBM</t>
  </si>
  <si>
    <t>A1A3J-BBBB</t>
  </si>
  <si>
    <t>Crest</t>
  </si>
  <si>
    <t>A1A3J-GBFG</t>
  </si>
  <si>
    <t>A1A3J-NCCZ</t>
  </si>
  <si>
    <t>A1A3J-WBBM</t>
  </si>
  <si>
    <t>A1B1R-GB7N</t>
  </si>
  <si>
    <t>Rest Day</t>
  </si>
  <si>
    <t>A1B1R-GB7P</t>
  </si>
  <si>
    <t>A1C2T-BB2J</t>
  </si>
  <si>
    <t>GFX GS X AT</t>
  </si>
  <si>
    <t>A1C2T-WB57</t>
  </si>
  <si>
    <t>A1C2V-GCHR</t>
  </si>
  <si>
    <t>A1C3B-BB2J</t>
  </si>
  <si>
    <t>A1C3B-WB57</t>
  </si>
  <si>
    <t>A1C3D-ECH9</t>
  </si>
  <si>
    <t>A1C3D-GB7N</t>
  </si>
  <si>
    <t>A1C3E-BB2J</t>
  </si>
  <si>
    <t>A1C3E-WB57</t>
  </si>
  <si>
    <t>A1C3F-GB7N</t>
  </si>
  <si>
    <t>A2A1I-GCWP</t>
  </si>
  <si>
    <t>Arrival</t>
  </si>
  <si>
    <t>A2A1I-GCWV</t>
  </si>
  <si>
    <t>A2A1J-BBBB</t>
  </si>
  <si>
    <t>A2A1J-UBCY</t>
  </si>
  <si>
    <t>A2A1K-WBBM</t>
  </si>
  <si>
    <t>A2A9H-UCBK</t>
  </si>
  <si>
    <t>A2C7T-BB2J</t>
  </si>
  <si>
    <t>A2C7T-WB57</t>
  </si>
  <si>
    <t>A2C7U-BB2J</t>
  </si>
  <si>
    <t>A2C7U-WB57</t>
  </si>
  <si>
    <t>A4A9Q-BB2J</t>
  </si>
  <si>
    <t>A4A9Q-BCPN</t>
  </si>
  <si>
    <t>A4A9Q-ECJF</t>
  </si>
  <si>
    <t>A4A9Q-GBCN</t>
  </si>
  <si>
    <t>A4A9Q-NBRP</t>
  </si>
  <si>
    <t>A4A9Q-RBX4</t>
  </si>
  <si>
    <t>A4A9Q-UB9P</t>
  </si>
  <si>
    <t>A5A2D-BBF9</t>
  </si>
  <si>
    <t>Geo Seamless</t>
  </si>
  <si>
    <t>A5A2U-GB7P</t>
  </si>
  <si>
    <t>A5A5H-BB3K</t>
  </si>
  <si>
    <t>Apex</t>
  </si>
  <si>
    <t>A5A5H-GCHW</t>
  </si>
  <si>
    <t>A5A5H-UCZM</t>
  </si>
  <si>
    <t>A5A5N-BB2J</t>
  </si>
  <si>
    <t>GFX Spartan Man</t>
  </si>
  <si>
    <t>SS24</t>
  </si>
  <si>
    <t>A5A5N-WB57</t>
  </si>
  <si>
    <t>A6A4D-BCL2</t>
  </si>
  <si>
    <t>Vital</t>
  </si>
  <si>
    <t>A6A5Z-WB57</t>
  </si>
  <si>
    <t>Impact</t>
  </si>
  <si>
    <t>A6A7C-BB67</t>
  </si>
  <si>
    <t>Premium Legacy</t>
  </si>
  <si>
    <t>A6A7C-NB4S</t>
  </si>
  <si>
    <t>A7A3B-BB2J</t>
  </si>
  <si>
    <t>Shark Attack V2</t>
  </si>
  <si>
    <t>A7A3H-BCPH</t>
  </si>
  <si>
    <t>Heavyweight Sweats</t>
  </si>
  <si>
    <t>Long Sleeve Tops</t>
  </si>
  <si>
    <t>A1A9E-NCCZ</t>
  </si>
  <si>
    <t>A1C2U-BB2J</t>
  </si>
  <si>
    <t>A5A3C-GBFG</t>
  </si>
  <si>
    <t>A5A3C-WB57</t>
  </si>
  <si>
    <t>A6A7V-BCPH</t>
  </si>
  <si>
    <t>XXL</t>
  </si>
  <si>
    <t>A6A7V-GCV5</t>
  </si>
  <si>
    <t>Shorts</t>
  </si>
  <si>
    <t>A1B3J-BB3K</t>
  </si>
  <si>
    <t>Sport</t>
  </si>
  <si>
    <t>A1B3J-ECV8</t>
  </si>
  <si>
    <t>A1B3J-UCZR</t>
  </si>
  <si>
    <t>A1B3L-BB2J</t>
  </si>
  <si>
    <t>A1B3L-ECV5</t>
  </si>
  <si>
    <t>A1B3L-GB7X</t>
  </si>
  <si>
    <t>A1B3L-NCRB</t>
  </si>
  <si>
    <t>A1B3L-TBRL</t>
  </si>
  <si>
    <t>A1B3M-BB2J</t>
  </si>
  <si>
    <t>A1B3M-GB7X</t>
  </si>
  <si>
    <t>Heavyweight Ribbed</t>
  </si>
  <si>
    <t>A2A1L-BBBB</t>
  </si>
  <si>
    <t>A2A1L-ECJQ</t>
  </si>
  <si>
    <t>A2A1L-RBS6</t>
  </si>
  <si>
    <t>A2A1M-KB7D</t>
  </si>
  <si>
    <t>A2A1M-WBBM</t>
  </si>
  <si>
    <t>A4A8K-GB8N</t>
  </si>
  <si>
    <t>A4A8K-GCWD</t>
  </si>
  <si>
    <t>Heritage</t>
  </si>
  <si>
    <t>A4A8K-PBVT</t>
  </si>
  <si>
    <t>A4A8K-UCMS</t>
  </si>
  <si>
    <t>A5A6C-ECJF</t>
  </si>
  <si>
    <t>A5A6Q-BB2J</t>
  </si>
  <si>
    <t>A5A7V-WCDL</t>
  </si>
  <si>
    <t>A5A9S-BB2J</t>
  </si>
  <si>
    <t>A5A9S-NCCZ</t>
  </si>
  <si>
    <t>A6A5V-BB2J</t>
  </si>
  <si>
    <t>A6A5V-GB7N</t>
  </si>
  <si>
    <t>A6A5V-UCTM</t>
  </si>
  <si>
    <t>A6A7A-BB67</t>
  </si>
  <si>
    <t>A6A7A-NB4S</t>
  </si>
  <si>
    <t>A6A7A-UCZQ</t>
  </si>
  <si>
    <t>A6A8A-BB2J</t>
  </si>
  <si>
    <t>Nexus</t>
  </si>
  <si>
    <t>A6A8A-UCVL</t>
  </si>
  <si>
    <t>Pants</t>
  </si>
  <si>
    <t>A1B3K-BB2J</t>
  </si>
  <si>
    <t>A1B3K-GB7H</t>
  </si>
  <si>
    <t>A2A1N-BBBB</t>
  </si>
  <si>
    <t>A2A1N-GBP4</t>
  </si>
  <si>
    <t>A2A4H-BBBB</t>
  </si>
  <si>
    <t>A2A4H-EBF1</t>
  </si>
  <si>
    <t>A2A4H-UBCY</t>
  </si>
  <si>
    <t>A3A9K-BBBB</t>
  </si>
  <si>
    <t>Rest Day Essentials</t>
  </si>
  <si>
    <t>A3A9K-UCTN</t>
  </si>
  <si>
    <t>A4A7V-GB8N</t>
  </si>
  <si>
    <t>A4A7V-GCWD</t>
  </si>
  <si>
    <t>A5A1O-BBBB</t>
  </si>
  <si>
    <t>A5A1O-GBCN</t>
  </si>
  <si>
    <t>A5A1O-NCCZ</t>
  </si>
  <si>
    <t>A5A8Y-BB2J</t>
  </si>
  <si>
    <t>A5A8Y-GBCN</t>
  </si>
  <si>
    <t>A6A2G-BB2J</t>
  </si>
  <si>
    <t>A6A2G-NBZS</t>
  </si>
  <si>
    <t>A6A3Q-BB67</t>
  </si>
  <si>
    <t>A6A3Q-NB4S</t>
  </si>
  <si>
    <t>A6A3Q-UCZQ</t>
  </si>
  <si>
    <t>A6A5W-BB2J</t>
  </si>
  <si>
    <t>A6A5W-GB7N</t>
  </si>
  <si>
    <t>A6A6B-BB2J</t>
  </si>
  <si>
    <t>A6A9A-BB2J</t>
  </si>
  <si>
    <t>A6A9U-BB2J</t>
  </si>
  <si>
    <t>Pullovers</t>
  </si>
  <si>
    <t>A1B5F-UC32</t>
  </si>
  <si>
    <t>A1B5L-BB2J</t>
  </si>
  <si>
    <t>A1B5L-ECH1</t>
  </si>
  <si>
    <t>A1B5L-GBCN</t>
  </si>
  <si>
    <t>A1B5N-GC02</t>
  </si>
  <si>
    <t>A2A1U-GBFG</t>
  </si>
  <si>
    <t>A2A8C-BB7Q</t>
  </si>
  <si>
    <t>A2A8C-NB43</t>
  </si>
  <si>
    <t>A3A1S-UB9P</t>
  </si>
  <si>
    <t>A3A4P-BBMW</t>
  </si>
  <si>
    <t>A3A4P-GB8V</t>
  </si>
  <si>
    <t>A4A3S-BBBB</t>
  </si>
  <si>
    <t>A4A3S-NBRP</t>
  </si>
  <si>
    <t>A4A7J-GB8N</t>
  </si>
  <si>
    <t>A4A8F-GB8N</t>
  </si>
  <si>
    <t>A4A8F-UCMS</t>
  </si>
  <si>
    <t>A5A4V-BB3K</t>
  </si>
  <si>
    <t>A5A8O-BB2J</t>
  </si>
  <si>
    <t>A5A8O-NCCZ</t>
  </si>
  <si>
    <t>A6A6Z-NB4S</t>
  </si>
  <si>
    <t>A6A7J-BCPH</t>
  </si>
  <si>
    <t>A6A7J-GCV5</t>
  </si>
  <si>
    <t>A7A1J-BB2J</t>
  </si>
  <si>
    <t>A7A3M-BB67</t>
  </si>
  <si>
    <t>Sleeveless Tops</t>
  </si>
  <si>
    <t>A1B5T-BB2J</t>
  </si>
  <si>
    <t>Element</t>
  </si>
  <si>
    <t>A1B5T-WB57</t>
  </si>
  <si>
    <t>A2A1O-GB7P</t>
  </si>
  <si>
    <t>A2A1O-OBRS</t>
  </si>
  <si>
    <t>A3A7Q-BBBB</t>
  </si>
  <si>
    <t>A3A7Q-WBBM</t>
  </si>
  <si>
    <t>A4A8U-GB8N</t>
  </si>
  <si>
    <t>A4A8U-GCWD</t>
  </si>
  <si>
    <t>A4A8U-UCMS</t>
  </si>
  <si>
    <t>A5A3A-ECH1</t>
  </si>
  <si>
    <t>A5A3A-GB7P</t>
  </si>
  <si>
    <t>A5A3A-NBZD</t>
  </si>
  <si>
    <t>A5A5C-BB3K</t>
  </si>
  <si>
    <t>A5A5C-GCHX</t>
  </si>
  <si>
    <t>A5A5C-TBRK</t>
  </si>
  <si>
    <t>A5A9P-GB8N</t>
  </si>
  <si>
    <t>A6A7B-BB67</t>
  </si>
  <si>
    <t>A6A7B-NB4S</t>
  </si>
  <si>
    <t>Underwear</t>
  </si>
  <si>
    <t>A5A3V-BCCN</t>
  </si>
  <si>
    <t>A5A3V-BCCW</t>
  </si>
  <si>
    <t>B1A7M-BBBB</t>
  </si>
  <si>
    <t>Training</t>
  </si>
  <si>
    <t>B1A7M-UBCY</t>
  </si>
  <si>
    <t>B1A7M-WBBM</t>
  </si>
  <si>
    <t>B1C9V-BB2J</t>
  </si>
  <si>
    <t>GFX Embroidered Brand ABC</t>
  </si>
  <si>
    <t>B1C9V-GCHK</t>
  </si>
  <si>
    <t>B2B1S-UCTP</t>
  </si>
  <si>
    <t>Strength In Numbers</t>
  </si>
  <si>
    <t>B2B1X-BB2J</t>
  </si>
  <si>
    <t>Elevate Chain</t>
  </si>
  <si>
    <t>B2B1X-WCMZ</t>
  </si>
  <si>
    <t>B2B2N-UB9P</t>
  </si>
  <si>
    <t>Lifting Club</t>
  </si>
  <si>
    <t>B2B2N-WB57</t>
  </si>
  <si>
    <t>B2B6K-GBCY</t>
  </si>
  <si>
    <t>B2B6K-WB57</t>
  </si>
  <si>
    <t>B2B6L-KBS4</t>
  </si>
  <si>
    <t>B2B6M-BB2J</t>
  </si>
  <si>
    <t>B2B6N-GB7N</t>
  </si>
  <si>
    <t>B2B6O-BB2J</t>
  </si>
  <si>
    <t>B2B6Q-BB2J</t>
  </si>
  <si>
    <t>B2B6T-BB2J</t>
  </si>
  <si>
    <t>B2B6T-WB57</t>
  </si>
  <si>
    <t>B3A6L-BBGR</t>
  </si>
  <si>
    <t>GFX Fraction</t>
  </si>
  <si>
    <t>B6A3Z-BB2J</t>
  </si>
  <si>
    <t>GFX Core</t>
  </si>
  <si>
    <t>B6A3Z-ECBB</t>
  </si>
  <si>
    <t>B6A3Z-KB7B</t>
  </si>
  <si>
    <t>B6A3Z-WB86</t>
  </si>
  <si>
    <t>B7A4V-BB2J</t>
  </si>
  <si>
    <t>B8A4O-BB2J</t>
  </si>
  <si>
    <t>Everyday Seamless</t>
  </si>
  <si>
    <t>B8A4O-RBQV</t>
  </si>
  <si>
    <t>B9A7A-BB67</t>
  </si>
  <si>
    <t>B4A8C-BBF3</t>
  </si>
  <si>
    <t>B4A8C-UCW6</t>
  </si>
  <si>
    <t>B5A8Y-KB68</t>
  </si>
  <si>
    <t>Gym-Kit</t>
  </si>
  <si>
    <t>B5A8Y-UCTN</t>
  </si>
  <si>
    <t>B8A4Q-BB2J</t>
  </si>
  <si>
    <t>B8A4Q-ECJH</t>
  </si>
  <si>
    <t>B8A4Q-RBQV</t>
  </si>
  <si>
    <t>B8A4Q-TBNG</t>
  </si>
  <si>
    <t>B9A5S-BB2J</t>
  </si>
  <si>
    <t>Elevate</t>
  </si>
  <si>
    <t>B9A5S-NCNW</t>
  </si>
  <si>
    <t>B9A5T-PB1M</t>
  </si>
  <si>
    <t>Leggings</t>
  </si>
  <si>
    <t>B1A2B-BBF3</t>
  </si>
  <si>
    <t>B1A2B-EBTF</t>
  </si>
  <si>
    <t>B1A2B-GCSV</t>
  </si>
  <si>
    <t>B1A2B-KB80</t>
  </si>
  <si>
    <t>B1A2B-UCW7</t>
  </si>
  <si>
    <t>B1B7A-BB2J</t>
  </si>
  <si>
    <t>Linear Seamless</t>
  </si>
  <si>
    <t>B1B7B-BB2J</t>
  </si>
  <si>
    <t>Reps</t>
  </si>
  <si>
    <t>B1C3X-BB2J</t>
  </si>
  <si>
    <t>B1C3Z-BB29</t>
  </si>
  <si>
    <t>Caged</t>
  </si>
  <si>
    <t>B1C3Z-UCY1</t>
  </si>
  <si>
    <t>B1C8U-BB2J</t>
  </si>
  <si>
    <t>B1C8U-ECJF</t>
  </si>
  <si>
    <t>B1C8V-BB2J</t>
  </si>
  <si>
    <t>B1C8V-ECJF</t>
  </si>
  <si>
    <t>B2A8F-BBBB</t>
  </si>
  <si>
    <t>B2A8F-ECBG</t>
  </si>
  <si>
    <t>B2A8F-NBY8</t>
  </si>
  <si>
    <t>XXS</t>
  </si>
  <si>
    <t>B2A8F-UBCY</t>
  </si>
  <si>
    <t>B5A8B-BCNC</t>
  </si>
  <si>
    <t>Adapt Camo</t>
  </si>
  <si>
    <t>B5A8B-ECJ8</t>
  </si>
  <si>
    <t>B5A8B-UCDW</t>
  </si>
  <si>
    <t>B7A3L-BB2J</t>
  </si>
  <si>
    <t>B7A3L-ECJH</t>
  </si>
  <si>
    <t>B7A3L-RBQV</t>
  </si>
  <si>
    <t>B7A3L-UB9P</t>
  </si>
  <si>
    <t>B7A4E-BB2J</t>
  </si>
  <si>
    <t>B7A4E-ECJF</t>
  </si>
  <si>
    <t>B7A7H-BB2J</t>
  </si>
  <si>
    <t>B7A7H-UB9P</t>
  </si>
  <si>
    <t>B9A9L-PBVR</t>
  </si>
  <si>
    <t>B9A9L-RBWT</t>
  </si>
  <si>
    <t>B1A4J-BBF3</t>
  </si>
  <si>
    <t>B1A4J-EBTF</t>
  </si>
  <si>
    <t>B1A4J-KB0W</t>
  </si>
  <si>
    <t>B1A4J-KB80</t>
  </si>
  <si>
    <t>B1A4J-UCW6</t>
  </si>
  <si>
    <t>B1B1J-BB2J</t>
  </si>
  <si>
    <t>B6A1L-BCNC</t>
  </si>
  <si>
    <t>B6A1L-ECJ8</t>
  </si>
  <si>
    <t>B6A8M-BB2J</t>
  </si>
  <si>
    <t>B6A8M-TBNG</t>
  </si>
  <si>
    <t>B7A4G-ECJF</t>
  </si>
  <si>
    <t>B7A4G-PBZR</t>
  </si>
  <si>
    <t>B7A4G-UCTN</t>
  </si>
  <si>
    <t>Sports Bras</t>
  </si>
  <si>
    <t>B1C5F-BB29</t>
  </si>
  <si>
    <t>B2A7A-UB9P</t>
  </si>
  <si>
    <t>Fundamental Sports Bras</t>
  </si>
  <si>
    <t>B2A7A-WBBM</t>
  </si>
  <si>
    <t>B2A7A-WCMZ</t>
  </si>
  <si>
    <t>B2B2M-UB9P</t>
  </si>
  <si>
    <t>B2B2M-WB57</t>
  </si>
  <si>
    <t>B3A2J-BBBB</t>
  </si>
  <si>
    <t>B3A2J-KB7B</t>
  </si>
  <si>
    <t>B3A2J-PBZS</t>
  </si>
  <si>
    <t>B3A2J-UCTN</t>
  </si>
  <si>
    <t>B3A2J-WBBM</t>
  </si>
  <si>
    <t>B3A2J-WCC9</t>
  </si>
  <si>
    <t>B3A4K-BBF3</t>
  </si>
  <si>
    <t>B3A4K-EBTF</t>
  </si>
  <si>
    <t>B3A4K-KB0W</t>
  </si>
  <si>
    <t>B3A4K-UCW7</t>
  </si>
  <si>
    <t>B6A2G-ECJ8</t>
  </si>
  <si>
    <t>B8A4T-BB2J</t>
  </si>
  <si>
    <t>B8A4T-RBQV</t>
  </si>
  <si>
    <t>B8A4T-TBNG</t>
  </si>
  <si>
    <t>B8A5U-BB2J</t>
  </si>
  <si>
    <t>B8A5U-WB57</t>
  </si>
  <si>
    <t>B8A5V-BB2J</t>
  </si>
  <si>
    <t>B8A5V-ECDN</t>
  </si>
  <si>
    <t>B8A5V-WB57</t>
  </si>
  <si>
    <t>B8A5X-GBCN</t>
  </si>
  <si>
    <t>B8A5Y-BB2J</t>
  </si>
  <si>
    <t>B8A5Y-WB57</t>
  </si>
  <si>
    <t>B8A6A-BB2J</t>
  </si>
  <si>
    <t>B8A6A-PBZR</t>
  </si>
  <si>
    <t>B8A6A-TBNH</t>
  </si>
  <si>
    <t>B8A9D-KB0V</t>
  </si>
  <si>
    <t>B8A9D-WB57</t>
  </si>
  <si>
    <t>B9A8C-UCDW</t>
  </si>
  <si>
    <t>Crop Tops</t>
  </si>
  <si>
    <t>B1A3D-EBTF</t>
  </si>
  <si>
    <t>B1B7S-BB2J</t>
  </si>
  <si>
    <t>B1C5Q-BB67</t>
  </si>
  <si>
    <t>B1C5Q-PB1M</t>
  </si>
  <si>
    <t>B1C5W-BB29</t>
  </si>
  <si>
    <t>B1C5W-UCY1</t>
  </si>
  <si>
    <t>B4A6W-BBF3</t>
  </si>
  <si>
    <t>B4A6W-UCW6</t>
  </si>
  <si>
    <t>B4A6W-UCW7</t>
  </si>
  <si>
    <t>B6A3Q-BCBF</t>
  </si>
  <si>
    <t>B6A3Q-KB7B</t>
  </si>
  <si>
    <t>B6A3Q-WB57</t>
  </si>
  <si>
    <t>B7A1Q-BB2J</t>
  </si>
  <si>
    <t>B7A2S-ECJH</t>
  </si>
  <si>
    <t>B7A2S-TBNG</t>
  </si>
  <si>
    <t>B8A4P-RBQV</t>
  </si>
  <si>
    <t>B9A5J-PBVR</t>
  </si>
  <si>
    <t>B9A5J-RBWT</t>
  </si>
  <si>
    <t>B9A5J-TBQQ</t>
  </si>
  <si>
    <t>B9A5M-BB2J</t>
  </si>
  <si>
    <t>B9A5M-PBZT</t>
  </si>
  <si>
    <t>Jackets / Outerwear</t>
  </si>
  <si>
    <t>B1B7P-BB2J</t>
  </si>
  <si>
    <t>B5A9Q-BBF3</t>
  </si>
  <si>
    <t>B5A9Q-KB80</t>
  </si>
  <si>
    <t>One Pieces</t>
  </si>
  <si>
    <t>B1C4S-BB2J</t>
  </si>
  <si>
    <t>B1C4T-UCY1</t>
  </si>
  <si>
    <t>B8A5E-BCBT</t>
  </si>
  <si>
    <t>B1B5F-BB67</t>
  </si>
  <si>
    <t>B1C9Z-BB2J</t>
  </si>
  <si>
    <t>B1C9Z-GCHK</t>
  </si>
  <si>
    <t>B7A4D-BB2J</t>
  </si>
  <si>
    <t>B2B1W-BB2J</t>
  </si>
  <si>
    <t>B2B2J-NCNZ</t>
  </si>
  <si>
    <t>B2B2J-UB9P</t>
  </si>
  <si>
    <t>B5A9R-BB2J</t>
  </si>
  <si>
    <t>B5A9R-ECH1</t>
  </si>
  <si>
    <t>B9A6F-BB67</t>
  </si>
  <si>
    <t>B3A2Q-BBF3</t>
  </si>
  <si>
    <t>B3A2Q-EBTF</t>
  </si>
  <si>
    <t>B3A2Q-UBR3</t>
  </si>
  <si>
    <t>B8A4S-BB2J</t>
  </si>
  <si>
    <t>Q1. Find the Region for the following Stores</t>
  </si>
  <si>
    <t>Region</t>
  </si>
  <si>
    <t>Q2. Find Region Sales</t>
  </si>
  <si>
    <t>Sales-AED</t>
  </si>
  <si>
    <t>Calculate the Sales per Day per day</t>
  </si>
  <si>
    <t>Question # 3 (1 marks)</t>
  </si>
  <si>
    <t>Column G, Conditional highlight sales greater than 100k</t>
  </si>
  <si>
    <t>Question # 4 (2 marks)</t>
  </si>
  <si>
    <t>Question # 5 (4 marks)</t>
  </si>
  <si>
    <t/>
  </si>
  <si>
    <r>
      <rPr>
        <b/>
        <sz val="10"/>
        <rFont val="Arial"/>
        <family val="2"/>
      </rPr>
      <t xml:space="preserve">Q1 </t>
    </r>
    <r>
      <rPr>
        <sz val="10"/>
        <rFont val="Arial"/>
        <family val="2"/>
      </rPr>
      <t>Based on the below data table, please come up with a performance analysis report with the help of pivots and graphs/charts to present to the head of planning.</t>
    </r>
  </si>
  <si>
    <t>You can use the next sheet for your report.</t>
  </si>
  <si>
    <t>Performance Report</t>
  </si>
  <si>
    <t>Note :- Update your answer in the cells with yellow background and do not delete the formulas</t>
  </si>
  <si>
    <t>Grand Total</t>
  </si>
  <si>
    <t>Total Sales Retail Value</t>
  </si>
  <si>
    <t>Buying group</t>
  </si>
  <si>
    <t>Total Revenue</t>
  </si>
  <si>
    <t xml:space="preserve">Profit </t>
  </si>
  <si>
    <t>Sell Through %</t>
  </si>
  <si>
    <t>Total Sell Through %</t>
  </si>
  <si>
    <t>Revenue</t>
  </si>
  <si>
    <t>Family</t>
  </si>
  <si>
    <t>Total Revenue- Buyin group</t>
  </si>
  <si>
    <t>Total Revenue- Product Family</t>
  </si>
  <si>
    <t>Total Units</t>
  </si>
  <si>
    <t xml:space="preserve">Total Units </t>
  </si>
  <si>
    <t xml:space="preserve">Sales Units </t>
  </si>
  <si>
    <t xml:space="preserve"> Sales Retail Value </t>
  </si>
  <si>
    <t xml:space="preserve">Sales Cost </t>
  </si>
  <si>
    <t xml:space="preserve">Gross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</si>
</sst>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m\/d\/yy"/>
  </numFmts>
  <fonts count="11" x14ac:knownFonts="1">
    <font>
      <sz val="10"/>
      <name val="Arial"/>
    </font>
    <font>
      <sz val="10"/>
      <name val="Arial"/>
      <family val="2"/>
    </font>
    <font>
      <sz val="8"/>
      <name val="Arial"/>
      <family val="2"/>
    </font>
    <font>
      <b/>
      <sz val="10"/>
      <name val="Arial"/>
      <family val="2"/>
    </font>
    <font>
      <sz val="10"/>
      <name val="Arial"/>
      <family val="2"/>
    </font>
    <font>
      <b/>
      <u/>
      <sz val="10"/>
      <name val="Arial"/>
      <family val="2"/>
    </font>
    <font>
      <sz val="10"/>
      <color indexed="9"/>
      <name val="Arial"/>
      <family val="2"/>
    </font>
    <font>
      <sz val="10"/>
      <color rgb="FF333333"/>
      <name val="Arial"/>
      <family val="2"/>
    </font>
    <font>
      <b/>
      <sz val="8"/>
      <color rgb="FF35383A"/>
      <name val="Open Sans"/>
      <family val="2"/>
    </font>
    <font>
      <sz val="8"/>
      <color rgb="FF35383A"/>
      <name val="Open Sans"/>
      <family val="2"/>
    </font>
    <font>
      <b/>
      <i/>
      <u/>
      <sz val="10"/>
      <name val="Arial"/>
      <family val="2"/>
    </font>
  </fonts>
  <fills count="9">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0000"/>
        <bgColor indexed="64"/>
      </patternFill>
    </fill>
    <fill>
      <patternFill patternType="solid">
        <fgColor rgb="FFFFFFFF"/>
      </patternFill>
    </fill>
    <fill>
      <patternFill patternType="solid">
        <fgColor theme="5" tint="0.59999389629810485"/>
        <bgColor indexed="64"/>
      </patternFill>
    </fill>
    <fill>
      <patternFill patternType="solid">
        <fgColor theme="8" tint="0.59999389629810485"/>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bottom style="thin">
        <color rgb="FFABABAB"/>
      </bottom>
      <diagonal/>
    </border>
    <border>
      <left/>
      <right/>
      <top/>
      <bottom style="thin">
        <color rgb="FFEBEBEB"/>
      </bottom>
      <diagonal/>
    </border>
  </borders>
  <cellStyleXfs count="3">
    <xf numFmtId="0" fontId="0" fillId="0" borderId="0"/>
    <xf numFmtId="43" fontId="1" fillId="0" borderId="0" applyFont="0" applyFill="0" applyBorder="0" applyAlignment="0" applyProtection="0"/>
    <xf numFmtId="0" fontId="4" fillId="0" borderId="0"/>
  </cellStyleXfs>
  <cellXfs count="81">
    <xf numFmtId="0" fontId="0" fillId="0" borderId="0" xfId="0"/>
    <xf numFmtId="0" fontId="3" fillId="0" borderId="0" xfId="0" applyFont="1"/>
    <xf numFmtId="0" fontId="5" fillId="0" borderId="0" xfId="0" applyFont="1"/>
    <xf numFmtId="0" fontId="4" fillId="0" borderId="0" xfId="2" applyProtection="1">
      <protection locked="0"/>
    </xf>
    <xf numFmtId="20" fontId="4" fillId="0" borderId="0" xfId="2" applyNumberFormat="1" applyProtection="1">
      <protection locked="0"/>
    </xf>
    <xf numFmtId="14" fontId="4" fillId="0" borderId="0" xfId="2" applyNumberFormat="1" applyProtection="1">
      <protection locked="0"/>
    </xf>
    <xf numFmtId="0" fontId="6" fillId="0" borderId="0" xfId="2" applyFont="1" applyProtection="1">
      <protection locked="0"/>
    </xf>
    <xf numFmtId="14" fontId="6" fillId="0" borderId="0" xfId="2" applyNumberFormat="1" applyFont="1" applyProtection="1">
      <protection locked="0"/>
    </xf>
    <xf numFmtId="0" fontId="4" fillId="0" borderId="0" xfId="2"/>
    <xf numFmtId="0" fontId="3" fillId="0" borderId="0" xfId="2" applyFont="1" applyProtection="1">
      <protection locked="0"/>
    </xf>
    <xf numFmtId="20" fontId="3" fillId="0" borderId="0" xfId="2" applyNumberFormat="1" applyFont="1" applyProtection="1">
      <protection locked="0"/>
    </xf>
    <xf numFmtId="14" fontId="3" fillId="0" borderId="0" xfId="2" applyNumberFormat="1" applyFont="1" applyProtection="1">
      <protection locked="0"/>
    </xf>
    <xf numFmtId="0" fontId="0" fillId="4" borderId="2" xfId="0" applyFill="1" applyBorder="1" applyAlignment="1">
      <alignment horizontal="centerContinuous" vertical="center"/>
    </xf>
    <xf numFmtId="0" fontId="0" fillId="4" borderId="3" xfId="0" applyFill="1" applyBorder="1" applyAlignment="1">
      <alignment horizontal="centerContinuous" vertical="center"/>
    </xf>
    <xf numFmtId="164" fontId="0" fillId="0" borderId="0" xfId="1" applyNumberFormat="1" applyFont="1"/>
    <xf numFmtId="0" fontId="3" fillId="0" borderId="0" xfId="0" applyFont="1" applyAlignment="1">
      <alignment horizontal="center"/>
    </xf>
    <xf numFmtId="0" fontId="0" fillId="0" borderId="0" xfId="0" applyAlignment="1">
      <alignment horizontal="center"/>
    </xf>
    <xf numFmtId="15" fontId="0" fillId="0" borderId="0" xfId="0" applyNumberFormat="1" applyAlignment="1">
      <alignment horizontal="center"/>
    </xf>
    <xf numFmtId="3" fontId="0" fillId="3" borderId="0" xfId="0" applyNumberFormat="1" applyFill="1" applyAlignment="1">
      <alignment horizontal="center"/>
    </xf>
    <xf numFmtId="3" fontId="0" fillId="0" borderId="0" xfId="1" applyNumberFormat="1" applyFont="1" applyAlignment="1">
      <alignment horizontal="center"/>
    </xf>
    <xf numFmtId="3" fontId="0" fillId="3" borderId="0" xfId="1" applyNumberFormat="1" applyFont="1" applyFill="1" applyAlignment="1">
      <alignment horizontal="center"/>
    </xf>
    <xf numFmtId="0" fontId="1" fillId="0" borderId="0" xfId="0" applyFont="1"/>
    <xf numFmtId="3" fontId="3" fillId="0" borderId="0" xfId="0" applyNumberFormat="1" applyFont="1"/>
    <xf numFmtId="3" fontId="3" fillId="3" borderId="4" xfId="0" applyNumberFormat="1" applyFont="1" applyFill="1" applyBorder="1"/>
    <xf numFmtId="3" fontId="0" fillId="0" borderId="0" xfId="0" applyNumberFormat="1"/>
    <xf numFmtId="14" fontId="0" fillId="0" borderId="0" xfId="0" applyNumberFormat="1"/>
    <xf numFmtId="4" fontId="0" fillId="3" borderId="0" xfId="0" applyNumberFormat="1" applyFill="1" applyAlignment="1">
      <alignment horizontal="center"/>
    </xf>
    <xf numFmtId="0" fontId="0" fillId="5" borderId="0" xfId="0" applyFill="1"/>
    <xf numFmtId="14" fontId="1" fillId="0" borderId="0" xfId="2" applyNumberFormat="1" applyFont="1" applyProtection="1">
      <protection locked="0"/>
    </xf>
    <xf numFmtId="20" fontId="1" fillId="0" borderId="0" xfId="2" applyNumberFormat="1" applyFont="1" applyProtection="1">
      <protection locked="0"/>
    </xf>
    <xf numFmtId="0" fontId="1" fillId="0" borderId="0" xfId="2" applyFont="1" applyProtection="1">
      <protection locked="0"/>
    </xf>
    <xf numFmtId="19" fontId="1" fillId="0" borderId="0" xfId="2" applyNumberFormat="1" applyFont="1" applyProtection="1">
      <protection locked="0"/>
    </xf>
    <xf numFmtId="0" fontId="1" fillId="0" borderId="0" xfId="2" applyFont="1" applyAlignment="1" applyProtection="1">
      <alignment horizontal="center"/>
      <protection locked="0"/>
    </xf>
    <xf numFmtId="0" fontId="1" fillId="0" borderId="0" xfId="2" applyFont="1" applyProtection="1">
      <protection locked="0" hidden="1"/>
    </xf>
    <xf numFmtId="14" fontId="3" fillId="0" borderId="0" xfId="2" applyNumberFormat="1" applyFont="1" applyAlignment="1" applyProtection="1">
      <alignment horizontal="center"/>
      <protection locked="0"/>
    </xf>
    <xf numFmtId="15" fontId="1" fillId="0" borderId="0" xfId="2" applyNumberFormat="1" applyFont="1" applyAlignment="1">
      <alignment horizontal="center"/>
    </xf>
    <xf numFmtId="0" fontId="1" fillId="3" borderId="0" xfId="0" applyFont="1" applyFill="1"/>
    <xf numFmtId="164" fontId="1" fillId="0" borderId="0" xfId="1" applyNumberFormat="1" applyFont="1"/>
    <xf numFmtId="3" fontId="1" fillId="3" borderId="0" xfId="0" applyNumberFormat="1" applyFont="1" applyFill="1"/>
    <xf numFmtId="3" fontId="1" fillId="0" borderId="0" xfId="0" applyNumberFormat="1" applyFont="1"/>
    <xf numFmtId="0" fontId="7" fillId="0" borderId="0" xfId="0" applyFont="1" applyAlignment="1">
      <alignment vertical="center"/>
    </xf>
    <xf numFmtId="3" fontId="0" fillId="0" borderId="0" xfId="0" applyNumberFormat="1" applyAlignment="1">
      <alignment horizontal="center"/>
    </xf>
    <xf numFmtId="0" fontId="0" fillId="0" borderId="0" xfId="0" applyAlignment="1">
      <alignment vertical="top"/>
    </xf>
    <xf numFmtId="0" fontId="9" fillId="6" borderId="6" xfId="0" applyFont="1" applyFill="1" applyBorder="1" applyAlignment="1">
      <alignment horizontal="left" vertical="top"/>
    </xf>
    <xf numFmtId="165" fontId="9" fillId="6" borderId="6" xfId="0" applyNumberFormat="1" applyFont="1" applyFill="1" applyBorder="1" applyAlignment="1">
      <alignment horizontal="right" vertical="top"/>
    </xf>
    <xf numFmtId="37" fontId="9" fillId="6" borderId="6" xfId="0" applyNumberFormat="1" applyFont="1" applyFill="1" applyBorder="1" applyAlignment="1">
      <alignment horizontal="right" vertical="top"/>
    </xf>
    <xf numFmtId="0" fontId="8" fillId="7" borderId="5" xfId="0" applyFont="1" applyFill="1" applyBorder="1" applyAlignment="1">
      <alignment horizontal="left" vertical="top" wrapText="1"/>
    </xf>
    <xf numFmtId="0" fontId="8" fillId="7" borderId="5" xfId="0" applyFont="1" applyFill="1" applyBorder="1" applyAlignment="1">
      <alignment vertical="top" wrapText="1"/>
    </xf>
    <xf numFmtId="0" fontId="8" fillId="7" borderId="5" xfId="0" applyFont="1" applyFill="1" applyBorder="1" applyAlignment="1">
      <alignment horizontal="right" vertical="top" wrapText="1"/>
    </xf>
    <xf numFmtId="0" fontId="8" fillId="8" borderId="5" xfId="0" applyFont="1" applyFill="1" applyBorder="1" applyAlignment="1">
      <alignment horizontal="right" vertical="top" wrapText="1"/>
    </xf>
    <xf numFmtId="0" fontId="3" fillId="4" borderId="1" xfId="0" applyFont="1" applyFill="1" applyBorder="1" applyAlignment="1">
      <alignment horizontal="centerContinuous" vertical="center"/>
    </xf>
    <xf numFmtId="0" fontId="3" fillId="0" borderId="0" xfId="0" applyFont="1" applyAlignment="1">
      <alignment horizontal="centerContinuous" vertical="center"/>
    </xf>
    <xf numFmtId="0" fontId="0" fillId="0" borderId="0" xfId="0" applyAlignment="1">
      <alignment horizontal="centerContinuous" vertical="center"/>
    </xf>
    <xf numFmtId="0" fontId="1" fillId="0" borderId="0" xfId="0" quotePrefix="1" applyFont="1"/>
    <xf numFmtId="0" fontId="1" fillId="2" borderId="0" xfId="2" applyFont="1" applyFill="1" applyAlignment="1" applyProtection="1">
      <alignment horizontal="center"/>
      <protection locked="0"/>
    </xf>
    <xf numFmtId="0" fontId="10" fillId="0" borderId="0" xfId="0" applyFont="1"/>
    <xf numFmtId="15" fontId="1" fillId="3" borderId="0" xfId="2" applyNumberFormat="1" applyFont="1" applyFill="1" applyAlignment="1" applyProtection="1">
      <alignment horizontal="right"/>
      <protection locked="0"/>
    </xf>
    <xf numFmtId="0" fontId="0" fillId="0" borderId="0" xfId="0" pivotButton="1"/>
    <xf numFmtId="0" fontId="0" fillId="0" borderId="0" xfId="0" applyAlignment="1">
      <alignment horizontal="left"/>
    </xf>
    <xf numFmtId="3" fontId="10" fillId="0" borderId="0" xfId="0" applyNumberFormat="1" applyFont="1"/>
    <xf numFmtId="3" fontId="0" fillId="0" borderId="0" xfId="0" applyNumberFormat="1" applyAlignment="1">
      <alignment wrapText="1"/>
    </xf>
    <xf numFmtId="0" fontId="0" fillId="0" borderId="0" xfId="0" pivotButton="1" applyAlignment="1">
      <alignment vertical="center"/>
    </xf>
    <xf numFmtId="37" fontId="0" fillId="0" borderId="0" xfId="0" applyNumberFormat="1"/>
    <xf numFmtId="0" fontId="0" fillId="0" borderId="0" xfId="0" applyAlignment="1">
      <alignment vertical="center"/>
    </xf>
    <xf numFmtId="3" fontId="0" fillId="0" borderId="0" xfId="0" applyNumberFormat="1" applyAlignment="1">
      <alignment vertical="center" wrapText="1"/>
    </xf>
    <xf numFmtId="3" fontId="0" fillId="0" borderId="0" xfId="0" applyNumberFormat="1" applyAlignment="1">
      <alignment horizontal="center" vertical="center" wrapText="1"/>
    </xf>
    <xf numFmtId="9" fontId="0" fillId="0" borderId="0" xfId="0" applyNumberFormat="1" applyAlignment="1">
      <alignment horizontal="center"/>
    </xf>
    <xf numFmtId="0" fontId="10" fillId="0" borderId="0" xfId="0" applyFont="1" applyAlignment="1">
      <alignment horizontal="left"/>
    </xf>
    <xf numFmtId="0" fontId="8" fillId="8" borderId="0" xfId="0" applyFont="1" applyFill="1" applyAlignment="1">
      <alignment horizontal="right" vertical="top" wrapText="1"/>
    </xf>
    <xf numFmtId="0" fontId="0" fillId="0" borderId="0" xfId="0" applyAlignment="1">
      <alignment horizontal="center" vertical="center"/>
    </xf>
    <xf numFmtId="0" fontId="0" fillId="0" borderId="0" xfId="0" applyAlignment="1">
      <alignment vertical="center" wrapText="1"/>
    </xf>
    <xf numFmtId="0" fontId="0" fillId="0" borderId="0" xfId="0" pivotButton="1" applyAlignment="1">
      <alignment vertical="center" wrapText="1"/>
    </xf>
    <xf numFmtId="0" fontId="0" fillId="0" borderId="0" xfId="0" applyAlignment="1">
      <alignment horizontal="center" vertical="center" wrapText="1"/>
    </xf>
    <xf numFmtId="3" fontId="3" fillId="0" borderId="0" xfId="0" applyNumberFormat="1" applyFont="1" applyAlignment="1">
      <alignment horizontal="center"/>
    </xf>
    <xf numFmtId="9" fontId="3" fillId="0" borderId="0" xfId="0" applyNumberFormat="1" applyFont="1" applyAlignment="1">
      <alignment horizontal="center"/>
    </xf>
    <xf numFmtId="0" fontId="3" fillId="0" borderId="1" xfId="2" applyFont="1" applyBorder="1" applyAlignment="1" applyProtection="1">
      <alignment horizontal="center"/>
      <protection locked="0"/>
    </xf>
    <xf numFmtId="0" fontId="3" fillId="0" borderId="2" xfId="2" applyFont="1" applyBorder="1" applyAlignment="1" applyProtection="1">
      <alignment horizontal="center"/>
      <protection locked="0"/>
    </xf>
    <xf numFmtId="0" fontId="3" fillId="0" borderId="3" xfId="2" applyFont="1" applyBorder="1" applyAlignment="1" applyProtection="1">
      <alignment horizontal="center"/>
      <protection locked="0"/>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cellXfs>
  <cellStyles count="3">
    <cellStyle name="Comma" xfId="1" builtinId="3"/>
    <cellStyle name="Normal" xfId="0" builtinId="0"/>
    <cellStyle name="Normal 2" xfId="2" xr:uid="{00000000-0005-0000-0000-000002000000}"/>
  </cellStyles>
  <dxfs count="85">
    <dxf>
      <font>
        <b/>
        <family val="2"/>
      </font>
    </dxf>
    <dxf>
      <alignment horizontal="center"/>
    </dxf>
    <dxf>
      <alignment horizontal="center"/>
    </dxf>
    <dxf>
      <alignment horizontal="center"/>
    </dxf>
    <dxf>
      <alignment vertical="center"/>
    </dxf>
    <dxf>
      <alignment wrapText="1"/>
    </dxf>
    <dxf>
      <numFmt numFmtId="3" formatCode="#,##0"/>
    </dxf>
    <dxf>
      <numFmt numFmtId="3" formatCode="#,##0"/>
    </dxf>
    <dxf>
      <alignment vertical="center"/>
    </dxf>
    <dxf>
      <alignment vertical="center"/>
    </dxf>
    <dxf>
      <alignment vertical="center"/>
    </dxf>
    <dxf>
      <alignment wrapText="1"/>
    </dxf>
    <dxf>
      <numFmt numFmtId="3" formatCode="#,##0"/>
    </dxf>
    <dxf>
      <numFmt numFmtId="3" formatCode="#,##0"/>
    </dxf>
    <dxf>
      <alignment vertical="center"/>
    </dxf>
    <dxf>
      <alignment wrapText="1"/>
    </dxf>
    <dxf>
      <numFmt numFmtId="3" formatCode="#,##0"/>
    </dxf>
    <dxf>
      <numFmt numFmtId="3" formatCode="#,##0"/>
    </dxf>
    <dxf>
      <font>
        <b/>
        <family val="2"/>
      </font>
    </dxf>
    <dxf>
      <alignment horizontal="center"/>
    </dxf>
    <dxf>
      <alignment horizontal="center"/>
    </dxf>
    <dxf>
      <alignment horizontal="center"/>
    </dxf>
    <dxf>
      <alignment vertical="center"/>
    </dxf>
    <dxf>
      <alignment wrapText="1"/>
    </dxf>
    <dxf>
      <numFmt numFmtId="3" formatCode="#,##0"/>
    </dxf>
    <dxf>
      <numFmt numFmtId="3" formatCode="#,##0"/>
    </dxf>
    <dxf>
      <font>
        <b/>
        <family val="2"/>
      </font>
    </dxf>
    <dxf>
      <alignment horizontal="center"/>
    </dxf>
    <dxf>
      <alignment horizontal="center"/>
    </dxf>
    <dxf>
      <alignment horizontal="center"/>
    </dxf>
    <dxf>
      <numFmt numFmtId="13" formatCode="0%"/>
    </dxf>
    <dxf>
      <alignment vertical="center"/>
    </dxf>
    <dxf>
      <alignment horizontal="center"/>
    </dxf>
    <dxf>
      <alignment wrapText="1"/>
    </dxf>
    <dxf>
      <numFmt numFmtId="3" formatCode="#,##0"/>
    </dxf>
    <dxf>
      <alignment vertical="center"/>
    </dxf>
    <dxf>
      <alignment vertical="center"/>
    </dxf>
    <dxf>
      <alignment vertical="center"/>
    </dxf>
    <dxf>
      <alignment wrapText="1"/>
    </dxf>
    <dxf>
      <numFmt numFmtId="3" formatCode="#,##0"/>
    </dxf>
    <dxf>
      <numFmt numFmtId="3" formatCode="#,##0"/>
    </dxf>
    <dxf>
      <alignment vertical="center"/>
    </dxf>
    <dxf>
      <alignment vertical="center"/>
    </dxf>
    <dxf>
      <alignment wrapText="1"/>
    </dxf>
    <dxf>
      <alignment wrapText="1"/>
    </dxf>
    <dxf>
      <alignment horizontal="center"/>
    </dxf>
    <dxf>
      <alignment horizontal="center"/>
    </dxf>
    <dxf>
      <numFmt numFmtId="13" formatCode="0%"/>
    </dxf>
    <dxf>
      <numFmt numFmtId="3" formatCode="#,##0"/>
    </dxf>
    <dxf>
      <alignment horizontal="center"/>
    </dxf>
    <dxf>
      <alignment vertical="center"/>
    </dxf>
    <dxf>
      <alignment vertical="center"/>
    </dxf>
    <dxf>
      <alignment wrapText="1"/>
    </dxf>
    <dxf>
      <alignment horizontal="center"/>
    </dxf>
    <dxf>
      <alignment horizontal="center"/>
    </dxf>
    <dxf>
      <numFmt numFmtId="13" formatCode="0%"/>
    </dxf>
    <dxf>
      <numFmt numFmtId="3" formatCode="#,##0"/>
    </dxf>
    <dxf>
      <alignment horizontal="center"/>
    </dxf>
    <dxf>
      <alignment horizontal="center"/>
    </dxf>
    <dxf>
      <alignment vertical="center"/>
    </dxf>
    <dxf>
      <alignment vertical="center"/>
    </dxf>
    <dxf>
      <alignment wrapText="1"/>
    </dxf>
    <dxf>
      <numFmt numFmtId="3" formatCode="#,##0"/>
    </dxf>
    <dxf>
      <numFmt numFmtId="3" formatCode="#,##0"/>
    </dxf>
    <dxf>
      <alignment vertical="center"/>
    </dxf>
    <dxf>
      <alignment vertical="center"/>
    </dxf>
    <dxf>
      <alignment wrapText="1"/>
    </dxf>
    <dxf>
      <alignment wrapText="1"/>
    </dxf>
    <dxf>
      <alignment horizontal="center"/>
    </dxf>
    <dxf>
      <alignment horizontal="center"/>
    </dxf>
    <dxf>
      <numFmt numFmtId="13" formatCode="0%"/>
    </dxf>
    <dxf>
      <numFmt numFmtId="3" formatCode="#,##0"/>
    </dxf>
    <dxf>
      <alignment horizontal="cent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9"/>
      </font>
    </dxf>
    <dxf>
      <font>
        <condense val="0"/>
        <extend val="0"/>
        <color indexed="9"/>
      </font>
    </dxf>
    <dxf>
      <font>
        <condense val="0"/>
        <extend val="0"/>
        <color indexed="8"/>
      </font>
    </dxf>
    <dxf>
      <font>
        <condense val="0"/>
        <extend val="0"/>
        <color auto="1"/>
      </font>
    </dxf>
    <dxf>
      <font>
        <condense val="0"/>
        <extend val="0"/>
        <color indexed="9"/>
      </font>
    </dxf>
    <dxf>
      <font>
        <b/>
        <i val="0"/>
        <condense val="0"/>
        <extend val="0"/>
        <color indexed="10"/>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Test.xlsx]Report (Q # 5)!PivotTable6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Buying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(Q # 5)'!$BC$2</c:f>
              <c:strCache>
                <c:ptCount val="1"/>
                <c:pt idx="0">
                  <c:v>Total</c:v>
                </c:pt>
              </c:strCache>
            </c:strRef>
          </c:tx>
          <c:spPr>
            <a:solidFill>
              <a:schemeClr val="accent1"/>
            </a:solidFill>
            <a:ln>
              <a:noFill/>
            </a:ln>
            <a:effectLst/>
          </c:spPr>
          <c:invertIfNegative val="0"/>
          <c:cat>
            <c:strRef>
              <c:f>'Report (Q # 5)'!$BB$3:$BB$13</c:f>
              <c:strCache>
                <c:ptCount val="10"/>
                <c:pt idx="0">
                  <c:v>Short Sleeve Tops</c:v>
                </c:pt>
                <c:pt idx="1">
                  <c:v>Shorts</c:v>
                </c:pt>
                <c:pt idx="2">
                  <c:v>Leggings</c:v>
                </c:pt>
                <c:pt idx="3">
                  <c:v>Pullovers</c:v>
                </c:pt>
                <c:pt idx="4">
                  <c:v>Sports Bras</c:v>
                </c:pt>
                <c:pt idx="5">
                  <c:v>Pants</c:v>
                </c:pt>
                <c:pt idx="6">
                  <c:v>Socks</c:v>
                </c:pt>
                <c:pt idx="7">
                  <c:v>Sleeveless Tops</c:v>
                </c:pt>
                <c:pt idx="8">
                  <c:v>Crop Tops</c:v>
                </c:pt>
                <c:pt idx="9">
                  <c:v>Long Sleeve Tops</c:v>
                </c:pt>
              </c:strCache>
            </c:strRef>
          </c:cat>
          <c:val>
            <c:numRef>
              <c:f>'Report (Q # 5)'!$BC$3:$BC$13</c:f>
              <c:numCache>
                <c:formatCode>#,##0</c:formatCode>
                <c:ptCount val="10"/>
                <c:pt idx="0">
                  <c:v>406468.22000000015</c:v>
                </c:pt>
                <c:pt idx="1">
                  <c:v>170177.64000000007</c:v>
                </c:pt>
                <c:pt idx="2">
                  <c:v>161649.81</c:v>
                </c:pt>
                <c:pt idx="3">
                  <c:v>144304.84000000005</c:v>
                </c:pt>
                <c:pt idx="4">
                  <c:v>103162.38000000002</c:v>
                </c:pt>
                <c:pt idx="5">
                  <c:v>92258.73000000004</c:v>
                </c:pt>
                <c:pt idx="6">
                  <c:v>48024.119999999995</c:v>
                </c:pt>
                <c:pt idx="7">
                  <c:v>45227.010000000009</c:v>
                </c:pt>
                <c:pt idx="8">
                  <c:v>33944.129999999997</c:v>
                </c:pt>
                <c:pt idx="9">
                  <c:v>31141.960000000003</c:v>
                </c:pt>
              </c:numCache>
            </c:numRef>
          </c:val>
          <c:extLst>
            <c:ext xmlns:c16="http://schemas.microsoft.com/office/drawing/2014/chart" uri="{C3380CC4-5D6E-409C-BE32-E72D297353CC}">
              <c16:uniqueId val="{00000000-3756-4E4F-B896-950433A607B8}"/>
            </c:ext>
          </c:extLst>
        </c:ser>
        <c:dLbls>
          <c:showLegendKey val="0"/>
          <c:showVal val="0"/>
          <c:showCatName val="0"/>
          <c:showSerName val="0"/>
          <c:showPercent val="0"/>
          <c:showBubbleSize val="0"/>
        </c:dLbls>
        <c:gapWidth val="219"/>
        <c:overlap val="-27"/>
        <c:axId val="1616532527"/>
        <c:axId val="1616530447"/>
      </c:barChart>
      <c:catAx>
        <c:axId val="161653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30447"/>
        <c:crosses val="autoZero"/>
        <c:auto val="1"/>
        <c:lblAlgn val="ctr"/>
        <c:lblOffset val="100"/>
        <c:noMultiLvlLbl val="0"/>
      </c:catAx>
      <c:valAx>
        <c:axId val="1616530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3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Test.xlsx]Report (Q # 5)!PivotTable3</c:name>
    <c:fmtId val="1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'Report (Q # 5)'!$D$5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CC58-4B6D-9931-2196EED1B96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CC58-4B6D-9931-2196EED1B96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CC58-4B6D-9931-2196EED1B9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'Report (Q # 5)'!$C$6:$C$9</c:f>
              <c:strCache>
                <c:ptCount val="3"/>
                <c:pt idx="0">
                  <c:v>Clothing</c:v>
                </c:pt>
                <c:pt idx="1">
                  <c:v>Accessories</c:v>
                </c:pt>
                <c:pt idx="2">
                  <c:v>Bags</c:v>
                </c:pt>
              </c:strCache>
            </c:strRef>
          </c:cat>
          <c:val>
            <c:numRef>
              <c:f>'Report (Q # 5)'!$D$6:$D$9</c:f>
              <c:numCache>
                <c:formatCode>#,##0</c:formatCode>
                <c:ptCount val="3"/>
                <c:pt idx="0">
                  <c:v>1213687.7699999996</c:v>
                </c:pt>
                <c:pt idx="1">
                  <c:v>75760.340000000026</c:v>
                </c:pt>
                <c:pt idx="2">
                  <c:v>19482.830000000002</c:v>
                </c:pt>
              </c:numCache>
            </c:numRef>
          </c:val>
          <c:extLst>
            <c:ext xmlns:c16="http://schemas.microsoft.com/office/drawing/2014/chart" uri="{C3380CC4-5D6E-409C-BE32-E72D297353CC}">
              <c16:uniqueId val="{00000006-CC58-4B6D-9931-2196EED1B96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Top 10 Produt Family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10 Produt Family</a:t>
          </a:r>
        </a:p>
      </cx:txPr>
    </cx:title>
    <cx:plotArea>
      <cx:plotAreaRegion>
        <cx:series layoutId="funnel" uniqueId="{DAA7FBA3-BEF6-46A8-BC95-2DC17EF29DE5}">
          <cx:tx>
            <cx:txData>
              <cx:f>_xlchart.v2.4</cx:f>
              <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5556</xdr:rowOff>
    </xdr:from>
    <xdr:to>
      <xdr:col>0</xdr:col>
      <xdr:colOff>1215122</xdr:colOff>
      <xdr:row>21</xdr:row>
      <xdr:rowOff>109753</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2CEEEC67-C8D4-48AB-AE33-E2DA28F4C86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2710491"/>
              <a:ext cx="1215122" cy="1060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180308</xdr:colOff>
      <xdr:row>3</xdr:row>
      <xdr:rowOff>62716</xdr:rowOff>
    </xdr:from>
    <xdr:to>
      <xdr:col>17</xdr:col>
      <xdr:colOff>478210</xdr:colOff>
      <xdr:row>18</xdr:row>
      <xdr:rowOff>23519</xdr:rowOff>
    </xdr:to>
    <xdr:graphicFrame macro="">
      <xdr:nvGraphicFramePr>
        <xdr:cNvPr id="13" name="Chart 12">
          <a:extLst>
            <a:ext uri="{FF2B5EF4-FFF2-40B4-BE49-F238E27FC236}">
              <a16:creationId xmlns:a16="http://schemas.microsoft.com/office/drawing/2014/main" id="{09FB4EB1-0442-41C2-B615-0EE90A1FC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227345</xdr:colOff>
      <xdr:row>18</xdr:row>
      <xdr:rowOff>94074</xdr:rowOff>
    </xdr:from>
    <xdr:to>
      <xdr:col>17</xdr:col>
      <xdr:colOff>518974</xdr:colOff>
      <xdr:row>36</xdr:row>
      <xdr:rowOff>15053</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5364DDC5-0868-4F04-91C6-7B6E44AA68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644145" y="3110324"/>
              <a:ext cx="4558829" cy="30959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31358</xdr:colOff>
      <xdr:row>23</xdr:row>
      <xdr:rowOff>38492</xdr:rowOff>
    </xdr:from>
    <xdr:to>
      <xdr:col>0</xdr:col>
      <xdr:colOff>1152407</xdr:colOff>
      <xdr:row>30</xdr:row>
      <xdr:rowOff>148951</xdr:rowOff>
    </xdr:to>
    <mc:AlternateContent xmlns:mc="http://schemas.openxmlformats.org/markup-compatibility/2006" xmlns:a14="http://schemas.microsoft.com/office/drawing/2010/main">
      <mc:Choice Requires="a14">
        <xdr:graphicFrame macro="">
          <xdr:nvGraphicFramePr>
            <xdr:cNvPr id="17" name="Season">
              <a:extLst>
                <a:ext uri="{FF2B5EF4-FFF2-40B4-BE49-F238E27FC236}">
                  <a16:creationId xmlns:a16="http://schemas.microsoft.com/office/drawing/2014/main" id="{93E8C7B2-60A3-4F48-8356-D11E6764075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31358" y="4013427"/>
              <a:ext cx="1121049" cy="1380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0</xdr:colOff>
      <xdr:row>1</xdr:row>
      <xdr:rowOff>290061</xdr:rowOff>
    </xdr:from>
    <xdr:to>
      <xdr:col>34</xdr:col>
      <xdr:colOff>86235</xdr:colOff>
      <xdr:row>19</xdr:row>
      <xdr:rowOff>329258</xdr:rowOff>
    </xdr:to>
    <xdr:graphicFrame macro="">
      <xdr:nvGraphicFramePr>
        <xdr:cNvPr id="19" name="Chart 18">
          <a:extLst>
            <a:ext uri="{FF2B5EF4-FFF2-40B4-BE49-F238E27FC236}">
              <a16:creationId xmlns:a16="http://schemas.microsoft.com/office/drawing/2014/main" id="{CE03EBA1-A995-4C8A-A700-3811EDB35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ura Madhubhasha" refreshedDate="45979.564718055553" createdVersion="7" refreshedVersion="7" minRefreshableVersion="3" recordCount="1436" xr:uid="{0AD1A8CA-3629-436E-8B00-7A6B2AFAB01F}">
  <cacheSource type="worksheet">
    <worksheetSource ref="A6:P1442" sheet="Q # 5"/>
  </cacheSource>
  <cacheFields count="18">
    <cacheField name="Location" numFmtId="0">
      <sharedItems/>
    </cacheField>
    <cacheField name="Department" numFmtId="0">
      <sharedItems count="3">
        <s v="Accessories"/>
        <s v="Bags"/>
        <s v="Clothing"/>
      </sharedItems>
    </cacheField>
    <cacheField name="Group" numFmtId="0">
      <sharedItems count="3">
        <s v="Unisex"/>
        <s v="Womens"/>
        <s v="Mens"/>
      </sharedItems>
    </cacheField>
    <cacheField name="Buying Group" numFmtId="0">
      <sharedItems/>
    </cacheField>
    <cacheField name="VPN" numFmtId="0">
      <sharedItems/>
    </cacheField>
    <cacheField name="Family (32713)" numFmtId="0">
      <sharedItems/>
    </cacheField>
    <cacheField name="Item Size" numFmtId="0">
      <sharedItems/>
    </cacheField>
    <cacheField name="Season" numFmtId="0">
      <sharedItems count="4">
        <s v="Continuity"/>
        <s v="FW24"/>
        <s v="SS25"/>
        <s v="SS24"/>
      </sharedItems>
    </cacheField>
    <cacheField name="First Receive Date" numFmtId="165">
      <sharedItems containsSemiMixedTypes="0" containsNonDate="0" containsDate="1" containsString="0" minDate="2024-05-20T00:00:00" maxDate="2024-12-15T00:00:00"/>
    </cacheField>
    <cacheField name="Last Received Date" numFmtId="165">
      <sharedItems containsSemiMixedTypes="0" containsNonDate="0" containsDate="1" containsString="0" minDate="2024-10-25T00:00:00" maxDate="2024-12-22T00:00:00"/>
    </cacheField>
    <cacheField name="Sales Units" numFmtId="37">
      <sharedItems containsSemiMixedTypes="0" containsString="0" containsNumber="1" containsInteger="1" minValue="0" maxValue="97"/>
    </cacheField>
    <cacheField name="Sales Cost" numFmtId="37">
      <sharedItems containsSemiMixedTypes="0" containsString="0" containsNumber="1" minValue="-1.0395000000000001" maxValue="4327.6342000000004"/>
    </cacheField>
    <cacheField name="Sales Retail Value" numFmtId="37">
      <sharedItems containsSemiMixedTypes="0" containsString="0" containsNumber="1" minValue="0" maxValue="11797.79"/>
    </cacheField>
    <cacheField name="Total Stock Units" numFmtId="37">
      <sharedItems containsSemiMixedTypes="0" containsString="0" containsNumber="1" containsInteger="1" minValue="0" maxValue="30"/>
    </cacheField>
    <cacheField name="Total Stock Cost" numFmtId="37">
      <sharedItems containsSemiMixedTypes="0" containsString="0" containsNumber="1" minValue="0" maxValue="1347.0868"/>
    </cacheField>
    <cacheField name="Total Units" numFmtId="37">
      <sharedItems containsSemiMixedTypes="0" containsString="0" containsNumber="1" containsInteger="1" minValue="1" maxValue="125"/>
    </cacheField>
    <cacheField name="Gross Profit" numFmtId="0" formula="'Sales Retail Value'-'Sales Cost'" databaseField="0"/>
    <cacheField name="Sell Through" numFmtId="0" formula="'Sales Units'/'Total Units'" databaseField="0"/>
  </cacheFields>
  <extLst>
    <ext xmlns:x14="http://schemas.microsoft.com/office/spreadsheetml/2009/9/main" uri="{725AE2AE-9491-48be-B2B4-4EB974FC3084}">
      <x14:pivotCacheDefinition pivotCacheId="19294201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ura Madhubhasha" refreshedDate="45979.564718402777" createdVersion="7" refreshedVersion="7" minRefreshableVersion="3" recordCount="1436" xr:uid="{831E0BD9-A68B-4CA0-AE86-74C1BE1A86C4}">
  <cacheSource type="worksheet">
    <worksheetSource ref="A6:O1442" sheet="Q # 5"/>
  </cacheSource>
  <cacheFields count="17">
    <cacheField name="Location" numFmtId="0">
      <sharedItems/>
    </cacheField>
    <cacheField name="Department" numFmtId="0">
      <sharedItems count="3">
        <s v="Accessories"/>
        <s v="Bags"/>
        <s v="Clothing"/>
      </sharedItems>
    </cacheField>
    <cacheField name="Group" numFmtId="0">
      <sharedItems/>
    </cacheField>
    <cacheField name="Buying Group" numFmtId="0">
      <sharedItems count="17">
        <s v="Bottles"/>
        <s v="Headwear"/>
        <s v="Socks"/>
        <s v="Equipment"/>
        <s v="Bags"/>
        <s v="Short Sleeve Tops"/>
        <s v="Long Sleeve Tops"/>
        <s v="Shorts"/>
        <s v="Pants"/>
        <s v="Pullovers"/>
        <s v="Sleeveless Tops"/>
        <s v="Underwear"/>
        <s v="Leggings"/>
        <s v="Sports Bras"/>
        <s v="Crop Tops"/>
        <s v="Jackets / Outerwear"/>
        <s v="One Pieces"/>
      </sharedItems>
    </cacheField>
    <cacheField name="VPN" numFmtId="0">
      <sharedItems/>
    </cacheField>
    <cacheField name="Family (32713)" numFmtId="0">
      <sharedItems count="45">
        <s v="Lifting Goods"/>
        <s v="Conditioning Goods"/>
        <s v="Sharkhead"/>
        <s v="Legacy"/>
        <s v="Rest Day Goods"/>
        <s v="Running"/>
        <s v="Everyday"/>
        <s v="Tech Series"/>
        <s v="Power"/>
        <s v="Military"/>
        <s v="Essentials"/>
        <s v="Crest"/>
        <s v="Rest Day"/>
        <s v="GFX GS X AT"/>
        <s v="Arrival"/>
        <s v="Geo Seamless"/>
        <s v="Apex"/>
        <s v="GFX Spartan Man"/>
        <s v="Vital"/>
        <s v="Impact"/>
        <s v="Premium Legacy"/>
        <s v="Shark Attack V2"/>
        <s v="Heavyweight Sweats"/>
        <s v="Sport"/>
        <s v="Heritage"/>
        <s v="Nexus"/>
        <s v="Rest Day Essentials"/>
        <s v="Heavyweight Ribbed"/>
        <s v="Element"/>
        <s v="Underwear"/>
        <s v="Training"/>
        <s v="GFX Embroidered Brand ABC"/>
        <s v="Strength In Numbers"/>
        <s v="Elevate Chain"/>
        <s v="Lifting Club"/>
        <s v="GFX Fraction"/>
        <s v="GFX Core"/>
        <s v="Everyday Seamless"/>
        <s v="Gym-Kit"/>
        <s v="Elevate"/>
        <s v="Linear Seamless"/>
        <s v="Reps"/>
        <s v="Caged"/>
        <s v="Adapt Camo"/>
        <s v="Fundamental Sports Bras"/>
      </sharedItems>
    </cacheField>
    <cacheField name="Item Size" numFmtId="0">
      <sharedItems/>
    </cacheField>
    <cacheField name="Season" numFmtId="0">
      <sharedItems count="4">
        <s v="Continuity"/>
        <s v="FW24"/>
        <s v="SS25"/>
        <s v="SS24"/>
      </sharedItems>
    </cacheField>
    <cacheField name="First Receive Date" numFmtId="165">
      <sharedItems containsSemiMixedTypes="0" containsNonDate="0" containsDate="1" containsString="0" minDate="2024-05-20T00:00:00" maxDate="2024-12-15T00:00:00"/>
    </cacheField>
    <cacheField name="Last Received Date" numFmtId="165">
      <sharedItems containsSemiMixedTypes="0" containsNonDate="0" containsDate="1" containsString="0" minDate="2024-10-25T00:00:00" maxDate="2024-12-22T00:00:00"/>
    </cacheField>
    <cacheField name="Sales Units" numFmtId="37">
      <sharedItems containsSemiMixedTypes="0" containsString="0" containsNumber="1" containsInteger="1" minValue="0" maxValue="97"/>
    </cacheField>
    <cacheField name="Sales Cost" numFmtId="37">
      <sharedItems containsSemiMixedTypes="0" containsString="0" containsNumber="1" minValue="-1.0395000000000001" maxValue="4327.6342000000004"/>
    </cacheField>
    <cacheField name="Sales Retail Value" numFmtId="37">
      <sharedItems containsSemiMixedTypes="0" containsString="0" containsNumber="1" minValue="0" maxValue="11797.79"/>
    </cacheField>
    <cacheField name="Total Stock Units" numFmtId="37">
      <sharedItems containsSemiMixedTypes="0" containsString="0" containsNumber="1" containsInteger="1" minValue="0" maxValue="30"/>
    </cacheField>
    <cacheField name="Total Stock Cost" numFmtId="37">
      <sharedItems containsSemiMixedTypes="0" containsString="0" containsNumber="1" minValue="0" maxValue="1347.0868"/>
    </cacheField>
    <cacheField name="Profit" numFmtId="0" formula="'Sales Retail Value'-'Sales Cost'" databaseField="0"/>
    <cacheField name="Sell Through" numFmtId="0" formula="'Sales Units'/('Sales Units'+'Total Stock Units')" databaseField="0"/>
  </cacheFields>
  <extLst>
    <ext xmlns:x14="http://schemas.microsoft.com/office/spreadsheetml/2009/9/main" uri="{725AE2AE-9491-48be-B2B4-4EB974FC3084}">
      <x14:pivotCacheDefinition pivotCacheId="373138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6">
  <r>
    <s v="Brand ABC TDM"/>
    <x v="0"/>
    <x v="0"/>
    <s v="Bottles"/>
    <s v="I1A2J-BBBB"/>
    <s v="Lifting Goods"/>
    <s v="One Size"/>
    <x v="0"/>
    <d v="2024-10-25T00:00:00"/>
    <d v="2024-12-21T00:00:00"/>
    <n v="27"/>
    <n v="466.80070000000001"/>
    <n v="1382.26"/>
    <n v="14"/>
    <n v="247.9778"/>
    <n v="41"/>
  </r>
  <r>
    <s v="Brand ABC TDM"/>
    <x v="0"/>
    <x v="0"/>
    <s v="Bottles"/>
    <s v="I1A2J-PBVP"/>
    <s v="Lifting Goods"/>
    <s v="One Size"/>
    <x v="0"/>
    <d v="2024-10-25T00:00:00"/>
    <d v="2024-12-05T00:00:00"/>
    <n v="39"/>
    <n v="679.86620000000005"/>
    <n v="1989.16"/>
    <n v="0"/>
    <n v="0"/>
    <n v="39"/>
  </r>
  <r>
    <s v="Brand ABC TDM"/>
    <x v="0"/>
    <x v="0"/>
    <s v="Bottles"/>
    <s v="I1A2U-BBBB"/>
    <s v="Lifting Goods"/>
    <s v="One Size"/>
    <x v="0"/>
    <d v="2024-10-25T00:00:00"/>
    <d v="2024-12-21T00:00:00"/>
    <n v="59"/>
    <n v="1232.9165"/>
    <n v="3492.61"/>
    <n v="12"/>
    <n v="258.81119999999999"/>
    <n v="71"/>
  </r>
  <r>
    <s v="Brand ABC TDM"/>
    <x v="0"/>
    <x v="0"/>
    <s v="Bottles"/>
    <s v="I1A2U-ECJR"/>
    <s v="Lifting Goods"/>
    <s v="One Size"/>
    <x v="0"/>
    <d v="2024-05-20T00:00:00"/>
    <d v="2024-12-13T00:00:00"/>
    <n v="24"/>
    <n v="497.0215"/>
    <n v="1425.87"/>
    <n v="11"/>
    <n v="233.23519999999999"/>
    <n v="35"/>
  </r>
  <r>
    <s v="Brand ABC TDM"/>
    <x v="0"/>
    <x v="0"/>
    <s v="Bottles"/>
    <s v="I1A4T-BBBB"/>
    <s v="Lifting Goods"/>
    <s v="One Size"/>
    <x v="0"/>
    <d v="2024-10-28T00:00:00"/>
    <d v="2024-12-21T00:00:00"/>
    <n v="8"/>
    <n v="144.3296"/>
    <n v="421.42"/>
    <n v="11"/>
    <n v="198.45320000000001"/>
    <n v="19"/>
  </r>
  <r>
    <s v="Brand ABC TDM"/>
    <x v="0"/>
    <x v="0"/>
    <s v="Bottles"/>
    <s v="I2A6T-BBBB"/>
    <s v="Lifting Goods"/>
    <s v="OS"/>
    <x v="0"/>
    <d v="2024-12-07T00:00:00"/>
    <d v="2024-12-21T00:00:00"/>
    <n v="9"/>
    <n v="159.77539999999999"/>
    <n v="477.62"/>
    <n v="9"/>
    <n v="162.2295"/>
    <n v="18"/>
  </r>
  <r>
    <s v="Brand ABC TDM"/>
    <x v="0"/>
    <x v="0"/>
    <s v="Bottles"/>
    <s v="I3A2K-BBBB"/>
    <s v="Conditioning Goods"/>
    <s v="One Size"/>
    <x v="0"/>
    <d v="2024-05-20T00:00:00"/>
    <d v="2024-10-26T00:00:00"/>
    <n v="3"/>
    <n v="76.983900000000006"/>
    <n v="228.86"/>
    <n v="9"/>
    <n v="230.95169999999999"/>
    <n v="12"/>
  </r>
  <r>
    <s v="Brand ABC TDM"/>
    <x v="0"/>
    <x v="0"/>
    <s v="Bottles"/>
    <s v="I3A2K-KB1J"/>
    <s v="Conditioning Goods"/>
    <s v="One Size"/>
    <x v="0"/>
    <d v="2024-05-20T00:00:00"/>
    <d v="2024-11-09T00:00:00"/>
    <n v="13"/>
    <n v="333.59690000000001"/>
    <n v="966.3"/>
    <n v="2"/>
    <n v="51.322600000000001"/>
    <n v="15"/>
  </r>
  <r>
    <s v="Brand ABC TDM"/>
    <x v="0"/>
    <x v="0"/>
    <s v="Bottles"/>
    <s v="I3A2K-KCCG"/>
    <s v="Conditioning Goods"/>
    <s v="OS"/>
    <x v="1"/>
    <d v="2024-12-07T00:00:00"/>
    <d v="2024-12-21T00:00:00"/>
    <n v="8"/>
    <n v="215.96559999999999"/>
    <n v="601.80999999999995"/>
    <n v="10"/>
    <n v="269.95699999999999"/>
    <n v="18"/>
  </r>
  <r>
    <s v="Brand ABC TDM"/>
    <x v="0"/>
    <x v="0"/>
    <s v="Bottles"/>
    <s v="I3A2K-UCZX"/>
    <s v="Conditioning Goods"/>
    <s v="OS"/>
    <x v="1"/>
    <d v="2024-12-07T00:00:00"/>
    <d v="2024-12-20T00:00:00"/>
    <n v="7"/>
    <n v="188.9699"/>
    <n v="550.97"/>
    <n v="10"/>
    <n v="269.95699999999999"/>
    <n v="17"/>
  </r>
  <r>
    <s v="Brand ABC TDM"/>
    <x v="0"/>
    <x v="0"/>
    <s v="Headwear"/>
    <s v="I1A6R-BBF7"/>
    <s v="Sharkhead"/>
    <s v="One Size"/>
    <x v="0"/>
    <d v="2024-05-20T00:00:00"/>
    <d v="2024-12-21T00:00:00"/>
    <n v="19"/>
    <n v="685.84699999999998"/>
    <n v="1806.29"/>
    <n v="9"/>
    <n v="324.07560000000001"/>
    <n v="28"/>
  </r>
  <r>
    <s v="Brand ABC TDM"/>
    <x v="0"/>
    <x v="0"/>
    <s v="Headwear"/>
    <s v="I1A6R-GBCN"/>
    <s v="Sharkhead"/>
    <s v="OS"/>
    <x v="0"/>
    <d v="2024-10-25T00:00:00"/>
    <d v="2024-12-21T00:00:00"/>
    <n v="20"/>
    <n v="688.91070000000002"/>
    <n v="1889.36"/>
    <n v="11"/>
    <n v="386.4135"/>
    <n v="31"/>
  </r>
  <r>
    <s v="Brand ABC TDM"/>
    <x v="0"/>
    <x v="0"/>
    <s v="Headwear"/>
    <s v="I1A6R-NBY9"/>
    <s v="Sharkhead"/>
    <s v="OS"/>
    <x v="0"/>
    <d v="2024-10-25T00:00:00"/>
    <d v="2024-12-21T00:00:00"/>
    <n v="47"/>
    <n v="1631.0148999999999"/>
    <n v="4401.5200000000004"/>
    <n v="12"/>
    <n v="429.42959999999999"/>
    <n v="59"/>
  </r>
  <r>
    <s v="Brand ABC TDM"/>
    <x v="0"/>
    <x v="0"/>
    <s v="Headwear"/>
    <s v="I1A6R-UCTM"/>
    <s v="Sharkhead"/>
    <s v="OS"/>
    <x v="2"/>
    <d v="2024-10-25T00:00:00"/>
    <d v="2024-12-21T00:00:00"/>
    <n v="1"/>
    <n v="35.458399999999997"/>
    <n v="93.43"/>
    <n v="12"/>
    <n v="426.05040000000002"/>
    <n v="13"/>
  </r>
  <r>
    <s v="Brand ABC TDM"/>
    <x v="0"/>
    <x v="0"/>
    <s v="Headwear"/>
    <s v="I1A7G-BBBB"/>
    <s v="Legacy"/>
    <s v="One Size"/>
    <x v="0"/>
    <d v="2024-10-11T00:00:00"/>
    <d v="2024-12-21T00:00:00"/>
    <n v="12"/>
    <n v="423.40379999999999"/>
    <n v="1110.78"/>
    <n v="4"/>
    <n v="144.03360000000001"/>
    <n v="16"/>
  </r>
  <r>
    <s v="Brand ABC TDM"/>
    <x v="0"/>
    <x v="0"/>
    <s v="Headwear"/>
    <s v="I1A7G-GBCN"/>
    <s v="Legacy"/>
    <s v="One Size"/>
    <x v="0"/>
    <d v="2024-05-20T00:00:00"/>
    <d v="2024-12-21T00:00:00"/>
    <n v="8"/>
    <n v="280.72879999999998"/>
    <n v="747.43"/>
    <n v="5"/>
    <n v="179.02250000000001"/>
    <n v="13"/>
  </r>
  <r>
    <s v="Brand ABC TDM"/>
    <x v="0"/>
    <x v="0"/>
    <s v="Socks"/>
    <s v="I1B2O-BB2J"/>
    <s v="Lifting Goods"/>
    <s v="L"/>
    <x v="1"/>
    <d v="2024-12-07T00:00:00"/>
    <d v="2024-12-20T00:00:00"/>
    <n v="0"/>
    <n v="0"/>
    <n v="0"/>
    <n v="10"/>
    <n v="144.119"/>
    <n v="10"/>
  </r>
  <r>
    <s v="Brand ABC TDM"/>
    <x v="0"/>
    <x v="0"/>
    <s v="Socks"/>
    <s v="I1B2O-BB2J"/>
    <s v="Lifting Goods"/>
    <s v="M"/>
    <x v="1"/>
    <d v="2024-12-07T00:00:00"/>
    <d v="2024-12-20T00:00:00"/>
    <n v="3"/>
    <n v="43.235700000000001"/>
    <n v="140"/>
    <n v="10"/>
    <n v="144.119"/>
    <n v="13"/>
  </r>
  <r>
    <s v="Brand ABC TDM"/>
    <x v="0"/>
    <x v="0"/>
    <s v="Socks"/>
    <s v="I1B2O-BB2J"/>
    <s v="Lifting Goods"/>
    <s v="S"/>
    <x v="1"/>
    <d v="2024-12-07T00:00:00"/>
    <d v="2024-12-19T00:00:00"/>
    <n v="3"/>
    <n v="39.291600000000003"/>
    <n v="140.01"/>
    <n v="8"/>
    <n v="104.77760000000001"/>
    <n v="11"/>
  </r>
  <r>
    <s v="Brand ABC TDM"/>
    <x v="0"/>
    <x v="0"/>
    <s v="Socks"/>
    <s v="I2A1Z-GBCN"/>
    <s v="Legacy"/>
    <s v="L"/>
    <x v="0"/>
    <d v="2024-10-28T00:00:00"/>
    <d v="2024-12-18T00:00:00"/>
    <n v="7"/>
    <n v="242.85120000000001"/>
    <n v="674.77"/>
    <n v="10"/>
    <n v="352.19600000000003"/>
    <n v="17"/>
  </r>
  <r>
    <s v="Brand ABC TDM"/>
    <x v="0"/>
    <x v="0"/>
    <s v="Socks"/>
    <s v="I2A1Z-GBCN"/>
    <s v="Legacy"/>
    <s v="M"/>
    <x v="0"/>
    <d v="2024-10-28T00:00:00"/>
    <d v="2024-12-21T00:00:00"/>
    <n v="2"/>
    <n v="68.716200000000001"/>
    <n v="186.86"/>
    <n v="10"/>
    <n v="346.07600000000002"/>
    <n v="12"/>
  </r>
  <r>
    <s v="Brand ABC TDM"/>
    <x v="0"/>
    <x v="0"/>
    <s v="Socks"/>
    <s v="I2A1Z-GBCN"/>
    <s v="Legacy"/>
    <s v="S"/>
    <x v="0"/>
    <d v="2024-10-28T00:00:00"/>
    <d v="2024-12-19T00:00:00"/>
    <n v="3"/>
    <n v="103.1634"/>
    <n v="290.67"/>
    <n v="10"/>
    <n v="347.68"/>
    <n v="13"/>
  </r>
  <r>
    <s v="Brand ABC TDM"/>
    <x v="0"/>
    <x v="0"/>
    <s v="Socks"/>
    <s v="I2A1Z-NCDX"/>
    <s v="Legacy"/>
    <s v="L"/>
    <x v="0"/>
    <d v="2024-05-20T00:00:00"/>
    <d v="2024-12-17T00:00:00"/>
    <n v="4"/>
    <n v="137.93100000000001"/>
    <n v="394.48"/>
    <n v="9"/>
    <n v="312.91109999999998"/>
    <n v="13"/>
  </r>
  <r>
    <s v="Brand ABC TDM"/>
    <x v="0"/>
    <x v="0"/>
    <s v="Socks"/>
    <s v="I2A1Z-NCDX"/>
    <s v="Legacy"/>
    <s v="M"/>
    <x v="0"/>
    <d v="2024-05-20T00:00:00"/>
    <d v="2024-12-17T00:00:00"/>
    <n v="4"/>
    <n v="138.0753"/>
    <n v="384.09"/>
    <n v="10"/>
    <n v="348.81700000000001"/>
    <n v="14"/>
  </r>
  <r>
    <s v="Brand ABC TDM"/>
    <x v="0"/>
    <x v="0"/>
    <s v="Socks"/>
    <s v="I2A1Z-NCDX"/>
    <s v="Legacy"/>
    <s v="S"/>
    <x v="0"/>
    <d v="2024-05-20T00:00:00"/>
    <d v="2024-12-14T00:00:00"/>
    <n v="3"/>
    <n v="103.3235"/>
    <n v="280.29000000000002"/>
    <n v="10"/>
    <n v="347.51799999999997"/>
    <n v="13"/>
  </r>
  <r>
    <s v="Brand ABC TDM"/>
    <x v="0"/>
    <x v="0"/>
    <s v="Socks"/>
    <s v="I2A1Z-WBBM"/>
    <s v="Legacy"/>
    <s v="M"/>
    <x v="0"/>
    <d v="2024-10-28T00:00:00"/>
    <d v="2024-12-21T00:00:00"/>
    <n v="13"/>
    <n v="455.08390000000003"/>
    <n v="1266.49"/>
    <n v="8"/>
    <n v="284.16399999999999"/>
    <n v="21"/>
  </r>
  <r>
    <s v="Brand ABC TDM"/>
    <x v="0"/>
    <x v="0"/>
    <s v="Socks"/>
    <s v="I2A1Z-WBBM"/>
    <s v="Legacy"/>
    <s v="S"/>
    <x v="0"/>
    <d v="2024-10-28T00:00:00"/>
    <d v="2024-12-21T00:00:00"/>
    <n v="12"/>
    <n v="419.50549999999998"/>
    <n v="1121.1500000000001"/>
    <n v="10"/>
    <n v="355.79599999999999"/>
    <n v="22"/>
  </r>
  <r>
    <s v="Brand ABC TDM"/>
    <x v="0"/>
    <x v="0"/>
    <s v="Socks"/>
    <s v="I2A3B-BBBB"/>
    <s v="Rest Day Goods"/>
    <s v="L"/>
    <x v="0"/>
    <d v="2024-11-12T00:00:00"/>
    <d v="2024-12-21T00:00:00"/>
    <n v="28"/>
    <n v="489.61880000000002"/>
    <n v="1438.44"/>
    <n v="10"/>
    <n v="179.99600000000001"/>
    <n v="38"/>
  </r>
  <r>
    <s v="Brand ABC TDM"/>
    <x v="0"/>
    <x v="0"/>
    <s v="Socks"/>
    <s v="I2A3B-BBBB"/>
    <s v="Rest Day Goods"/>
    <s v="M"/>
    <x v="0"/>
    <d v="2024-11-12T00:00:00"/>
    <d v="2024-12-18T00:00:00"/>
    <n v="7"/>
    <n v="120.9674"/>
    <n v="359.62"/>
    <n v="10"/>
    <n v="175.47200000000001"/>
    <n v="17"/>
  </r>
  <r>
    <s v="Brand ABC TDM"/>
    <x v="0"/>
    <x v="0"/>
    <s v="Socks"/>
    <s v="I2A3B-BBBB"/>
    <s v="Rest Day Goods"/>
    <s v="S"/>
    <x v="0"/>
    <d v="2024-11-12T00:00:00"/>
    <d v="2024-12-10T00:00:00"/>
    <n v="6"/>
    <n v="103.30840000000001"/>
    <n v="303.43"/>
    <n v="10"/>
    <n v="174.16900000000001"/>
    <n v="16"/>
  </r>
  <r>
    <s v="Brand ABC TDM"/>
    <x v="0"/>
    <x v="0"/>
    <s v="Socks"/>
    <s v="I2A3B-WBBM"/>
    <s v="Rest Day Goods"/>
    <s v="L"/>
    <x v="0"/>
    <d v="2024-11-12T00:00:00"/>
    <d v="2024-12-21T00:00:00"/>
    <n v="30"/>
    <n v="524.01049999999998"/>
    <n v="1533.97"/>
    <n v="9"/>
    <n v="162.04230000000001"/>
    <n v="39"/>
  </r>
  <r>
    <s v="Brand ABC TDM"/>
    <x v="0"/>
    <x v="0"/>
    <s v="Socks"/>
    <s v="I2A3B-WBBM"/>
    <s v="Rest Day Goods"/>
    <s v="M"/>
    <x v="0"/>
    <d v="2024-11-12T00:00:00"/>
    <d v="2024-12-18T00:00:00"/>
    <n v="19"/>
    <n v="329.9325"/>
    <n v="988.96"/>
    <n v="9"/>
    <n v="160.7895"/>
    <n v="28"/>
  </r>
  <r>
    <s v="Brand ABC TDM"/>
    <x v="0"/>
    <x v="0"/>
    <s v="Socks"/>
    <s v="I2A3B-WBBM"/>
    <s v="Rest Day Goods"/>
    <s v="S"/>
    <x v="0"/>
    <d v="2024-11-12T00:00:00"/>
    <d v="2024-12-17T00:00:00"/>
    <n v="7"/>
    <n v="121.8165"/>
    <n v="353.99"/>
    <n v="9"/>
    <n v="158.33969999999999"/>
    <n v="16"/>
  </r>
  <r>
    <s v="Brand ABC TDM"/>
    <x v="0"/>
    <x v="0"/>
    <s v="Socks"/>
    <s v="I2A3B-WBTM"/>
    <s v="Rest Day Goods"/>
    <s v="L"/>
    <x v="0"/>
    <d v="2024-05-20T00:00:00"/>
    <d v="2024-12-10T00:00:00"/>
    <n v="26"/>
    <n v="460.07229999999998"/>
    <n v="1326.06"/>
    <n v="1"/>
    <n v="17.941500000000001"/>
    <n v="27"/>
  </r>
  <r>
    <s v="Brand ABC TDM"/>
    <x v="0"/>
    <x v="0"/>
    <s v="Socks"/>
    <s v="I2A3B-WBTM"/>
    <s v="Rest Day Goods"/>
    <s v="M"/>
    <x v="0"/>
    <d v="2024-05-20T00:00:00"/>
    <d v="2024-12-21T00:00:00"/>
    <n v="15"/>
    <n v="263.19209999999998"/>
    <n v="764.2"/>
    <n v="8"/>
    <n v="142.6"/>
    <n v="23"/>
  </r>
  <r>
    <s v="Brand ABC TDM"/>
    <x v="0"/>
    <x v="0"/>
    <s v="Socks"/>
    <s v="I2A3B-WBTM"/>
    <s v="Rest Day Goods"/>
    <s v="S"/>
    <x v="0"/>
    <d v="2024-05-20T00:00:00"/>
    <d v="2024-12-20T00:00:00"/>
    <n v="10"/>
    <n v="173.7989"/>
    <n v="516.94000000000005"/>
    <n v="9"/>
    <n v="158.92019999999999"/>
    <n v="19"/>
  </r>
  <r>
    <s v="Brand ABC TDM"/>
    <x v="0"/>
    <x v="0"/>
    <s v="Socks"/>
    <s v="I3A3P-BB2J"/>
    <s v="Lifting Goods"/>
    <s v="L"/>
    <x v="0"/>
    <d v="2024-10-26T00:00:00"/>
    <d v="2024-11-15T00:00:00"/>
    <n v="20"/>
    <n v="410.58"/>
    <n v="1339.21"/>
    <n v="0"/>
    <n v="0"/>
    <n v="20"/>
  </r>
  <r>
    <s v="Brand ABC TDM"/>
    <x v="0"/>
    <x v="0"/>
    <s v="Socks"/>
    <s v="I3A3P-BB2J"/>
    <s v="Lifting Goods"/>
    <s v="M"/>
    <x v="0"/>
    <d v="2024-10-26T00:00:00"/>
    <d v="2024-12-09T00:00:00"/>
    <n v="26"/>
    <n v="544.31039999999996"/>
    <n v="1783.12"/>
    <n v="4"/>
    <n v="85.436800000000005"/>
    <n v="30"/>
  </r>
  <r>
    <s v="Brand ABC TDM"/>
    <x v="0"/>
    <x v="0"/>
    <s v="Socks"/>
    <s v="I3A3P-BB2J"/>
    <s v="Lifting Goods"/>
    <s v="S"/>
    <x v="0"/>
    <d v="2024-10-26T00:00:00"/>
    <d v="2024-12-17T00:00:00"/>
    <n v="7"/>
    <n v="143.91650000000001"/>
    <n v="473.98"/>
    <n v="9"/>
    <n v="186.6825"/>
    <n v="16"/>
  </r>
  <r>
    <s v="Brand ABC TDM"/>
    <x v="0"/>
    <x v="0"/>
    <s v="Socks"/>
    <s v="I3A3P-ECKQ"/>
    <s v="Lifting Goods"/>
    <s v="M"/>
    <x v="0"/>
    <d v="2024-10-26T00:00:00"/>
    <d v="2024-12-19T00:00:00"/>
    <n v="4"/>
    <n v="82.715100000000007"/>
    <n v="274.62"/>
    <n v="10"/>
    <n v="208.96199999999999"/>
    <n v="14"/>
  </r>
  <r>
    <s v="Brand ABC TDM"/>
    <x v="0"/>
    <x v="0"/>
    <s v="Socks"/>
    <s v="I3A3P-ECKQ"/>
    <s v="Lifting Goods"/>
    <s v="S"/>
    <x v="0"/>
    <d v="2024-10-26T00:00:00"/>
    <d v="2024-12-19T00:00:00"/>
    <n v="2"/>
    <n v="41.1648"/>
    <n v="135.41999999999999"/>
    <n v="10"/>
    <n v="207.31899999999999"/>
    <n v="12"/>
  </r>
  <r>
    <s v="Brand ABC TDM"/>
    <x v="0"/>
    <x v="0"/>
    <s v="Socks"/>
    <s v="I3A3P-KB1F"/>
    <s v="Lifting Goods"/>
    <s v="L"/>
    <x v="0"/>
    <d v="2024-10-26T00:00:00"/>
    <d v="2024-11-27T00:00:00"/>
    <n v="5"/>
    <n v="102.6806"/>
    <n v="323.52"/>
    <n v="30"/>
    <n v="617.97"/>
    <n v="35"/>
  </r>
  <r>
    <s v="Brand ABC TDM"/>
    <x v="0"/>
    <x v="0"/>
    <s v="Socks"/>
    <s v="I3A3P-KB1F"/>
    <s v="Lifting Goods"/>
    <s v="M"/>
    <x v="0"/>
    <d v="2024-10-26T00:00:00"/>
    <d v="2024-12-04T00:00:00"/>
    <n v="18"/>
    <n v="370.76499999999999"/>
    <n v="1230.1199999999999"/>
    <n v="26"/>
    <n v="538.91759999999999"/>
    <n v="44"/>
  </r>
  <r>
    <s v="Brand ABC TDM"/>
    <x v="0"/>
    <x v="0"/>
    <s v="Socks"/>
    <s v="I3A3P-KB1F"/>
    <s v="Lifting Goods"/>
    <s v="S"/>
    <x v="0"/>
    <d v="2024-10-26T00:00:00"/>
    <d v="2024-12-03T00:00:00"/>
    <n v="15"/>
    <n v="308.69"/>
    <n v="1000.63"/>
    <n v="30"/>
    <n v="623.57100000000003"/>
    <n v="45"/>
  </r>
  <r>
    <s v="Brand ABC TDM"/>
    <x v="0"/>
    <x v="0"/>
    <s v="Socks"/>
    <s v="I3A3P-KB4C"/>
    <s v="Lifting Goods"/>
    <s v="L"/>
    <x v="0"/>
    <d v="2024-10-26T00:00:00"/>
    <d v="2024-11-26T00:00:00"/>
    <n v="5"/>
    <n v="102.6818"/>
    <n v="338.57"/>
    <n v="30"/>
    <n v="618.00599999999997"/>
    <n v="35"/>
  </r>
  <r>
    <s v="Brand ABC TDM"/>
    <x v="0"/>
    <x v="0"/>
    <s v="Socks"/>
    <s v="I3A3P-KB4C"/>
    <s v="Lifting Goods"/>
    <s v="M"/>
    <x v="0"/>
    <d v="2024-10-26T00:00:00"/>
    <d v="2024-12-21T00:00:00"/>
    <n v="8"/>
    <n v="164.4409"/>
    <n v="545.45000000000005"/>
    <n v="30"/>
    <n v="619.93200000000002"/>
    <n v="38"/>
  </r>
  <r>
    <s v="Brand ABC TDM"/>
    <x v="0"/>
    <x v="0"/>
    <s v="Socks"/>
    <s v="I3A3P-KB4C"/>
    <s v="Lifting Goods"/>
    <s v="S"/>
    <x v="0"/>
    <d v="2024-10-25T00:00:00"/>
    <d v="2024-12-20T00:00:00"/>
    <n v="8"/>
    <n v="164.3365"/>
    <n v="549.22"/>
    <n v="30"/>
    <n v="618.93600000000004"/>
    <n v="38"/>
  </r>
  <r>
    <s v="Brand ABC TDM"/>
    <x v="0"/>
    <x v="0"/>
    <s v="Socks"/>
    <s v="I3A3P-PBV5"/>
    <s v="Lifting Goods"/>
    <s v="L"/>
    <x v="0"/>
    <d v="2024-10-26T00:00:00"/>
    <d v="2024-10-26T00:00:00"/>
    <n v="0"/>
    <n v="0"/>
    <n v="0"/>
    <n v="10"/>
    <n v="205.29"/>
    <n v="10"/>
  </r>
  <r>
    <s v="Brand ABC TDM"/>
    <x v="0"/>
    <x v="0"/>
    <s v="Socks"/>
    <s v="I3A3P-PBV5"/>
    <s v="Lifting Goods"/>
    <s v="M"/>
    <x v="0"/>
    <d v="2024-10-26T00:00:00"/>
    <d v="2024-11-28T00:00:00"/>
    <n v="3"/>
    <n v="61.8005"/>
    <n v="188.09"/>
    <n v="10"/>
    <n v="208.279"/>
    <n v="13"/>
  </r>
  <r>
    <s v="Brand ABC TDM"/>
    <x v="0"/>
    <x v="0"/>
    <s v="Socks"/>
    <s v="I3A3P-PBV5"/>
    <s v="Lifting Goods"/>
    <s v="S"/>
    <x v="0"/>
    <d v="2024-10-26T00:00:00"/>
    <d v="2024-11-29T00:00:00"/>
    <n v="3"/>
    <n v="61.896700000000003"/>
    <n v="203.14"/>
    <n v="10"/>
    <n v="208.184"/>
    <n v="13"/>
  </r>
  <r>
    <s v="Brand ABC TDM"/>
    <x v="0"/>
    <x v="0"/>
    <s v="Socks"/>
    <s v="I3A3P-WB57"/>
    <s v="Lifting Goods"/>
    <s v="L"/>
    <x v="0"/>
    <d v="2024-05-20T00:00:00"/>
    <d v="2024-12-17T00:00:00"/>
    <n v="97"/>
    <n v="2218.6754999999998"/>
    <n v="6508.01"/>
    <n v="28"/>
    <n v="655.11879999999996"/>
    <n v="125"/>
  </r>
  <r>
    <s v="Brand ABC TDM"/>
    <x v="0"/>
    <x v="0"/>
    <s v="Socks"/>
    <s v="I3A3P-WB57"/>
    <s v="Lifting Goods"/>
    <s v="M"/>
    <x v="0"/>
    <d v="2024-05-20T00:00:00"/>
    <d v="2024-12-09T00:00:00"/>
    <n v="77"/>
    <n v="1718.049"/>
    <n v="5225.17"/>
    <n v="18"/>
    <n v="410.07780000000002"/>
    <n v="95"/>
  </r>
  <r>
    <s v="Brand ABC TDM"/>
    <x v="0"/>
    <x v="0"/>
    <s v="Socks"/>
    <s v="I3A3P-WB57"/>
    <s v="Lifting Goods"/>
    <s v="S"/>
    <x v="0"/>
    <d v="2024-05-20T00:00:00"/>
    <d v="2024-12-20T00:00:00"/>
    <n v="37"/>
    <n v="856.04290000000003"/>
    <n v="2516.6"/>
    <n v="28"/>
    <n v="659.48680000000002"/>
    <n v="65"/>
  </r>
  <r>
    <s v="Brand ABC TDM"/>
    <x v="0"/>
    <x v="0"/>
    <s v="Socks"/>
    <s v="I3A3P-WB7Z"/>
    <s v="Lifting Goods"/>
    <s v="L"/>
    <x v="0"/>
    <d v="2024-10-26T00:00:00"/>
    <d v="2024-11-16T00:00:00"/>
    <n v="25"/>
    <n v="513.22500000000002"/>
    <n v="1715.41"/>
    <n v="1"/>
    <n v="20.529"/>
    <n v="26"/>
  </r>
  <r>
    <s v="Brand ABC TDM"/>
    <x v="0"/>
    <x v="0"/>
    <s v="Socks"/>
    <s v="I3A3P-WB7Z"/>
    <s v="Lifting Goods"/>
    <s v="M"/>
    <x v="0"/>
    <d v="2024-10-26T00:00:00"/>
    <d v="2024-10-26T00:00:00"/>
    <n v="10"/>
    <n v="205.29"/>
    <n v="684.64"/>
    <n v="0"/>
    <n v="0"/>
    <n v="10"/>
  </r>
  <r>
    <s v="Brand ABC TDM"/>
    <x v="0"/>
    <x v="0"/>
    <s v="Socks"/>
    <s v="I3A3P-WB7Z"/>
    <s v="Lifting Goods"/>
    <s v="S"/>
    <x v="0"/>
    <d v="2024-10-26T00:00:00"/>
    <d v="2024-11-26T00:00:00"/>
    <n v="22"/>
    <n v="456.7244"/>
    <n v="1485.85"/>
    <n v="4"/>
    <n v="84.503200000000007"/>
    <n v="26"/>
  </r>
  <r>
    <s v="Brand ABC TDM"/>
    <x v="0"/>
    <x v="0"/>
    <s v="Socks"/>
    <s v="I3A3P-WCCH"/>
    <s v="Lifting Goods"/>
    <s v="L"/>
    <x v="0"/>
    <d v="2024-05-20T00:00:00"/>
    <d v="2024-12-21T00:00:00"/>
    <n v="30"/>
    <n v="627.09739999999999"/>
    <n v="2031.4"/>
    <n v="29"/>
    <n v="615.1422"/>
    <n v="59"/>
  </r>
  <r>
    <s v="Brand ABC TDM"/>
    <x v="0"/>
    <x v="0"/>
    <s v="Socks"/>
    <s v="I3A3P-WCCH"/>
    <s v="Lifting Goods"/>
    <s v="M"/>
    <x v="0"/>
    <d v="2024-05-20T00:00:00"/>
    <d v="2024-12-21T00:00:00"/>
    <n v="20"/>
    <n v="415.75819999999999"/>
    <n v="1369.33"/>
    <n v="29"/>
    <n v="610.44709999999998"/>
    <n v="49"/>
  </r>
  <r>
    <s v="Brand ABC TDM"/>
    <x v="0"/>
    <x v="0"/>
    <s v="Socks"/>
    <s v="I3A3P-WCCH"/>
    <s v="Lifting Goods"/>
    <s v="S"/>
    <x v="0"/>
    <d v="2024-05-20T00:00:00"/>
    <d v="2024-12-21T00:00:00"/>
    <n v="21"/>
    <n v="436.95800000000003"/>
    <n v="1437.04"/>
    <n v="30"/>
    <n v="632.54399999999998"/>
    <n v="51"/>
  </r>
  <r>
    <s v="Brand ABC TDM"/>
    <x v="0"/>
    <x v="0"/>
    <s v="Socks"/>
    <s v="I3A3P-WCKM"/>
    <s v="Lifting Goods"/>
    <s v="L"/>
    <x v="0"/>
    <d v="2024-10-28T00:00:00"/>
    <d v="2024-12-18T00:00:00"/>
    <n v="12"/>
    <n v="251.22880000000001"/>
    <n v="812.54"/>
    <n v="10"/>
    <n v="213.21899999999999"/>
    <n v="22"/>
  </r>
  <r>
    <s v="Brand ABC TDM"/>
    <x v="0"/>
    <x v="0"/>
    <s v="Socks"/>
    <s v="I3A3P-WCKM"/>
    <s v="Lifting Goods"/>
    <s v="M"/>
    <x v="0"/>
    <d v="2024-10-28T00:00:00"/>
    <d v="2024-12-21T00:00:00"/>
    <n v="7"/>
    <n v="145.48169999999999"/>
    <n v="481.52"/>
    <n v="10"/>
    <n v="210.98599999999999"/>
    <n v="17"/>
  </r>
  <r>
    <s v="Brand ABC TDM"/>
    <x v="0"/>
    <x v="0"/>
    <s v="Socks"/>
    <s v="I3A3P-WCKM"/>
    <s v="Lifting Goods"/>
    <s v="S"/>
    <x v="0"/>
    <d v="2024-10-28T00:00:00"/>
    <d v="2024-12-12T00:00:00"/>
    <n v="2"/>
    <n v="41.1648"/>
    <n v="135.43"/>
    <n v="10"/>
    <n v="207.31899999999999"/>
    <n v="12"/>
  </r>
  <r>
    <s v="Brand ABC TDM"/>
    <x v="0"/>
    <x v="0"/>
    <s v="Socks"/>
    <s v="I3A7W-BB2J"/>
    <s v="Rest Day Goods"/>
    <s v="L"/>
    <x v="1"/>
    <d v="2024-12-07T00:00:00"/>
    <d v="2024-12-17T00:00:00"/>
    <n v="12"/>
    <n v="259.15800000000002"/>
    <n v="735.99"/>
    <n v="7"/>
    <n v="151.1755"/>
    <n v="19"/>
  </r>
  <r>
    <s v="Brand ABC TDM"/>
    <x v="0"/>
    <x v="0"/>
    <s v="Socks"/>
    <s v="I3A7W-BB2J"/>
    <s v="Rest Day Goods"/>
    <s v="M"/>
    <x v="1"/>
    <d v="2024-12-07T00:00:00"/>
    <d v="2024-12-21T00:00:00"/>
    <n v="4"/>
    <n v="86.385999999999996"/>
    <n v="236.57"/>
    <n v="11"/>
    <n v="237.5615"/>
    <n v="15"/>
  </r>
  <r>
    <s v="Brand ABC TDM"/>
    <x v="0"/>
    <x v="0"/>
    <s v="Socks"/>
    <s v="I3A7W-BB2J"/>
    <s v="Rest Day Goods"/>
    <s v="S"/>
    <x v="1"/>
    <d v="2024-12-07T00:00:00"/>
    <d v="2024-12-21T00:00:00"/>
    <n v="2"/>
    <n v="43.192999999999998"/>
    <n v="118.28"/>
    <n v="10"/>
    <n v="215.965"/>
    <n v="12"/>
  </r>
  <r>
    <s v="Brand ABC TDM"/>
    <x v="0"/>
    <x v="0"/>
    <s v="Socks"/>
    <s v="I3A7W-WB57"/>
    <s v="Rest Day Goods"/>
    <s v="L"/>
    <x v="1"/>
    <d v="2024-12-07T00:00:00"/>
    <d v="2024-12-21T00:00:00"/>
    <n v="7"/>
    <n v="151.1755"/>
    <n v="427.13"/>
    <n v="17"/>
    <n v="367.14049999999997"/>
    <n v="24"/>
  </r>
  <r>
    <s v="Brand ABC TDM"/>
    <x v="0"/>
    <x v="0"/>
    <s v="Socks"/>
    <s v="I3A7W-WB57"/>
    <s v="Rest Day Goods"/>
    <s v="M"/>
    <x v="1"/>
    <d v="2024-12-07T00:00:00"/>
    <d v="2024-12-20T00:00:00"/>
    <n v="7"/>
    <n v="151.1755"/>
    <n v="420.57"/>
    <n v="17"/>
    <n v="367.14049999999997"/>
    <n v="24"/>
  </r>
  <r>
    <s v="Brand ABC TDM"/>
    <x v="0"/>
    <x v="0"/>
    <s v="Socks"/>
    <s v="I3A7W-WB57"/>
    <s v="Rest Day Goods"/>
    <s v="S"/>
    <x v="1"/>
    <d v="2024-12-07T00:00:00"/>
    <d v="2024-12-19T00:00:00"/>
    <n v="1"/>
    <n v="21.596499999999999"/>
    <n v="65.709999999999994"/>
    <n v="20"/>
    <n v="431.93"/>
    <n v="21"/>
  </r>
  <r>
    <s v="Brand ABC TDM"/>
    <x v="0"/>
    <x v="0"/>
    <s v="Socks"/>
    <s v="I3A9S-WB57"/>
    <s v="Rest Day Goods"/>
    <s v="L"/>
    <x v="1"/>
    <d v="2024-12-07T00:00:00"/>
    <d v="2024-12-21T00:00:00"/>
    <n v="7"/>
    <n v="176.47069999999999"/>
    <n v="489.04"/>
    <n v="15"/>
    <n v="378.1515"/>
    <n v="22"/>
  </r>
  <r>
    <s v="Brand ABC TDM"/>
    <x v="0"/>
    <x v="0"/>
    <s v="Socks"/>
    <s v="I3A9S-WB57"/>
    <s v="Rest Day Goods"/>
    <s v="M"/>
    <x v="1"/>
    <d v="2024-12-07T00:00:00"/>
    <d v="2024-12-21T00:00:00"/>
    <n v="4"/>
    <n v="100.8404"/>
    <n v="278.38"/>
    <n v="14"/>
    <n v="352.94139999999999"/>
    <n v="18"/>
  </r>
  <r>
    <s v="Brand ABC TDM"/>
    <x v="0"/>
    <x v="0"/>
    <s v="Socks"/>
    <s v="I3A9S-WB57"/>
    <s v="Rest Day Goods"/>
    <s v="S"/>
    <x v="1"/>
    <d v="2024-12-07T00:00:00"/>
    <d v="2024-12-21T00:00:00"/>
    <n v="0"/>
    <n v="0"/>
    <n v="0"/>
    <n v="15"/>
    <n v="378.1515"/>
    <n v="15"/>
  </r>
  <r>
    <s v="Brand ABC TDM"/>
    <x v="0"/>
    <x v="0"/>
    <s v="Socks"/>
    <s v="I3A9T-BCNS"/>
    <s v="Rest Day Goods"/>
    <s v="L"/>
    <x v="2"/>
    <d v="2024-12-10T00:00:00"/>
    <d v="2024-12-10T00:00:00"/>
    <n v="0"/>
    <n v="0"/>
    <n v="0"/>
    <n v="10"/>
    <n v="180.255"/>
    <n v="10"/>
  </r>
  <r>
    <s v="Brand ABC TDM"/>
    <x v="0"/>
    <x v="0"/>
    <s v="Socks"/>
    <s v="I3A9T-BCNS"/>
    <s v="Rest Day Goods"/>
    <s v="M"/>
    <x v="2"/>
    <d v="2024-12-10T00:00:00"/>
    <d v="2024-12-10T00:00:00"/>
    <n v="0"/>
    <n v="0"/>
    <n v="0"/>
    <n v="10"/>
    <n v="180.255"/>
    <n v="10"/>
  </r>
  <r>
    <s v="Brand ABC TDM"/>
    <x v="0"/>
    <x v="0"/>
    <s v="Socks"/>
    <s v="I3A9T-BCNS"/>
    <s v="Rest Day Goods"/>
    <s v="S"/>
    <x v="2"/>
    <d v="2024-12-10T00:00:00"/>
    <d v="2024-12-19T00:00:00"/>
    <n v="0"/>
    <n v="0"/>
    <n v="0"/>
    <n v="10"/>
    <n v="180.255"/>
    <n v="10"/>
  </r>
  <r>
    <s v="Brand ABC TDM"/>
    <x v="0"/>
    <x v="0"/>
    <s v="Socks"/>
    <s v="I3A9T-NCQ0"/>
    <s v="Rest Day Goods"/>
    <s v="L"/>
    <x v="2"/>
    <d v="2024-12-10T00:00:00"/>
    <d v="2024-12-10T00:00:00"/>
    <n v="0"/>
    <n v="0"/>
    <n v="0"/>
    <n v="10"/>
    <n v="180.255"/>
    <n v="10"/>
  </r>
  <r>
    <s v="Brand ABC TDM"/>
    <x v="0"/>
    <x v="0"/>
    <s v="Socks"/>
    <s v="I3A9T-NCQ0"/>
    <s v="Rest Day Goods"/>
    <s v="M"/>
    <x v="2"/>
    <d v="2024-12-10T00:00:00"/>
    <d v="2024-12-18T00:00:00"/>
    <n v="0"/>
    <n v="0"/>
    <n v="0"/>
    <n v="10"/>
    <n v="180.255"/>
    <n v="10"/>
  </r>
  <r>
    <s v="Brand ABC TDM"/>
    <x v="0"/>
    <x v="0"/>
    <s v="Socks"/>
    <s v="I3A9T-NCQ0"/>
    <s v="Rest Day Goods"/>
    <s v="S"/>
    <x v="2"/>
    <d v="2024-12-10T00:00:00"/>
    <d v="2024-12-10T00:00:00"/>
    <n v="0"/>
    <n v="0"/>
    <n v="0"/>
    <n v="10"/>
    <n v="180.255"/>
    <n v="10"/>
  </r>
  <r>
    <s v="Brand ABC TDM"/>
    <x v="0"/>
    <x v="0"/>
    <s v="Socks"/>
    <s v="I3A9T-NCQ1"/>
    <s v="Rest Day Goods"/>
    <s v="L"/>
    <x v="2"/>
    <d v="2024-12-10T00:00:00"/>
    <d v="2024-12-10T00:00:00"/>
    <n v="0"/>
    <n v="0"/>
    <n v="0"/>
    <n v="10"/>
    <n v="180.255"/>
    <n v="10"/>
  </r>
  <r>
    <s v="Brand ABC TDM"/>
    <x v="0"/>
    <x v="0"/>
    <s v="Socks"/>
    <s v="I3A9T-NCQ1"/>
    <s v="Rest Day Goods"/>
    <s v="M"/>
    <x v="2"/>
    <d v="2024-12-10T00:00:00"/>
    <d v="2024-12-10T00:00:00"/>
    <n v="0"/>
    <n v="0"/>
    <n v="0"/>
    <n v="10"/>
    <n v="180.255"/>
    <n v="10"/>
  </r>
  <r>
    <s v="Brand ABC TDM"/>
    <x v="0"/>
    <x v="0"/>
    <s v="Socks"/>
    <s v="I3A9T-NCQ1"/>
    <s v="Rest Day Goods"/>
    <s v="S"/>
    <x v="2"/>
    <d v="2024-12-10T00:00:00"/>
    <d v="2024-12-10T00:00:00"/>
    <n v="0"/>
    <n v="0"/>
    <n v="0"/>
    <n v="10"/>
    <n v="180.255"/>
    <n v="10"/>
  </r>
  <r>
    <s v="Brand ABC TDM"/>
    <x v="0"/>
    <x v="0"/>
    <s v="Equipment"/>
    <s v="I1A2S-BBBB"/>
    <s v="Legacy"/>
    <s v="L"/>
    <x v="0"/>
    <d v="2024-05-20T00:00:00"/>
    <d v="2024-12-21T00:00:00"/>
    <n v="9"/>
    <n v="315.76830000000001"/>
    <n v="861.62"/>
    <n v="5"/>
    <n v="177.8"/>
    <n v="14"/>
  </r>
  <r>
    <s v="Brand ABC TDM"/>
    <x v="0"/>
    <x v="0"/>
    <s v="Equipment"/>
    <s v="I1A2S-BBBB"/>
    <s v="Legacy"/>
    <s v="M"/>
    <x v="0"/>
    <d v="2024-05-20T00:00:00"/>
    <d v="2024-11-29T00:00:00"/>
    <n v="11"/>
    <n v="385.41309999999999"/>
    <n v="1006.97"/>
    <n v="0"/>
    <n v="0"/>
    <n v="11"/>
  </r>
  <r>
    <s v="Brand ABC TDM"/>
    <x v="0"/>
    <x v="0"/>
    <s v="Equipment"/>
    <s v="I1A2S-BBBB"/>
    <s v="Legacy"/>
    <s v="S"/>
    <x v="0"/>
    <d v="2024-05-20T00:00:00"/>
    <d v="2024-11-27T00:00:00"/>
    <n v="9"/>
    <n v="313.3965"/>
    <n v="840.87"/>
    <n v="0"/>
    <n v="0"/>
    <n v="9"/>
  </r>
  <r>
    <s v="Brand ABC TDM"/>
    <x v="0"/>
    <x v="0"/>
    <s v="Equipment"/>
    <s v="I1A2S-BBBB"/>
    <s v="Legacy"/>
    <s v="XL"/>
    <x v="0"/>
    <d v="2024-05-20T00:00:00"/>
    <d v="2024-12-13T00:00:00"/>
    <n v="13"/>
    <n v="459.03519999999997"/>
    <n v="1245.71"/>
    <n v="5"/>
    <n v="179.49549999999999"/>
    <n v="18"/>
  </r>
  <r>
    <s v="Brand ABC TDM"/>
    <x v="0"/>
    <x v="0"/>
    <s v="Equipment"/>
    <s v="I1A2S-GB7P"/>
    <s v="Legacy"/>
    <s v="L"/>
    <x v="0"/>
    <d v="2024-10-28T00:00:00"/>
    <d v="2024-10-28T00:00:00"/>
    <n v="1"/>
    <n v="34.268999999999998"/>
    <n v="103.81"/>
    <n v="1"/>
    <n v="34.268999999999998"/>
    <n v="2"/>
  </r>
  <r>
    <s v="Brand ABC TDM"/>
    <x v="0"/>
    <x v="0"/>
    <s v="Equipment"/>
    <s v="I1A2S-GB7P"/>
    <s v="Legacy"/>
    <s v="M"/>
    <x v="0"/>
    <d v="2024-10-11T00:00:00"/>
    <d v="2024-10-28T00:00:00"/>
    <n v="2"/>
    <n v="68.537999999999997"/>
    <n v="166.1"/>
    <n v="0"/>
    <n v="0"/>
    <n v="2"/>
  </r>
  <r>
    <s v="Brand ABC TDM"/>
    <x v="0"/>
    <x v="0"/>
    <s v="Equipment"/>
    <s v="I1A2S-GB7P"/>
    <s v="Legacy"/>
    <s v="S"/>
    <x v="0"/>
    <d v="2024-10-11T00:00:00"/>
    <d v="2024-10-28T00:00:00"/>
    <n v="2"/>
    <n v="68.537999999999997"/>
    <n v="186.86"/>
    <n v="0"/>
    <n v="0"/>
    <n v="2"/>
  </r>
  <r>
    <s v="Brand ABC TDM"/>
    <x v="0"/>
    <x v="0"/>
    <s v="Equipment"/>
    <s v="I1A2S-GB7P"/>
    <s v="Legacy"/>
    <s v="XL"/>
    <x v="0"/>
    <d v="2024-10-28T00:00:00"/>
    <d v="2024-12-11T00:00:00"/>
    <n v="4"/>
    <n v="140.63999999999999"/>
    <n v="373.72"/>
    <n v="2"/>
    <n v="72.102000000000004"/>
    <n v="6"/>
  </r>
  <r>
    <s v="Brand ABC TDM"/>
    <x v="0"/>
    <x v="0"/>
    <s v="Equipment"/>
    <s v="I3A8K-BB2J"/>
    <s v="Running"/>
    <s v="M/L"/>
    <x v="2"/>
    <d v="2024-10-26T00:00:00"/>
    <d v="2024-11-30T00:00:00"/>
    <n v="0"/>
    <n v="0"/>
    <n v="0"/>
    <n v="8"/>
    <n v="280.05759999999998"/>
    <n v="8"/>
  </r>
  <r>
    <s v="Brand ABC TDM"/>
    <x v="0"/>
    <x v="0"/>
    <s v="Equipment"/>
    <s v="I3A8K-BB2J"/>
    <s v="Running"/>
    <s v="S/M"/>
    <x v="2"/>
    <d v="2024-10-26T00:00:00"/>
    <d v="2024-12-09T00:00:00"/>
    <n v="0"/>
    <n v="0"/>
    <n v="0"/>
    <n v="8"/>
    <n v="282.70240000000001"/>
    <n v="8"/>
  </r>
  <r>
    <s v="Brand ABC TDM"/>
    <x v="0"/>
    <x v="1"/>
    <s v="Headwear"/>
    <s v="I2A9T-BBBB"/>
    <s v="Conditioning Goods"/>
    <s v="M/L"/>
    <x v="0"/>
    <d v="2024-10-26T00:00:00"/>
    <d v="2024-12-19T00:00:00"/>
    <n v="4"/>
    <n v="134.0044"/>
    <n v="442.29"/>
    <n v="6"/>
    <n v="201.00659999999999"/>
    <n v="10"/>
  </r>
  <r>
    <s v="Brand ABC TDM"/>
    <x v="0"/>
    <x v="1"/>
    <s v="Headwear"/>
    <s v="I2A9T-BBBB"/>
    <s v="Conditioning Goods"/>
    <s v="S/M"/>
    <x v="0"/>
    <d v="2024-10-26T00:00:00"/>
    <d v="2024-12-17T00:00:00"/>
    <n v="5"/>
    <n v="167.50550000000001"/>
    <n v="565.14"/>
    <n v="5"/>
    <n v="167.50550000000001"/>
    <n v="10"/>
  </r>
  <r>
    <s v="Brand ABC TDM"/>
    <x v="0"/>
    <x v="1"/>
    <s v="Headwear"/>
    <s v="I2A9T-KB7D"/>
    <s v="Conditioning Goods"/>
    <s v="M/L"/>
    <x v="1"/>
    <d v="2024-12-12T00:00:00"/>
    <d v="2024-12-21T00:00:00"/>
    <n v="0"/>
    <n v="0"/>
    <n v="0"/>
    <n v="10"/>
    <n v="427.95699999999999"/>
    <n v="10"/>
  </r>
  <r>
    <s v="Brand ABC TDM"/>
    <x v="0"/>
    <x v="1"/>
    <s v="Headwear"/>
    <s v="I2A9T-KB7D"/>
    <s v="Conditioning Goods"/>
    <s v="S/M"/>
    <x v="1"/>
    <d v="2024-12-12T00:00:00"/>
    <d v="2024-12-12T00:00:00"/>
    <n v="0"/>
    <n v="0"/>
    <n v="0"/>
    <n v="10"/>
    <n v="427.95699999999999"/>
    <n v="10"/>
  </r>
  <r>
    <s v="Brand ABC TDM"/>
    <x v="0"/>
    <x v="1"/>
    <s v="Headwear"/>
    <s v="I3A3X-NCCT"/>
    <s v="Conditioning Goods"/>
    <s v="OS"/>
    <x v="0"/>
    <d v="2024-12-12T00:00:00"/>
    <d v="2024-12-12T00:00:00"/>
    <n v="0"/>
    <n v="0"/>
    <n v="0"/>
    <n v="10"/>
    <n v="428.36200000000002"/>
    <n v="10"/>
  </r>
  <r>
    <s v="Brand ABC TDM"/>
    <x v="0"/>
    <x v="1"/>
    <s v="Headwear"/>
    <s v="I3A3X-PBZN"/>
    <s v="Conditioning Goods"/>
    <s v="OS"/>
    <x v="1"/>
    <d v="2024-10-25T00:00:00"/>
    <d v="2024-11-26T00:00:00"/>
    <n v="3"/>
    <n v="128.3871"/>
    <n v="357.44"/>
    <n v="12"/>
    <n v="513.54840000000002"/>
    <n v="15"/>
  </r>
  <r>
    <s v="Brand ABC TDM"/>
    <x v="0"/>
    <x v="1"/>
    <s v="Headwear"/>
    <s v="I3A3X-TBNG"/>
    <s v="Conditioning Goods"/>
    <s v="OS"/>
    <x v="0"/>
    <d v="2024-12-12T00:00:00"/>
    <d v="2024-12-12T00:00:00"/>
    <n v="0"/>
    <n v="0"/>
    <n v="0"/>
    <n v="10"/>
    <n v="428.36200000000002"/>
    <n v="10"/>
  </r>
  <r>
    <s v="Brand ABC TDM"/>
    <x v="0"/>
    <x v="1"/>
    <s v="Headwear"/>
    <s v="I4A1L-UC5L"/>
    <s v="Conditioning Goods"/>
    <s v="OS"/>
    <x v="1"/>
    <d v="2024-12-07T00:00:00"/>
    <d v="2024-12-20T00:00:00"/>
    <n v="0"/>
    <n v="0"/>
    <n v="0"/>
    <n v="12"/>
    <n v="205.614"/>
    <n v="12"/>
  </r>
  <r>
    <s v="Brand ABC TDM"/>
    <x v="1"/>
    <x v="0"/>
    <s v="Bags"/>
    <s v="I2A5Q-BBBB"/>
    <s v="Everyday"/>
    <s v="OS"/>
    <x v="0"/>
    <d v="2024-10-26T00:00:00"/>
    <d v="2024-12-19T00:00:00"/>
    <n v="17"/>
    <n v="735.96640000000002"/>
    <n v="1945.98"/>
    <n v="7"/>
    <n v="311.45310000000001"/>
    <n v="24"/>
  </r>
  <r>
    <s v="Brand ABC TDM"/>
    <x v="1"/>
    <x v="0"/>
    <s v="Bags"/>
    <s v="I2A5Q-GB7P"/>
    <s v="Everyday"/>
    <s v="OS"/>
    <x v="0"/>
    <d v="2024-10-26T00:00:00"/>
    <d v="2024-10-26T00:00:00"/>
    <n v="6"/>
    <n v="256.77420000000001"/>
    <n v="714.84"/>
    <n v="0"/>
    <n v="0"/>
    <n v="6"/>
  </r>
  <r>
    <s v="Brand ABC TDM"/>
    <x v="1"/>
    <x v="0"/>
    <s v="Bags"/>
    <s v="I2A5W-GB7P"/>
    <s v="Everyday"/>
    <s v="OS"/>
    <x v="0"/>
    <d v="2024-10-28T00:00:00"/>
    <d v="2024-10-28T00:00:00"/>
    <n v="0"/>
    <n v="0"/>
    <n v="0"/>
    <n v="6"/>
    <n v="564.95280000000002"/>
    <n v="6"/>
  </r>
  <r>
    <s v="Brand ABC TDM"/>
    <x v="1"/>
    <x v="0"/>
    <s v="Bags"/>
    <s v="I2A9I-BB3J"/>
    <s v="Tech Series"/>
    <s v="OS"/>
    <x v="0"/>
    <d v="2024-12-07T00:00:00"/>
    <d v="2024-12-19T00:00:00"/>
    <n v="0"/>
    <n v="0"/>
    <n v="0"/>
    <n v="6"/>
    <n v="270.38159999999999"/>
    <n v="6"/>
  </r>
  <r>
    <s v="Brand ABC TDM"/>
    <x v="1"/>
    <x v="0"/>
    <s v="Bags"/>
    <s v="I2A9N-BB2J"/>
    <s v="Tech Series"/>
    <s v="OS"/>
    <x v="0"/>
    <d v="2024-12-07T00:00:00"/>
    <d v="2024-12-07T00:00:00"/>
    <n v="0"/>
    <n v="0"/>
    <n v="0"/>
    <n v="4"/>
    <n v="180.25479999999999"/>
    <n v="4"/>
  </r>
  <r>
    <s v="Brand ABC TDM"/>
    <x v="1"/>
    <x v="0"/>
    <s v="Bags"/>
    <s v="I3A1V-BBBB"/>
    <s v="Everyday"/>
    <s v="OS"/>
    <x v="0"/>
    <d v="2024-10-11T00:00:00"/>
    <d v="2024-12-21T00:00:00"/>
    <n v="44"/>
    <n v="2709.2134000000001"/>
    <n v="7145.42"/>
    <n v="6"/>
    <n v="375.47160000000002"/>
    <n v="50"/>
  </r>
  <r>
    <s v="Brand ABC TDM"/>
    <x v="1"/>
    <x v="0"/>
    <s v="Bags"/>
    <s v="I3A2H-BBBB"/>
    <s v="Everyday"/>
    <s v="OS"/>
    <x v="0"/>
    <d v="2024-10-26T00:00:00"/>
    <d v="2024-10-26T00:00:00"/>
    <n v="6"/>
    <n v="461.90280000000001"/>
    <n v="1274.68"/>
    <n v="0"/>
    <n v="0"/>
    <n v="6"/>
  </r>
  <r>
    <s v="Brand ABC TDM"/>
    <x v="1"/>
    <x v="0"/>
    <s v="Bags"/>
    <s v="I3A2H-ECJK"/>
    <s v="Everyday"/>
    <s v="OS"/>
    <x v="0"/>
    <d v="2024-10-28T00:00:00"/>
    <d v="2024-10-28T00:00:00"/>
    <n v="3"/>
    <n v="230.95140000000001"/>
    <n v="614.48"/>
    <n v="0"/>
    <n v="0"/>
    <n v="3"/>
  </r>
  <r>
    <s v="Brand ABC TDM"/>
    <x v="1"/>
    <x v="0"/>
    <s v="Bags"/>
    <s v="I3A4R-BB2J"/>
    <s v="Sharkhead"/>
    <s v="OS"/>
    <x v="0"/>
    <d v="2024-12-12T00:00:00"/>
    <d v="2024-12-12T00:00:00"/>
    <n v="2"/>
    <n v="90.127200000000002"/>
    <n v="233.43"/>
    <n v="6"/>
    <n v="270.38159999999999"/>
    <n v="8"/>
  </r>
  <r>
    <s v="Brand ABC TDM"/>
    <x v="1"/>
    <x v="0"/>
    <s v="Bags"/>
    <s v="I4A1Z-BB2J"/>
    <s v="Sharkhead"/>
    <s v="OS"/>
    <x v="2"/>
    <d v="2024-12-12T00:00:00"/>
    <d v="2024-12-18T00:00:00"/>
    <n v="0"/>
    <n v="0"/>
    <n v="0"/>
    <n v="8"/>
    <n v="215.9648"/>
    <n v="8"/>
  </r>
  <r>
    <s v="Brand ABC TDM"/>
    <x v="1"/>
    <x v="0"/>
    <s v="Bags"/>
    <s v="I4A2K-BCYL"/>
    <s v="Power"/>
    <s v="OS"/>
    <x v="0"/>
    <d v="2024-10-26T00:00:00"/>
    <d v="2024-12-18T00:00:00"/>
    <n v="19"/>
    <n v="1156.1458"/>
    <n v="3078"/>
    <n v="8"/>
    <n v="498.25040000000001"/>
    <n v="27"/>
  </r>
  <r>
    <s v="Brand ABC TDM"/>
    <x v="1"/>
    <x v="0"/>
    <s v="Bags"/>
    <s v="I4A2K-WCTR"/>
    <s v="Power"/>
    <s v="OS"/>
    <x v="1"/>
    <d v="2024-10-26T00:00:00"/>
    <d v="2024-12-20T00:00:00"/>
    <n v="10"/>
    <n v="612.77779999999996"/>
    <n v="1656"/>
    <n v="7"/>
    <n v="436.49130000000002"/>
    <n v="17"/>
  </r>
  <r>
    <s v="Brand ABC TDM"/>
    <x v="1"/>
    <x v="0"/>
    <s v="Bags"/>
    <s v="I4A2T-BCYL"/>
    <s v="Military"/>
    <s v="OS"/>
    <x v="0"/>
    <d v="2024-10-25T00:00:00"/>
    <d v="2024-12-06T00:00:00"/>
    <n v="8"/>
    <n v="824.75540000000001"/>
    <n v="2256"/>
    <n v="7"/>
    <n v="736.27049999999997"/>
    <n v="15"/>
  </r>
  <r>
    <s v="Brand ABC TDM"/>
    <x v="1"/>
    <x v="0"/>
    <s v="Bags"/>
    <s v="I4A2T-WCTR"/>
    <s v="Military"/>
    <s v="OS"/>
    <x v="1"/>
    <d v="2024-10-26T00:00:00"/>
    <d v="2024-12-04T00:00:00"/>
    <n v="2"/>
    <n v="206.05269999999999"/>
    <n v="564"/>
    <n v="7"/>
    <n v="728.42840000000001"/>
    <n v="9"/>
  </r>
  <r>
    <s v="Brand ABC TDM"/>
    <x v="2"/>
    <x v="2"/>
    <s v="Short Sleeve Tops"/>
    <s v="A1A3E-BBBB"/>
    <s v="Essentials"/>
    <s v="L"/>
    <x v="0"/>
    <d v="2024-12-12T00:00:00"/>
    <d v="2024-12-12T00:00:00"/>
    <n v="0"/>
    <n v="0"/>
    <n v="0"/>
    <n v="6"/>
    <n v="259.15800000000002"/>
    <n v="6"/>
  </r>
  <r>
    <s v="Brand ABC TDM"/>
    <x v="2"/>
    <x v="2"/>
    <s v="Short Sleeve Tops"/>
    <s v="A1A3E-BBBB"/>
    <s v="Essentials"/>
    <s v="M"/>
    <x v="0"/>
    <d v="2024-12-12T00:00:00"/>
    <d v="2024-12-12T00:00:00"/>
    <n v="0"/>
    <n v="0"/>
    <n v="0"/>
    <n v="7"/>
    <n v="302.351"/>
    <n v="7"/>
  </r>
  <r>
    <s v="Brand ABC TDM"/>
    <x v="2"/>
    <x v="2"/>
    <s v="Short Sleeve Tops"/>
    <s v="A1A3E-BBBB"/>
    <s v="Essentials"/>
    <s v="S"/>
    <x v="0"/>
    <d v="2024-12-12T00:00:00"/>
    <d v="2024-12-12T00:00:00"/>
    <n v="0"/>
    <n v="0"/>
    <n v="0"/>
    <n v="5"/>
    <n v="215.965"/>
    <n v="5"/>
  </r>
  <r>
    <s v="Brand ABC TDM"/>
    <x v="2"/>
    <x v="2"/>
    <s v="Short Sleeve Tops"/>
    <s v="A1A3E-BBBB"/>
    <s v="Essentials"/>
    <s v="XS"/>
    <x v="0"/>
    <d v="2024-12-12T00:00:00"/>
    <d v="2024-12-12T00:00:00"/>
    <n v="0"/>
    <n v="0"/>
    <n v="0"/>
    <n v="3"/>
    <n v="129.57929999999999"/>
    <n v="3"/>
  </r>
  <r>
    <s v="Brand ABC TDM"/>
    <x v="2"/>
    <x v="2"/>
    <s v="Short Sleeve Tops"/>
    <s v="A1A3E-ECH1"/>
    <s v="Essentials"/>
    <s v="M"/>
    <x v="1"/>
    <d v="2024-12-14T00:00:00"/>
    <d v="2024-12-14T00:00:00"/>
    <n v="0"/>
    <n v="0"/>
    <n v="0"/>
    <n v="4"/>
    <n v="172.7724"/>
    <n v="4"/>
  </r>
  <r>
    <s v="Brand ABC TDM"/>
    <x v="2"/>
    <x v="2"/>
    <s v="Short Sleeve Tops"/>
    <s v="A1A3E-ECH1"/>
    <s v="Essentials"/>
    <s v="S"/>
    <x v="1"/>
    <d v="2024-12-14T00:00:00"/>
    <d v="2024-12-14T00:00:00"/>
    <n v="0"/>
    <n v="0"/>
    <n v="0"/>
    <n v="4"/>
    <n v="172.77199999999999"/>
    <n v="4"/>
  </r>
  <r>
    <s v="Brand ABC TDM"/>
    <x v="2"/>
    <x v="2"/>
    <s v="Short Sleeve Tops"/>
    <s v="A1A3E-ECH1"/>
    <s v="Essentials"/>
    <s v="XS"/>
    <x v="1"/>
    <d v="2024-12-14T00:00:00"/>
    <d v="2024-12-14T00:00:00"/>
    <n v="0"/>
    <n v="0"/>
    <n v="0"/>
    <n v="3"/>
    <n v="129.57900000000001"/>
    <n v="3"/>
  </r>
  <r>
    <s v="Brand ABC TDM"/>
    <x v="2"/>
    <x v="2"/>
    <s v="Short Sleeve Tops"/>
    <s v="A1A3E-GB7P"/>
    <s v="Essentials"/>
    <s v="L"/>
    <x v="0"/>
    <d v="2024-12-07T00:00:00"/>
    <d v="2024-12-17T00:00:00"/>
    <n v="8"/>
    <n v="345.54399999999998"/>
    <n v="933.71"/>
    <n v="3"/>
    <n v="129.57900000000001"/>
    <n v="11"/>
  </r>
  <r>
    <s v="Brand ABC TDM"/>
    <x v="2"/>
    <x v="2"/>
    <s v="Short Sleeve Tops"/>
    <s v="A1A3E-GB7P"/>
    <s v="Essentials"/>
    <s v="M"/>
    <x v="0"/>
    <d v="2024-12-07T00:00:00"/>
    <d v="2024-12-17T00:00:00"/>
    <n v="8"/>
    <n v="345.54480000000001"/>
    <n v="909.14"/>
    <n v="5"/>
    <n v="215.96549999999999"/>
    <n v="13"/>
  </r>
  <r>
    <s v="Brand ABC TDM"/>
    <x v="2"/>
    <x v="2"/>
    <s v="Short Sleeve Tops"/>
    <s v="A1A3E-GB7P"/>
    <s v="Essentials"/>
    <s v="S"/>
    <x v="0"/>
    <d v="2024-12-07T00:00:00"/>
    <d v="2024-12-19T00:00:00"/>
    <n v="6"/>
    <n v="259.15800000000002"/>
    <n v="688"/>
    <n v="4"/>
    <n v="172.77199999999999"/>
    <n v="10"/>
  </r>
  <r>
    <s v="Brand ABC TDM"/>
    <x v="2"/>
    <x v="2"/>
    <s v="Short Sleeve Tops"/>
    <s v="A1A3E-GB7P"/>
    <s v="Essentials"/>
    <s v="XS"/>
    <x v="0"/>
    <d v="2024-12-07T00:00:00"/>
    <d v="2024-12-17T00:00:00"/>
    <n v="3"/>
    <n v="129.57929999999999"/>
    <n v="344"/>
    <n v="3"/>
    <n v="129.57929999999999"/>
    <n v="6"/>
  </r>
  <r>
    <s v="Brand ABC TDM"/>
    <x v="2"/>
    <x v="2"/>
    <s v="Short Sleeve Tops"/>
    <s v="A1A3E-GBFH"/>
    <s v="Essentials"/>
    <s v="L"/>
    <x v="0"/>
    <d v="2024-12-07T00:00:00"/>
    <d v="2024-12-13T00:00:00"/>
    <n v="1"/>
    <n v="43.192999999999998"/>
    <n v="122.86"/>
    <n v="6"/>
    <n v="259.15800000000002"/>
    <n v="7"/>
  </r>
  <r>
    <s v="Brand ABC TDM"/>
    <x v="2"/>
    <x v="2"/>
    <s v="Short Sleeve Tops"/>
    <s v="A1A3E-GBFH"/>
    <s v="Essentials"/>
    <s v="M"/>
    <x v="0"/>
    <d v="2024-12-07T00:00:00"/>
    <d v="2024-12-21T00:00:00"/>
    <n v="2"/>
    <n v="86.385999999999996"/>
    <n v="233.43"/>
    <n v="6"/>
    <n v="259.15800000000002"/>
    <n v="8"/>
  </r>
  <r>
    <s v="Brand ABC TDM"/>
    <x v="2"/>
    <x v="2"/>
    <s v="Short Sleeve Tops"/>
    <s v="A1A3E-GBFH"/>
    <s v="Essentials"/>
    <s v="S"/>
    <x v="0"/>
    <d v="2024-12-07T00:00:00"/>
    <d v="2024-12-16T00:00:00"/>
    <n v="0"/>
    <n v="0"/>
    <n v="0"/>
    <n v="6"/>
    <n v="259.15800000000002"/>
    <n v="6"/>
  </r>
  <r>
    <s v="Brand ABC TDM"/>
    <x v="2"/>
    <x v="2"/>
    <s v="Short Sleeve Tops"/>
    <s v="A1A3E-GBFH"/>
    <s v="Essentials"/>
    <s v="XS"/>
    <x v="0"/>
    <d v="2024-12-07T00:00:00"/>
    <d v="2024-12-16T00:00:00"/>
    <n v="2"/>
    <n v="86.386200000000002"/>
    <n v="221.14"/>
    <n v="3"/>
    <n v="129.57929999999999"/>
    <n v="5"/>
  </r>
  <r>
    <s v="Brand ABC TDM"/>
    <x v="2"/>
    <x v="2"/>
    <s v="Short Sleeve Tops"/>
    <s v="A1A3E-NCCZ"/>
    <s v="Essentials"/>
    <s v="L"/>
    <x v="1"/>
    <d v="2024-12-12T00:00:00"/>
    <d v="2024-12-12T00:00:00"/>
    <n v="0"/>
    <n v="0"/>
    <n v="0"/>
    <n v="6"/>
    <n v="259.15800000000002"/>
    <n v="6"/>
  </r>
  <r>
    <s v="Brand ABC TDM"/>
    <x v="2"/>
    <x v="2"/>
    <s v="Short Sleeve Tops"/>
    <s v="A1A3E-NCCZ"/>
    <s v="Essentials"/>
    <s v="M"/>
    <x v="1"/>
    <d v="2024-12-12T00:00:00"/>
    <d v="2024-12-21T00:00:00"/>
    <n v="0"/>
    <n v="0"/>
    <n v="0"/>
    <n v="7"/>
    <n v="302.35169999999999"/>
    <n v="7"/>
  </r>
  <r>
    <s v="Brand ABC TDM"/>
    <x v="2"/>
    <x v="2"/>
    <s v="Short Sleeve Tops"/>
    <s v="A1A3E-NCCZ"/>
    <s v="Essentials"/>
    <s v="S"/>
    <x v="1"/>
    <d v="2024-12-12T00:00:00"/>
    <d v="2024-12-17T00:00:00"/>
    <n v="0"/>
    <n v="0"/>
    <n v="0"/>
    <n v="5"/>
    <n v="215.965"/>
    <n v="5"/>
  </r>
  <r>
    <s v="Brand ABC TDM"/>
    <x v="2"/>
    <x v="2"/>
    <s v="Short Sleeve Tops"/>
    <s v="A1A3E-NCCZ"/>
    <s v="Essentials"/>
    <s v="XS"/>
    <x v="1"/>
    <d v="2024-12-12T00:00:00"/>
    <d v="2024-12-12T00:00:00"/>
    <n v="0"/>
    <n v="0"/>
    <n v="0"/>
    <n v="3"/>
    <n v="129.57900000000001"/>
    <n v="3"/>
  </r>
  <r>
    <s v="Brand ABC TDM"/>
    <x v="2"/>
    <x v="2"/>
    <s v="Short Sleeve Tops"/>
    <s v="A1A3E-PBZS"/>
    <s v="Essentials"/>
    <s v="L"/>
    <x v="1"/>
    <d v="2024-12-14T00:00:00"/>
    <d v="2024-12-14T00:00:00"/>
    <n v="0"/>
    <n v="0"/>
    <n v="0"/>
    <n v="1"/>
    <n v="43.193100000000001"/>
    <n v="1"/>
  </r>
  <r>
    <s v="Brand ABC TDM"/>
    <x v="2"/>
    <x v="2"/>
    <s v="Short Sleeve Tops"/>
    <s v="A1A3E-PBZS"/>
    <s v="Essentials"/>
    <s v="M"/>
    <x v="1"/>
    <d v="2024-12-12T00:00:00"/>
    <d v="2024-12-19T00:00:00"/>
    <n v="0"/>
    <n v="0"/>
    <n v="0"/>
    <n v="7"/>
    <n v="302.35169999999999"/>
    <n v="7"/>
  </r>
  <r>
    <s v="Brand ABC TDM"/>
    <x v="2"/>
    <x v="2"/>
    <s v="Short Sleeve Tops"/>
    <s v="A1A3E-PBZS"/>
    <s v="Essentials"/>
    <s v="S"/>
    <x v="1"/>
    <d v="2024-12-12T00:00:00"/>
    <d v="2024-12-19T00:00:00"/>
    <n v="0"/>
    <n v="0"/>
    <n v="0"/>
    <n v="4"/>
    <n v="172.7724"/>
    <n v="4"/>
  </r>
  <r>
    <s v="Brand ABC TDM"/>
    <x v="2"/>
    <x v="2"/>
    <s v="Short Sleeve Tops"/>
    <s v="A1A3E-PBZS"/>
    <s v="Essentials"/>
    <s v="XS"/>
    <x v="1"/>
    <d v="2024-12-12T00:00:00"/>
    <d v="2024-12-12T00:00:00"/>
    <n v="0"/>
    <n v="0"/>
    <n v="0"/>
    <n v="3"/>
    <n v="129.57900000000001"/>
    <n v="3"/>
  </r>
  <r>
    <s v="Brand ABC TDM"/>
    <x v="2"/>
    <x v="2"/>
    <s v="Short Sleeve Tops"/>
    <s v="A1A3E-WBBM"/>
    <s v="Essentials"/>
    <s v="L"/>
    <x v="0"/>
    <d v="2024-12-07T00:00:00"/>
    <d v="2024-12-21T00:00:00"/>
    <n v="5"/>
    <n v="215.965"/>
    <n v="589.72"/>
    <n v="4"/>
    <n v="172.77199999999999"/>
    <n v="9"/>
  </r>
  <r>
    <s v="Brand ABC TDM"/>
    <x v="2"/>
    <x v="2"/>
    <s v="Short Sleeve Tops"/>
    <s v="A1A3E-WBBM"/>
    <s v="Essentials"/>
    <s v="M"/>
    <x v="0"/>
    <d v="2024-12-07T00:00:00"/>
    <d v="2024-12-21T00:00:00"/>
    <n v="5"/>
    <n v="215.965"/>
    <n v="528.28"/>
    <n v="5"/>
    <n v="215.965"/>
    <n v="10"/>
  </r>
  <r>
    <s v="Brand ABC TDM"/>
    <x v="2"/>
    <x v="2"/>
    <s v="Short Sleeve Tops"/>
    <s v="A1A3E-WBBM"/>
    <s v="Essentials"/>
    <s v="S"/>
    <x v="0"/>
    <d v="2024-12-07T00:00:00"/>
    <d v="2024-12-21T00:00:00"/>
    <n v="1"/>
    <n v="43.192999999999998"/>
    <n v="122.85"/>
    <n v="5"/>
    <n v="215.965"/>
    <n v="6"/>
  </r>
  <r>
    <s v="Brand ABC TDM"/>
    <x v="2"/>
    <x v="2"/>
    <s v="Short Sleeve Tops"/>
    <s v="A1A3E-WBBM"/>
    <s v="Essentials"/>
    <s v="XL"/>
    <x v="0"/>
    <d v="2024-12-07T00:00:00"/>
    <d v="2024-12-12T00:00:00"/>
    <n v="2"/>
    <n v="86.385999999999996"/>
    <n v="233.43"/>
    <n v="2"/>
    <n v="86.385999999999996"/>
    <n v="4"/>
  </r>
  <r>
    <s v="Brand ABC TDM"/>
    <x v="2"/>
    <x v="2"/>
    <s v="Short Sleeve Tops"/>
    <s v="A1A3E-WBBM"/>
    <s v="Essentials"/>
    <s v="XS"/>
    <x v="0"/>
    <d v="2024-12-07T00:00:00"/>
    <d v="2024-12-21T00:00:00"/>
    <n v="0"/>
    <n v="0"/>
    <n v="0"/>
    <n v="3"/>
    <n v="129.57900000000001"/>
    <n v="3"/>
  </r>
  <r>
    <s v="Brand ABC TDM"/>
    <x v="2"/>
    <x v="2"/>
    <s v="Short Sleeve Tops"/>
    <s v="A1A3J-BBBB"/>
    <s v="Crest"/>
    <s v="L"/>
    <x v="0"/>
    <d v="2024-10-26T00:00:00"/>
    <d v="2024-12-21T00:00:00"/>
    <n v="18"/>
    <n v="641.34050000000002"/>
    <n v="1870"/>
    <n v="7"/>
    <n v="258.08370000000002"/>
    <n v="25"/>
  </r>
  <r>
    <s v="Brand ABC TDM"/>
    <x v="2"/>
    <x v="2"/>
    <s v="Short Sleeve Tops"/>
    <s v="A1A3J-BBBB"/>
    <s v="Crest"/>
    <s v="M"/>
    <x v="0"/>
    <d v="2024-10-26T00:00:00"/>
    <d v="2024-12-21T00:00:00"/>
    <n v="21"/>
    <n v="755.94569999999999"/>
    <n v="2164.66"/>
    <n v="14"/>
    <n v="520.48919999999998"/>
    <n v="35"/>
  </r>
  <r>
    <s v="Brand ABC TDM"/>
    <x v="2"/>
    <x v="2"/>
    <s v="Short Sleeve Tops"/>
    <s v="A1A3J-BBBB"/>
    <s v="Crest"/>
    <s v="S"/>
    <x v="0"/>
    <d v="2024-10-26T00:00:00"/>
    <d v="2024-12-21T00:00:00"/>
    <n v="19"/>
    <n v="677.51559999999995"/>
    <n v="1937.99"/>
    <n v="10"/>
    <n v="366.98899999999998"/>
    <n v="29"/>
  </r>
  <r>
    <s v="Brand ABC TDM"/>
    <x v="2"/>
    <x v="2"/>
    <s v="Short Sleeve Tops"/>
    <s v="A1A3J-BBBB"/>
    <s v="Crest"/>
    <s v="XL"/>
    <x v="0"/>
    <d v="2024-10-28T00:00:00"/>
    <d v="2024-12-21T00:00:00"/>
    <n v="11"/>
    <n v="413.56950000000001"/>
    <n v="1099.33"/>
    <n v="3"/>
    <n v="113.2503"/>
    <n v="14"/>
  </r>
  <r>
    <s v="Brand ABC TDM"/>
    <x v="2"/>
    <x v="2"/>
    <s v="Short Sleeve Tops"/>
    <s v="A1A3J-BBBB"/>
    <s v="Crest"/>
    <s v="XS"/>
    <x v="0"/>
    <d v="2024-10-28T00:00:00"/>
    <d v="2024-12-21T00:00:00"/>
    <n v="11"/>
    <n v="387.79239999999999"/>
    <n v="1144.6600000000001"/>
    <n v="3"/>
    <n v="109.1901"/>
    <n v="14"/>
  </r>
  <r>
    <s v="Brand ABC TDM"/>
    <x v="2"/>
    <x v="2"/>
    <s v="Short Sleeve Tops"/>
    <s v="A1A3J-GBFG"/>
    <s v="Crest"/>
    <s v="L"/>
    <x v="0"/>
    <d v="2024-11-09T00:00:00"/>
    <d v="2024-12-10T00:00:00"/>
    <n v="6"/>
    <n v="206.75649999999999"/>
    <n v="623.33000000000004"/>
    <n v="7"/>
    <n v="245.33320000000001"/>
    <n v="13"/>
  </r>
  <r>
    <s v="Brand ABC TDM"/>
    <x v="2"/>
    <x v="2"/>
    <s v="Short Sleeve Tops"/>
    <s v="A1A3J-GBFG"/>
    <s v="Crest"/>
    <s v="M"/>
    <x v="0"/>
    <d v="2024-11-09T00:00:00"/>
    <d v="2024-11-26T00:00:00"/>
    <n v="3"/>
    <n v="103.19410000000001"/>
    <n v="283.33"/>
    <n v="7"/>
    <n v="244.43090000000001"/>
    <n v="10"/>
  </r>
  <r>
    <s v="Brand ABC TDM"/>
    <x v="2"/>
    <x v="2"/>
    <s v="Short Sleeve Tops"/>
    <s v="A1A3J-GBFG"/>
    <s v="Crest"/>
    <s v="S"/>
    <x v="0"/>
    <d v="2024-11-09T00:00:00"/>
    <d v="2024-11-29T00:00:00"/>
    <n v="2"/>
    <n v="68.618799999999993"/>
    <n v="204"/>
    <n v="11"/>
    <n v="379.91140000000001"/>
    <n v="13"/>
  </r>
  <r>
    <s v="Brand ABC TDM"/>
    <x v="2"/>
    <x v="2"/>
    <s v="Short Sleeve Tops"/>
    <s v="A1A3J-GBFG"/>
    <s v="Crest"/>
    <s v="XL"/>
    <x v="0"/>
    <d v="2024-11-09T00:00:00"/>
    <d v="2024-12-10T00:00:00"/>
    <n v="2"/>
    <n v="68.654799999999994"/>
    <n v="204"/>
    <n v="9"/>
    <n v="311.41890000000001"/>
    <n v="11"/>
  </r>
  <r>
    <s v="Brand ABC TDM"/>
    <x v="2"/>
    <x v="2"/>
    <s v="Short Sleeve Tops"/>
    <s v="A1A3J-GBFG"/>
    <s v="Crest"/>
    <s v="XS"/>
    <x v="0"/>
    <d v="2024-11-09T00:00:00"/>
    <d v="2024-12-10T00:00:00"/>
    <n v="3"/>
    <n v="103.2017"/>
    <n v="306"/>
    <n v="10"/>
    <n v="347.10899999999998"/>
    <n v="13"/>
  </r>
  <r>
    <s v="Brand ABC TDM"/>
    <x v="2"/>
    <x v="2"/>
    <s v="Short Sleeve Tops"/>
    <s v="A1A3J-NCCZ"/>
    <s v="Crest"/>
    <s v="L"/>
    <x v="1"/>
    <d v="2024-10-28T00:00:00"/>
    <d v="2024-12-17T00:00:00"/>
    <n v="9"/>
    <n v="315.63780000000003"/>
    <n v="929.34"/>
    <n v="5"/>
    <n v="178.39400000000001"/>
    <n v="14"/>
  </r>
  <r>
    <s v="Brand ABC TDM"/>
    <x v="2"/>
    <x v="2"/>
    <s v="Short Sleeve Tops"/>
    <s v="A1A3J-NCCZ"/>
    <s v="Crest"/>
    <s v="M"/>
    <x v="1"/>
    <d v="2024-10-28T00:00:00"/>
    <d v="2024-12-17T00:00:00"/>
    <n v="21"/>
    <n v="744.14520000000005"/>
    <n v="2164.67"/>
    <n v="5"/>
    <n v="179.613"/>
    <n v="26"/>
  </r>
  <r>
    <s v="Brand ABC TDM"/>
    <x v="2"/>
    <x v="2"/>
    <s v="Short Sleeve Tops"/>
    <s v="A1A3J-NCCZ"/>
    <s v="Crest"/>
    <s v="S"/>
    <x v="1"/>
    <d v="2024-10-28T00:00:00"/>
    <d v="2024-12-14T00:00:00"/>
    <n v="10"/>
    <n v="352.27800000000002"/>
    <n v="1031.33"/>
    <n v="5"/>
    <n v="178.9485"/>
    <n v="15"/>
  </r>
  <r>
    <s v="Brand ABC TDM"/>
    <x v="2"/>
    <x v="2"/>
    <s v="Short Sleeve Tops"/>
    <s v="A1A3J-NCCZ"/>
    <s v="Crest"/>
    <s v="XL"/>
    <x v="1"/>
    <d v="2024-10-28T00:00:00"/>
    <d v="2024-12-16T00:00:00"/>
    <n v="6"/>
    <n v="210.7107"/>
    <n v="623.33000000000004"/>
    <n v="3"/>
    <n v="108.0252"/>
    <n v="9"/>
  </r>
  <r>
    <s v="Brand ABC TDM"/>
    <x v="2"/>
    <x v="2"/>
    <s v="Short Sleeve Tops"/>
    <s v="A1A3J-NCCZ"/>
    <s v="Crest"/>
    <s v="XS"/>
    <x v="1"/>
    <d v="2024-10-28T00:00:00"/>
    <d v="2024-12-17T00:00:00"/>
    <n v="5"/>
    <n v="175.22970000000001"/>
    <n v="521.33000000000004"/>
    <n v="2"/>
    <n v="71.489400000000003"/>
    <n v="7"/>
  </r>
  <r>
    <s v="Brand ABC TDM"/>
    <x v="2"/>
    <x v="2"/>
    <s v="Short Sleeve Tops"/>
    <s v="A1A3J-WBBM"/>
    <s v="Crest"/>
    <s v="L"/>
    <x v="0"/>
    <d v="2024-10-28T00:00:00"/>
    <d v="2024-12-20T00:00:00"/>
    <n v="15"/>
    <n v="532.98950000000002"/>
    <n v="1552.67"/>
    <n v="6"/>
    <n v="220.0386"/>
    <n v="21"/>
  </r>
  <r>
    <s v="Brand ABC TDM"/>
    <x v="2"/>
    <x v="2"/>
    <s v="Short Sleeve Tops"/>
    <s v="A1A3J-WBBM"/>
    <s v="Crest"/>
    <s v="M"/>
    <x v="0"/>
    <d v="2024-10-28T00:00:00"/>
    <d v="2024-12-21T00:00:00"/>
    <n v="18"/>
    <n v="638.23609999999996"/>
    <n v="1881.32"/>
    <n v="6"/>
    <n v="218.2578"/>
    <n v="24"/>
  </r>
  <r>
    <s v="Brand ABC TDM"/>
    <x v="2"/>
    <x v="2"/>
    <s v="Short Sleeve Tops"/>
    <s v="A1A3J-WBBM"/>
    <s v="Crest"/>
    <s v="S"/>
    <x v="0"/>
    <d v="2024-10-28T00:00:00"/>
    <d v="2024-12-21T00:00:00"/>
    <n v="15"/>
    <n v="525.89869999999996"/>
    <n v="1530"/>
    <n v="4"/>
    <n v="145.238"/>
    <n v="19"/>
  </r>
  <r>
    <s v="Brand ABC TDM"/>
    <x v="2"/>
    <x v="2"/>
    <s v="Short Sleeve Tops"/>
    <s v="A1A3J-WBBM"/>
    <s v="Crest"/>
    <s v="XL"/>
    <x v="0"/>
    <d v="2024-10-28T00:00:00"/>
    <d v="2024-12-17T00:00:00"/>
    <n v="7"/>
    <n v="244.15880000000001"/>
    <n v="714"/>
    <n v="2"/>
    <n v="70.721199999999996"/>
    <n v="9"/>
  </r>
  <r>
    <s v="Brand ABC TDM"/>
    <x v="2"/>
    <x v="2"/>
    <s v="Short Sleeve Tops"/>
    <s v="A1A3J-WBBM"/>
    <s v="Crest"/>
    <s v="XS"/>
    <x v="0"/>
    <d v="2024-10-28T00:00:00"/>
    <d v="2024-12-18T00:00:00"/>
    <n v="9"/>
    <n v="310.6275"/>
    <n v="918"/>
    <n v="3"/>
    <n v="107.2341"/>
    <n v="12"/>
  </r>
  <r>
    <s v="Brand ABC TDM"/>
    <x v="2"/>
    <x v="2"/>
    <s v="Short Sleeve Tops"/>
    <s v="A1B1R-GB7N"/>
    <s v="Rest Day"/>
    <s v="L"/>
    <x v="1"/>
    <d v="2024-10-26T00:00:00"/>
    <d v="2024-12-04T00:00:00"/>
    <n v="4"/>
    <n v="276.59710000000001"/>
    <n v="750.86"/>
    <n v="0"/>
    <n v="0"/>
    <n v="4"/>
  </r>
  <r>
    <s v="Brand ABC TDM"/>
    <x v="2"/>
    <x v="2"/>
    <s v="Short Sleeve Tops"/>
    <s v="A1B1R-GB7N"/>
    <s v="Rest Day"/>
    <s v="M"/>
    <x v="1"/>
    <d v="2024-10-26T00:00:00"/>
    <d v="2024-12-05T00:00:00"/>
    <n v="13"/>
    <n v="914.19820000000004"/>
    <n v="2440.2800000000002"/>
    <n v="0"/>
    <n v="0"/>
    <n v="13"/>
  </r>
  <r>
    <s v="Brand ABC TDM"/>
    <x v="2"/>
    <x v="2"/>
    <s v="Short Sleeve Tops"/>
    <s v="A1B1R-GB7N"/>
    <s v="Rest Day"/>
    <s v="S"/>
    <x v="1"/>
    <d v="2024-10-26T00:00:00"/>
    <d v="2024-12-05T00:00:00"/>
    <n v="10"/>
    <n v="704.33870000000002"/>
    <n v="1877.14"/>
    <n v="0"/>
    <n v="0"/>
    <n v="10"/>
  </r>
  <r>
    <s v="Brand ABC TDM"/>
    <x v="2"/>
    <x v="2"/>
    <s v="Short Sleeve Tops"/>
    <s v="A1B1R-GB7N"/>
    <s v="Rest Day"/>
    <s v="XL"/>
    <x v="1"/>
    <d v="2024-10-26T00:00:00"/>
    <d v="2024-10-26T00:00:00"/>
    <n v="2"/>
    <n v="136.91419999999999"/>
    <n v="375.42"/>
    <n v="0"/>
    <n v="0"/>
    <n v="2"/>
  </r>
  <r>
    <s v="Brand ABC TDM"/>
    <x v="2"/>
    <x v="2"/>
    <s v="Short Sleeve Tops"/>
    <s v="A1B1R-GB7N"/>
    <s v="Rest Day"/>
    <s v="XS"/>
    <x v="1"/>
    <d v="2024-10-26T00:00:00"/>
    <d v="2024-12-04T00:00:00"/>
    <n v="8"/>
    <n v="565.9248"/>
    <n v="1501.72"/>
    <n v="0"/>
    <n v="0"/>
    <n v="8"/>
  </r>
  <r>
    <s v="Brand ABC TDM"/>
    <x v="2"/>
    <x v="2"/>
    <s v="Short Sleeve Tops"/>
    <s v="A1B1R-GB7P"/>
    <s v="Rest Day"/>
    <s v="L"/>
    <x v="1"/>
    <d v="2024-10-26T00:00:00"/>
    <d v="2024-12-04T00:00:00"/>
    <n v="9"/>
    <n v="626.79309999999998"/>
    <n v="1731.15"/>
    <n v="0"/>
    <n v="0"/>
    <n v="9"/>
  </r>
  <r>
    <s v="Brand ABC TDM"/>
    <x v="2"/>
    <x v="2"/>
    <s v="Short Sleeve Tops"/>
    <s v="A1B1R-GB7P"/>
    <s v="Rest Day"/>
    <s v="M"/>
    <x v="1"/>
    <d v="2024-10-26T00:00:00"/>
    <d v="2024-12-04T00:00:00"/>
    <n v="10"/>
    <n v="697.29459999999995"/>
    <n v="1877.13"/>
    <n v="0"/>
    <n v="0"/>
    <n v="10"/>
  </r>
  <r>
    <s v="Brand ABC TDM"/>
    <x v="2"/>
    <x v="2"/>
    <s v="Short Sleeve Tops"/>
    <s v="A1B1R-GB7P"/>
    <s v="Rest Day"/>
    <s v="S"/>
    <x v="1"/>
    <d v="2024-10-26T00:00:00"/>
    <d v="2024-12-04T00:00:00"/>
    <n v="5"/>
    <n v="347.75360000000001"/>
    <n v="938.56"/>
    <n v="0"/>
    <n v="0"/>
    <n v="5"/>
  </r>
  <r>
    <s v="Brand ABC TDM"/>
    <x v="2"/>
    <x v="2"/>
    <s v="Short Sleeve Tops"/>
    <s v="A1B1R-GB7P"/>
    <s v="Rest Day"/>
    <s v="XL"/>
    <x v="1"/>
    <d v="2024-10-26T00:00:00"/>
    <d v="2024-10-26T00:00:00"/>
    <n v="2"/>
    <n v="136.91419999999999"/>
    <n v="375.42"/>
    <n v="0"/>
    <n v="0"/>
    <n v="2"/>
  </r>
  <r>
    <s v="Brand ABC TDM"/>
    <x v="2"/>
    <x v="2"/>
    <s v="Short Sleeve Tops"/>
    <s v="A1B1R-GB7P"/>
    <s v="Rest Day"/>
    <s v="XS"/>
    <x v="1"/>
    <d v="2024-10-26T00:00:00"/>
    <d v="2024-11-30T00:00:00"/>
    <n v="3"/>
    <n v="208.53559999999999"/>
    <n v="583.99"/>
    <n v="0"/>
    <n v="0"/>
    <n v="3"/>
  </r>
  <r>
    <s v="Brand ABC TDM"/>
    <x v="2"/>
    <x v="2"/>
    <s v="Short Sleeve Tops"/>
    <s v="A1C2T-BB2J"/>
    <s v="GFX GS X AT"/>
    <s v="L"/>
    <x v="0"/>
    <d v="2024-10-25T00:00:00"/>
    <d v="2024-12-12T00:00:00"/>
    <n v="25"/>
    <n v="1678.6149"/>
    <n v="4302.1499999999996"/>
    <n v="4"/>
    <n v="274.78519999999997"/>
    <n v="29"/>
  </r>
  <r>
    <s v="Brand ABC TDM"/>
    <x v="2"/>
    <x v="2"/>
    <s v="Short Sleeve Tops"/>
    <s v="A1C2T-BB2J"/>
    <s v="GFX GS X AT"/>
    <s v="M"/>
    <x v="0"/>
    <d v="2024-10-25T00:00:00"/>
    <d v="2024-12-12T00:00:00"/>
    <n v="36"/>
    <n v="2387.5376999999999"/>
    <n v="6121.59"/>
    <n v="11"/>
    <n v="749.64890000000003"/>
    <n v="47"/>
  </r>
  <r>
    <s v="Brand ABC TDM"/>
    <x v="2"/>
    <x v="2"/>
    <s v="Short Sleeve Tops"/>
    <s v="A1C2T-BB2J"/>
    <s v="GFX GS X AT"/>
    <s v="S"/>
    <x v="0"/>
    <d v="2024-10-25T00:00:00"/>
    <d v="2024-10-26T00:00:00"/>
    <n v="5"/>
    <n v="328.46449999999999"/>
    <n v="852.85"/>
    <n v="0"/>
    <n v="0"/>
    <n v="5"/>
  </r>
  <r>
    <s v="Brand ABC TDM"/>
    <x v="2"/>
    <x v="2"/>
    <s v="Short Sleeve Tops"/>
    <s v="A1C2T-BB2J"/>
    <s v="GFX GS X AT"/>
    <s v="XL"/>
    <x v="0"/>
    <d v="2024-10-25T00:00:00"/>
    <d v="2024-11-28T00:00:00"/>
    <n v="9"/>
    <n v="601.48410000000001"/>
    <n v="1535.14"/>
    <n v="0"/>
    <n v="0"/>
    <n v="9"/>
  </r>
  <r>
    <s v="Brand ABC TDM"/>
    <x v="2"/>
    <x v="2"/>
    <s v="Short Sleeve Tops"/>
    <s v="A1C2T-BB2J"/>
    <s v="GFX GS X AT"/>
    <s v="XS"/>
    <x v="0"/>
    <d v="2024-10-25T00:00:00"/>
    <d v="2024-11-28T00:00:00"/>
    <n v="3"/>
    <n v="198.2174"/>
    <n v="511.71"/>
    <n v="0"/>
    <n v="0"/>
    <n v="3"/>
  </r>
  <r>
    <s v="Brand ABC TDM"/>
    <x v="2"/>
    <x v="2"/>
    <s v="Short Sleeve Tops"/>
    <s v="A1C2T-WB57"/>
    <s v="GFX GS X AT"/>
    <s v="L"/>
    <x v="0"/>
    <d v="2024-10-25T00:00:00"/>
    <d v="2024-12-13T00:00:00"/>
    <n v="6"/>
    <n v="398.42910000000001"/>
    <n v="1023.34"/>
    <n v="7"/>
    <n v="476.07490000000001"/>
    <n v="13"/>
  </r>
  <r>
    <s v="Brand ABC TDM"/>
    <x v="2"/>
    <x v="2"/>
    <s v="Short Sleeve Tops"/>
    <s v="A1C2T-WB57"/>
    <s v="GFX GS X AT"/>
    <s v="M"/>
    <x v="0"/>
    <d v="2024-10-25T00:00:00"/>
    <d v="2024-12-19T00:00:00"/>
    <n v="11"/>
    <n v="732.81119999999999"/>
    <n v="1876.26"/>
    <n v="6"/>
    <n v="407.88"/>
    <n v="17"/>
  </r>
  <r>
    <s v="Brand ABC TDM"/>
    <x v="2"/>
    <x v="2"/>
    <s v="Short Sleeve Tops"/>
    <s v="A1C2T-WB57"/>
    <s v="GFX GS X AT"/>
    <s v="S"/>
    <x v="0"/>
    <d v="2024-10-25T00:00:00"/>
    <d v="2024-12-05T00:00:00"/>
    <n v="15"/>
    <n v="1006.897"/>
    <n v="2615.44"/>
    <n v="2"/>
    <n v="137.21039999999999"/>
    <n v="17"/>
  </r>
  <r>
    <s v="Brand ABC TDM"/>
    <x v="2"/>
    <x v="2"/>
    <s v="Short Sleeve Tops"/>
    <s v="A1C2T-WB57"/>
    <s v="GFX GS X AT"/>
    <s v="XL"/>
    <x v="0"/>
    <d v="2024-10-25T00:00:00"/>
    <d v="2024-12-12T00:00:00"/>
    <n v="5"/>
    <n v="331.50099999999998"/>
    <n v="871.81"/>
    <n v="3"/>
    <n v="204.29040000000001"/>
    <n v="8"/>
  </r>
  <r>
    <s v="Brand ABC TDM"/>
    <x v="2"/>
    <x v="2"/>
    <s v="Short Sleeve Tops"/>
    <s v="A1C2T-WB57"/>
    <s v="GFX GS X AT"/>
    <s v="XS"/>
    <x v="0"/>
    <d v="2024-10-25T00:00:00"/>
    <d v="2024-10-25T00:00:00"/>
    <n v="3"/>
    <n v="197.0787"/>
    <n v="530.66"/>
    <n v="0"/>
    <n v="0"/>
    <n v="3"/>
  </r>
  <r>
    <s v="Brand ABC TDM"/>
    <x v="2"/>
    <x v="2"/>
    <s v="Short Sleeve Tops"/>
    <s v="A1C2V-GCHR"/>
    <s v="GFX GS X AT"/>
    <s v="L"/>
    <x v="0"/>
    <d v="2024-10-26T00:00:00"/>
    <d v="2024-11-12T00:00:00"/>
    <n v="1"/>
    <n v="78.010199999999998"/>
    <n v="213.43"/>
    <n v="1"/>
    <n v="78.010199999999998"/>
    <n v="2"/>
  </r>
  <r>
    <s v="Brand ABC TDM"/>
    <x v="2"/>
    <x v="2"/>
    <s v="Short Sleeve Tops"/>
    <s v="A1C2V-GCHR"/>
    <s v="GFX GS X AT"/>
    <s v="M"/>
    <x v="0"/>
    <d v="2024-10-26T00:00:00"/>
    <d v="2024-11-09T00:00:00"/>
    <n v="3"/>
    <n v="234.03059999999999"/>
    <n v="640.29"/>
    <n v="0"/>
    <n v="0"/>
    <n v="3"/>
  </r>
  <r>
    <s v="Brand ABC TDM"/>
    <x v="2"/>
    <x v="2"/>
    <s v="Short Sleeve Tops"/>
    <s v="A1C2V-GCHR"/>
    <s v="GFX GS X AT"/>
    <s v="S"/>
    <x v="0"/>
    <d v="2024-10-26T00:00:00"/>
    <d v="2024-11-09T00:00:00"/>
    <n v="3"/>
    <n v="234.03059999999999"/>
    <n v="640.29"/>
    <n v="0"/>
    <n v="0"/>
    <n v="3"/>
  </r>
  <r>
    <s v="Brand ABC TDM"/>
    <x v="2"/>
    <x v="2"/>
    <s v="Short Sleeve Tops"/>
    <s v="A1C3B-BB2J"/>
    <s v="GFX GS X AT"/>
    <s v="L"/>
    <x v="0"/>
    <d v="2024-05-20T00:00:00"/>
    <d v="2024-11-29T00:00:00"/>
    <n v="37"/>
    <n v="3230.5630999999998"/>
    <n v="7944.32"/>
    <n v="0"/>
    <n v="0"/>
    <n v="37"/>
  </r>
  <r>
    <s v="Brand ABC TDM"/>
    <x v="2"/>
    <x v="2"/>
    <s v="Short Sleeve Tops"/>
    <s v="A1C3B-BB2J"/>
    <s v="GFX GS X AT"/>
    <s v="M"/>
    <x v="0"/>
    <d v="2024-05-20T00:00:00"/>
    <d v="2024-11-25T00:00:00"/>
    <n v="40"/>
    <n v="3468.6278000000002"/>
    <n v="8406.7000000000007"/>
    <n v="0"/>
    <n v="0"/>
    <n v="40"/>
  </r>
  <r>
    <s v="Brand ABC TDM"/>
    <x v="2"/>
    <x v="2"/>
    <s v="Short Sleeve Tops"/>
    <s v="A1C3B-BB2J"/>
    <s v="GFX GS X AT"/>
    <s v="S"/>
    <x v="0"/>
    <d v="2024-05-20T00:00:00"/>
    <d v="2024-11-19T00:00:00"/>
    <n v="25"/>
    <n v="2155.5475000000001"/>
    <n v="5335.74"/>
    <n v="0"/>
    <n v="0"/>
    <n v="25"/>
  </r>
  <r>
    <s v="Brand ABC TDM"/>
    <x v="2"/>
    <x v="2"/>
    <s v="Short Sleeve Tops"/>
    <s v="A1C3B-BB2J"/>
    <s v="GFX GS X AT"/>
    <s v="XL"/>
    <x v="0"/>
    <d v="2024-05-20T00:00:00"/>
    <d v="2024-11-15T00:00:00"/>
    <n v="11"/>
    <n v="948.44090000000006"/>
    <n v="2300.2800000000002"/>
    <n v="0"/>
    <n v="0"/>
    <n v="11"/>
  </r>
  <r>
    <s v="Brand ABC TDM"/>
    <x v="2"/>
    <x v="2"/>
    <s v="Short Sleeve Tops"/>
    <s v="A1C3B-BB2J"/>
    <s v="GFX GS X AT"/>
    <s v="XS"/>
    <x v="0"/>
    <d v="2024-05-20T00:00:00"/>
    <d v="2024-11-12T00:00:00"/>
    <n v="7"/>
    <n v="603.55330000000004"/>
    <n v="1446.58"/>
    <n v="0"/>
    <n v="0"/>
    <n v="7"/>
  </r>
  <r>
    <s v="Brand ABC TDM"/>
    <x v="2"/>
    <x v="2"/>
    <s v="Short Sleeve Tops"/>
    <s v="A1C3B-WB57"/>
    <s v="GFX GS X AT"/>
    <s v="L"/>
    <x v="0"/>
    <d v="2024-10-26T00:00:00"/>
    <d v="2024-12-17T00:00:00"/>
    <n v="21"/>
    <n v="1838.0512000000001"/>
    <n v="4576.88"/>
    <n v="7"/>
    <n v="625.48080000000004"/>
    <n v="28"/>
  </r>
  <r>
    <s v="Brand ABC TDM"/>
    <x v="2"/>
    <x v="2"/>
    <s v="Short Sleeve Tops"/>
    <s v="A1C3B-WB57"/>
    <s v="GFX GS X AT"/>
    <s v="M"/>
    <x v="0"/>
    <d v="2024-10-26T00:00:00"/>
    <d v="2024-12-17T00:00:00"/>
    <n v="23"/>
    <n v="2012.0655999999999"/>
    <n v="4980.0200000000004"/>
    <n v="13"/>
    <n v="1163.6599000000001"/>
    <n v="36"/>
  </r>
  <r>
    <s v="Brand ABC TDM"/>
    <x v="2"/>
    <x v="2"/>
    <s v="Short Sleeve Tops"/>
    <s v="A1C3B-WB57"/>
    <s v="GFX GS X AT"/>
    <s v="S"/>
    <x v="0"/>
    <d v="2024-10-26T00:00:00"/>
    <d v="2024-11-29T00:00:00"/>
    <n v="20"/>
    <n v="1750.5877"/>
    <n v="4292.3"/>
    <n v="2"/>
    <n v="177.6788"/>
    <n v="22"/>
  </r>
  <r>
    <s v="Brand ABC TDM"/>
    <x v="2"/>
    <x v="2"/>
    <s v="Short Sleeve Tops"/>
    <s v="A1C3B-WB57"/>
    <s v="GFX GS X AT"/>
    <s v="XL"/>
    <x v="0"/>
    <d v="2024-10-26T00:00:00"/>
    <d v="2024-11-12T00:00:00"/>
    <n v="6"/>
    <n v="517.33140000000003"/>
    <n v="1280.58"/>
    <n v="0"/>
    <n v="0"/>
    <n v="6"/>
  </r>
  <r>
    <s v="Brand ABC TDM"/>
    <x v="2"/>
    <x v="2"/>
    <s v="Short Sleeve Tops"/>
    <s v="A1C3B-WB57"/>
    <s v="GFX GS X AT"/>
    <s v="XS"/>
    <x v="0"/>
    <d v="2024-10-26T00:00:00"/>
    <d v="2024-10-26T00:00:00"/>
    <n v="3"/>
    <n v="258.66570000000002"/>
    <n v="628.38"/>
    <n v="0"/>
    <n v="0"/>
    <n v="3"/>
  </r>
  <r>
    <s v="Brand ABC TDM"/>
    <x v="2"/>
    <x v="2"/>
    <s v="Short Sleeve Tops"/>
    <s v="A1C3D-ECH9"/>
    <s v="GFX GS X AT"/>
    <s v="L"/>
    <x v="0"/>
    <d v="2024-10-25T00:00:00"/>
    <d v="2024-12-12T00:00:00"/>
    <n v="16"/>
    <n v="1255.1585"/>
    <n v="3414.86"/>
    <n v="10"/>
    <n v="801.50699999999995"/>
    <n v="26"/>
  </r>
  <r>
    <s v="Brand ABC TDM"/>
    <x v="2"/>
    <x v="2"/>
    <s v="Short Sleeve Tops"/>
    <s v="A1C3D-ECH9"/>
    <s v="GFX GS X AT"/>
    <s v="M"/>
    <x v="0"/>
    <d v="2024-10-25T00:00:00"/>
    <d v="2024-12-10T00:00:00"/>
    <n v="21"/>
    <n v="1658.4412"/>
    <n v="4576.8599999999997"/>
    <n v="12"/>
    <n v="968.63040000000001"/>
    <n v="33"/>
  </r>
  <r>
    <s v="Brand ABC TDM"/>
    <x v="2"/>
    <x v="2"/>
    <s v="Short Sleeve Tops"/>
    <s v="A1C3D-ECH9"/>
    <s v="GFX GS X AT"/>
    <s v="S"/>
    <x v="0"/>
    <d v="2024-10-26T00:00:00"/>
    <d v="2024-11-12T00:00:00"/>
    <n v="8"/>
    <n v="624.08240000000001"/>
    <n v="1707.43"/>
    <n v="0"/>
    <n v="0"/>
    <n v="8"/>
  </r>
  <r>
    <s v="Brand ABC TDM"/>
    <x v="2"/>
    <x v="2"/>
    <s v="Short Sleeve Tops"/>
    <s v="A1C3D-ECH9"/>
    <s v="GFX GS X AT"/>
    <s v="XL"/>
    <x v="0"/>
    <d v="2024-10-25T00:00:00"/>
    <d v="2024-11-12T00:00:00"/>
    <n v="7"/>
    <n v="546.07209999999998"/>
    <n v="1517.71"/>
    <n v="0"/>
    <n v="0"/>
    <n v="7"/>
  </r>
  <r>
    <s v="Brand ABC TDM"/>
    <x v="2"/>
    <x v="2"/>
    <s v="Short Sleeve Tops"/>
    <s v="A1C3D-ECH9"/>
    <s v="GFX GS X AT"/>
    <s v="XS"/>
    <x v="0"/>
    <d v="2024-10-25T00:00:00"/>
    <d v="2024-10-25T00:00:00"/>
    <n v="4"/>
    <n v="312.0412"/>
    <n v="853.72"/>
    <n v="0"/>
    <n v="0"/>
    <n v="4"/>
  </r>
  <r>
    <s v="Brand ABC TDM"/>
    <x v="2"/>
    <x v="2"/>
    <s v="Short Sleeve Tops"/>
    <s v="A1C3D-GB7N"/>
    <s v="GFX GS X AT"/>
    <s v="L"/>
    <x v="0"/>
    <d v="2024-10-25T00:00:00"/>
    <d v="2024-11-26T00:00:00"/>
    <n v="23"/>
    <n v="1823.7284999999999"/>
    <n v="4908.8900000000003"/>
    <n v="1"/>
    <n v="80.971599999999995"/>
    <n v="24"/>
  </r>
  <r>
    <s v="Brand ABC TDM"/>
    <x v="2"/>
    <x v="2"/>
    <s v="Short Sleeve Tops"/>
    <s v="A1C3D-GB7N"/>
    <s v="GFX GS X AT"/>
    <s v="M"/>
    <x v="0"/>
    <d v="2024-10-26T00:00:00"/>
    <d v="2024-12-09T00:00:00"/>
    <n v="28"/>
    <n v="2219.0936000000002"/>
    <n v="6023.42"/>
    <n v="9"/>
    <n v="728.13509999999997"/>
    <n v="37"/>
  </r>
  <r>
    <s v="Brand ABC TDM"/>
    <x v="2"/>
    <x v="2"/>
    <s v="Short Sleeve Tops"/>
    <s v="A1C3D-GB7N"/>
    <s v="GFX GS X AT"/>
    <s v="S"/>
    <x v="0"/>
    <d v="2024-10-26T00:00:00"/>
    <d v="2024-11-18T00:00:00"/>
    <n v="17"/>
    <n v="1326.1750999999999"/>
    <n v="3663.8"/>
    <n v="0"/>
    <n v="0"/>
    <n v="17"/>
  </r>
  <r>
    <s v="Brand ABC TDM"/>
    <x v="2"/>
    <x v="2"/>
    <s v="Short Sleeve Tops"/>
    <s v="A1C3D-GB7N"/>
    <s v="GFX GS X AT"/>
    <s v="XL"/>
    <x v="0"/>
    <d v="2024-10-25T00:00:00"/>
    <d v="2024-10-25T00:00:00"/>
    <n v="4"/>
    <n v="312.0412"/>
    <n v="853.72"/>
    <n v="0"/>
    <n v="0"/>
    <n v="4"/>
  </r>
  <r>
    <s v="Brand ABC TDM"/>
    <x v="2"/>
    <x v="2"/>
    <s v="Short Sleeve Tops"/>
    <s v="A1C3D-GB7N"/>
    <s v="GFX GS X AT"/>
    <s v="XS"/>
    <x v="0"/>
    <d v="2024-10-26T00:00:00"/>
    <d v="2024-10-26T00:00:00"/>
    <n v="4"/>
    <n v="312.0412"/>
    <n v="853.72"/>
    <n v="0"/>
    <n v="0"/>
    <n v="4"/>
  </r>
  <r>
    <s v="Brand ABC TDM"/>
    <x v="2"/>
    <x v="2"/>
    <s v="Short Sleeve Tops"/>
    <s v="A1C3E-BB2J"/>
    <s v="GFX GS X AT"/>
    <s v="L"/>
    <x v="0"/>
    <d v="2024-10-11T00:00:00"/>
    <d v="2024-11-14T00:00:00"/>
    <n v="4"/>
    <n v="262.77159999999998"/>
    <n v="682.29"/>
    <n v="1"/>
    <n v="65.692899999999995"/>
    <n v="5"/>
  </r>
  <r>
    <s v="Brand ABC TDM"/>
    <x v="2"/>
    <x v="2"/>
    <s v="Short Sleeve Tops"/>
    <s v="A1C3E-BB2J"/>
    <s v="GFX GS X AT"/>
    <s v="M"/>
    <x v="0"/>
    <d v="2024-10-11T00:00:00"/>
    <d v="2024-11-20T00:00:00"/>
    <n v="15"/>
    <n v="989.49270000000001"/>
    <n v="2577.52"/>
    <n v="0"/>
    <n v="0"/>
    <n v="15"/>
  </r>
  <r>
    <s v="Brand ABC TDM"/>
    <x v="2"/>
    <x v="2"/>
    <s v="Short Sleeve Tops"/>
    <s v="A1C3E-BB2J"/>
    <s v="GFX GS X AT"/>
    <s v="S"/>
    <x v="0"/>
    <d v="2024-10-11T00:00:00"/>
    <d v="2024-11-28T00:00:00"/>
    <n v="10"/>
    <n v="674.00909999999999"/>
    <n v="1743.62"/>
    <n v="0"/>
    <n v="0"/>
    <n v="10"/>
  </r>
  <r>
    <s v="Brand ABC TDM"/>
    <x v="2"/>
    <x v="2"/>
    <s v="Short Sleeve Tops"/>
    <s v="A1C3E-BB2J"/>
    <s v="GFX GS X AT"/>
    <s v="XS"/>
    <x v="0"/>
    <d v="2024-10-26T00:00:00"/>
    <d v="2024-11-20T00:00:00"/>
    <n v="5"/>
    <n v="331.88049999999998"/>
    <n v="833.91"/>
    <n v="0"/>
    <n v="0"/>
    <n v="5"/>
  </r>
  <r>
    <s v="Brand ABC TDM"/>
    <x v="2"/>
    <x v="2"/>
    <s v="Short Sleeve Tops"/>
    <s v="A1C3E-WB57"/>
    <s v="GFX GS X AT"/>
    <s v="L"/>
    <x v="0"/>
    <d v="2024-05-20T00:00:00"/>
    <d v="2024-11-30T00:00:00"/>
    <n v="18"/>
    <n v="1189.6429000000001"/>
    <n v="3089.23"/>
    <n v="7"/>
    <n v="476.5915"/>
    <n v="25"/>
  </r>
  <r>
    <s v="Brand ABC TDM"/>
    <x v="2"/>
    <x v="2"/>
    <s v="Short Sleeve Tops"/>
    <s v="A1C3E-WB57"/>
    <s v="GFX GS X AT"/>
    <s v="M"/>
    <x v="0"/>
    <d v="2024-05-20T00:00:00"/>
    <d v="2024-11-26T00:00:00"/>
    <n v="17"/>
    <n v="1118.5929000000001"/>
    <n v="2861.81"/>
    <n v="9"/>
    <n v="603.08730000000003"/>
    <n v="26"/>
  </r>
  <r>
    <s v="Brand ABC TDM"/>
    <x v="2"/>
    <x v="2"/>
    <s v="Short Sleeve Tops"/>
    <s v="A1C3E-WB57"/>
    <s v="GFX GS X AT"/>
    <s v="S"/>
    <x v="0"/>
    <d v="2024-05-20T00:00:00"/>
    <d v="2024-11-19T00:00:00"/>
    <n v="15"/>
    <n v="985.39350000000002"/>
    <n v="2539.59"/>
    <n v="0"/>
    <n v="0"/>
    <n v="15"/>
  </r>
  <r>
    <s v="Brand ABC TDM"/>
    <x v="2"/>
    <x v="2"/>
    <s v="Short Sleeve Tops"/>
    <s v="A1C3E-WB57"/>
    <s v="GFX GS X AT"/>
    <s v="XL"/>
    <x v="0"/>
    <d v="2024-05-20T00:00:00"/>
    <d v="2024-10-26T00:00:00"/>
    <n v="1"/>
    <n v="65.692899999999995"/>
    <n v="170.57"/>
    <n v="0"/>
    <n v="0"/>
    <n v="1"/>
  </r>
  <r>
    <s v="Brand ABC TDM"/>
    <x v="2"/>
    <x v="2"/>
    <s v="Short Sleeve Tops"/>
    <s v="A1C3E-WB57"/>
    <s v="GFX GS X AT"/>
    <s v="XS"/>
    <x v="0"/>
    <d v="2024-05-20T00:00:00"/>
    <d v="2024-11-09T00:00:00"/>
    <n v="3"/>
    <n v="197.0787"/>
    <n v="530.66"/>
    <n v="0"/>
    <n v="0"/>
    <n v="3"/>
  </r>
  <r>
    <s v="Brand ABC TDM"/>
    <x v="2"/>
    <x v="2"/>
    <s v="Short Sleeve Tops"/>
    <s v="A1C3F-GB7N"/>
    <s v="GFX GS X AT"/>
    <s v="L"/>
    <x v="0"/>
    <d v="2024-10-26T00:00:00"/>
    <d v="2024-11-12T00:00:00"/>
    <n v="10"/>
    <n v="862.21900000000005"/>
    <n v="2158.0100000000002"/>
    <n v="0"/>
    <n v="0"/>
    <n v="10"/>
  </r>
  <r>
    <s v="Brand ABC TDM"/>
    <x v="2"/>
    <x v="2"/>
    <s v="Short Sleeve Tops"/>
    <s v="A1C3F-GB7N"/>
    <s v="GFX GS X AT"/>
    <s v="M"/>
    <x v="0"/>
    <d v="2024-10-26T00:00:00"/>
    <d v="2024-12-04T00:00:00"/>
    <n v="16"/>
    <n v="1392.1865"/>
    <n v="3414.88"/>
    <n v="4"/>
    <n v="354.24"/>
    <n v="20"/>
  </r>
  <r>
    <s v="Brand ABC TDM"/>
    <x v="2"/>
    <x v="2"/>
    <s v="Short Sleeve Tops"/>
    <s v="A1C3F-GB7N"/>
    <s v="GFX GS X AT"/>
    <s v="S"/>
    <x v="0"/>
    <d v="2024-10-26T00:00:00"/>
    <d v="2024-11-09T00:00:00"/>
    <n v="6"/>
    <n v="517.33140000000003"/>
    <n v="1280.57"/>
    <n v="0"/>
    <n v="0"/>
    <n v="6"/>
  </r>
  <r>
    <s v="Brand ABC TDM"/>
    <x v="2"/>
    <x v="2"/>
    <s v="Short Sleeve Tops"/>
    <s v="A1C3F-GB7N"/>
    <s v="GFX GS X AT"/>
    <s v="XL"/>
    <x v="0"/>
    <d v="2024-10-25T00:00:00"/>
    <d v="2024-10-25T00:00:00"/>
    <n v="1"/>
    <n v="86.221900000000005"/>
    <n v="237.14"/>
    <n v="1"/>
    <n v="86.221900000000005"/>
    <n v="2"/>
  </r>
  <r>
    <s v="Brand ABC TDM"/>
    <x v="2"/>
    <x v="2"/>
    <s v="Short Sleeve Tops"/>
    <s v="A2A1I-GCWP"/>
    <s v="Arrival"/>
    <s v="L"/>
    <x v="1"/>
    <d v="2024-10-28T00:00:00"/>
    <d v="2024-12-21T00:00:00"/>
    <n v="5"/>
    <n v="156.07300000000001"/>
    <n v="477.53"/>
    <n v="6"/>
    <n v="190.6626"/>
    <n v="11"/>
  </r>
  <r>
    <s v="Brand ABC TDM"/>
    <x v="2"/>
    <x v="2"/>
    <s v="Short Sleeve Tops"/>
    <s v="A2A1I-GCWP"/>
    <s v="Arrival"/>
    <s v="M"/>
    <x v="1"/>
    <d v="2024-10-28T00:00:00"/>
    <d v="2024-12-21T00:00:00"/>
    <n v="5"/>
    <n v="155.80719999999999"/>
    <n v="477.52"/>
    <n v="5"/>
    <n v="156.9325"/>
    <n v="10"/>
  </r>
  <r>
    <s v="Brand ABC TDM"/>
    <x v="2"/>
    <x v="2"/>
    <s v="Short Sleeve Tops"/>
    <s v="A2A1I-GCWP"/>
    <s v="Arrival"/>
    <s v="S"/>
    <x v="1"/>
    <d v="2024-10-28T00:00:00"/>
    <d v="2024-12-17T00:00:00"/>
    <n v="5"/>
    <n v="156.4272"/>
    <n v="467.15"/>
    <n v="5"/>
    <n v="159.5145"/>
    <n v="10"/>
  </r>
  <r>
    <s v="Brand ABC TDM"/>
    <x v="2"/>
    <x v="2"/>
    <s v="Short Sleeve Tops"/>
    <s v="A2A1I-GCWP"/>
    <s v="Arrival"/>
    <s v="XL"/>
    <x v="1"/>
    <d v="2024-10-28T00:00:00"/>
    <d v="2024-11-30T00:00:00"/>
    <n v="6"/>
    <n v="189.56479999999999"/>
    <n v="560.58000000000004"/>
    <n v="0"/>
    <n v="0"/>
    <n v="6"/>
  </r>
  <r>
    <s v="Brand ABC TDM"/>
    <x v="2"/>
    <x v="2"/>
    <s v="Short Sleeve Tops"/>
    <s v="A2A1I-GCWP"/>
    <s v="Arrival"/>
    <s v="XS"/>
    <x v="1"/>
    <d v="2024-10-28T00:00:00"/>
    <d v="2024-12-19T00:00:00"/>
    <n v="3"/>
    <n v="93.329400000000007"/>
    <n v="290.67"/>
    <n v="4"/>
    <n v="128.63"/>
    <n v="7"/>
  </r>
  <r>
    <s v="Brand ABC TDM"/>
    <x v="2"/>
    <x v="2"/>
    <s v="Short Sleeve Tops"/>
    <s v="A2A1I-GCWV"/>
    <s v="Arrival"/>
    <s v="L"/>
    <x v="1"/>
    <d v="2024-10-28T00:00:00"/>
    <d v="2024-12-20T00:00:00"/>
    <n v="2"/>
    <n v="61.853900000000003"/>
    <n v="186.86"/>
    <n v="6"/>
    <n v="187.6968"/>
    <n v="8"/>
  </r>
  <r>
    <s v="Brand ABC TDM"/>
    <x v="2"/>
    <x v="2"/>
    <s v="Short Sleeve Tops"/>
    <s v="A2A1I-GCWV"/>
    <s v="Arrival"/>
    <s v="M"/>
    <x v="1"/>
    <d v="2024-10-28T00:00:00"/>
    <d v="2024-12-20T00:00:00"/>
    <n v="9"/>
    <n v="282.9907"/>
    <n v="861.62"/>
    <n v="5"/>
    <n v="159.32849999999999"/>
    <n v="14"/>
  </r>
  <r>
    <s v="Brand ABC TDM"/>
    <x v="2"/>
    <x v="2"/>
    <s v="Short Sleeve Tops"/>
    <s v="A2A1I-GCWV"/>
    <s v="Arrival"/>
    <s v="S"/>
    <x v="1"/>
    <d v="2024-10-28T00:00:00"/>
    <d v="2024-12-19T00:00:00"/>
    <n v="2"/>
    <n v="61.907299999999999"/>
    <n v="186.86"/>
    <n v="5"/>
    <n v="156.85"/>
    <n v="7"/>
  </r>
  <r>
    <s v="Brand ABC TDM"/>
    <x v="2"/>
    <x v="2"/>
    <s v="Short Sleeve Tops"/>
    <s v="A2A1I-GCWV"/>
    <s v="Arrival"/>
    <s v="XL"/>
    <x v="1"/>
    <d v="2024-10-28T00:00:00"/>
    <d v="2024-12-19T00:00:00"/>
    <n v="2"/>
    <n v="62.120800000000003"/>
    <n v="186.86"/>
    <n v="3"/>
    <n v="95.049300000000002"/>
    <n v="5"/>
  </r>
  <r>
    <s v="Brand ABC TDM"/>
    <x v="2"/>
    <x v="2"/>
    <s v="Short Sleeve Tops"/>
    <s v="A2A1I-GCWV"/>
    <s v="Arrival"/>
    <s v="XS"/>
    <x v="1"/>
    <d v="2024-10-28T00:00:00"/>
    <d v="2024-12-17T00:00:00"/>
    <n v="1"/>
    <n v="30.793500000000002"/>
    <n v="103.81"/>
    <n v="3"/>
    <n v="93.981899999999996"/>
    <n v="4"/>
  </r>
  <r>
    <s v="Brand ABC TDM"/>
    <x v="2"/>
    <x v="2"/>
    <s v="Short Sleeve Tops"/>
    <s v="A2A1J-BBBB"/>
    <s v="Arrival"/>
    <s v="L"/>
    <x v="0"/>
    <d v="2024-11-12T00:00:00"/>
    <d v="2024-11-30T00:00:00"/>
    <n v="20"/>
    <n v="708.54589999999996"/>
    <n v="1858.2"/>
    <n v="0"/>
    <n v="0"/>
    <n v="20"/>
  </r>
  <r>
    <s v="Brand ABC TDM"/>
    <x v="2"/>
    <x v="2"/>
    <s v="Short Sleeve Tops"/>
    <s v="A2A1J-BBBB"/>
    <s v="Arrival"/>
    <s v="M"/>
    <x v="0"/>
    <d v="2024-11-12T00:00:00"/>
    <d v="2024-12-03T00:00:00"/>
    <n v="21"/>
    <n v="744.71169999999995"/>
    <n v="1972.41"/>
    <n v="2"/>
    <n v="72.008399999999995"/>
    <n v="23"/>
  </r>
  <r>
    <s v="Brand ABC TDM"/>
    <x v="2"/>
    <x v="2"/>
    <s v="Short Sleeve Tops"/>
    <s v="A2A1J-BBBB"/>
    <s v="Arrival"/>
    <s v="S"/>
    <x v="0"/>
    <d v="2024-11-12T00:00:00"/>
    <d v="2024-11-30T00:00:00"/>
    <n v="14"/>
    <n v="496.00110000000001"/>
    <n v="1318.4"/>
    <n v="2"/>
    <n v="71.905000000000001"/>
    <n v="16"/>
  </r>
  <r>
    <s v="Brand ABC TDM"/>
    <x v="2"/>
    <x v="2"/>
    <s v="Short Sleeve Tops"/>
    <s v="A2A1J-BBBB"/>
    <s v="Arrival"/>
    <s v="XS"/>
    <x v="0"/>
    <d v="2024-11-12T00:00:00"/>
    <d v="2024-11-12T00:00:00"/>
    <n v="2"/>
    <n v="68.537999999999997"/>
    <n v="186.86"/>
    <n v="1"/>
    <n v="34.268999999999998"/>
    <n v="3"/>
  </r>
  <r>
    <s v="Brand ABC TDM"/>
    <x v="2"/>
    <x v="2"/>
    <s v="Short Sleeve Tops"/>
    <s v="A2A1J-UBCY"/>
    <s v="Arrival"/>
    <s v="L"/>
    <x v="0"/>
    <d v="2024-11-12T00:00:00"/>
    <d v="2024-11-12T00:00:00"/>
    <n v="5"/>
    <n v="171.345"/>
    <n v="467.14"/>
    <n v="0"/>
    <n v="0"/>
    <n v="5"/>
  </r>
  <r>
    <s v="Brand ABC TDM"/>
    <x v="2"/>
    <x v="2"/>
    <s v="Short Sleeve Tops"/>
    <s v="A2A1J-UBCY"/>
    <s v="Arrival"/>
    <s v="M"/>
    <x v="0"/>
    <d v="2024-11-12T00:00:00"/>
    <d v="2024-11-12T00:00:00"/>
    <n v="4"/>
    <n v="137.07599999999999"/>
    <n v="384.1"/>
    <n v="0"/>
    <n v="0"/>
    <n v="4"/>
  </r>
  <r>
    <s v="Brand ABC TDM"/>
    <x v="2"/>
    <x v="2"/>
    <s v="Short Sleeve Tops"/>
    <s v="A2A1J-UBCY"/>
    <s v="Arrival"/>
    <s v="S"/>
    <x v="0"/>
    <d v="2024-11-12T00:00:00"/>
    <d v="2024-11-26T00:00:00"/>
    <n v="3"/>
    <n v="103.5198"/>
    <n v="280.29000000000002"/>
    <n v="5"/>
    <n v="175.97800000000001"/>
    <n v="8"/>
  </r>
  <r>
    <s v="Brand ABC TDM"/>
    <x v="2"/>
    <x v="2"/>
    <s v="Short Sleeve Tops"/>
    <s v="A2A1J-UBCY"/>
    <s v="Arrival"/>
    <s v="XS"/>
    <x v="0"/>
    <d v="2024-11-12T00:00:00"/>
    <d v="2024-11-12T00:00:00"/>
    <n v="2"/>
    <n v="68.537999999999997"/>
    <n v="186.86"/>
    <n v="0"/>
    <n v="0"/>
    <n v="2"/>
  </r>
  <r>
    <s v="Brand ABC TDM"/>
    <x v="2"/>
    <x v="2"/>
    <s v="Short Sleeve Tops"/>
    <s v="A2A1K-WBBM"/>
    <s v="Arrival"/>
    <s v="L"/>
    <x v="0"/>
    <d v="2024-10-28T00:00:00"/>
    <d v="2024-12-21T00:00:00"/>
    <n v="17"/>
    <n v="586.6"/>
    <n v="1619.45"/>
    <n v="5"/>
    <n v="165.083"/>
    <n v="22"/>
  </r>
  <r>
    <s v="Brand ABC TDM"/>
    <x v="2"/>
    <x v="2"/>
    <s v="Short Sleeve Tops"/>
    <s v="A2A1K-WBBM"/>
    <s v="Arrival"/>
    <s v="M"/>
    <x v="0"/>
    <d v="2024-10-28T00:00:00"/>
    <d v="2024-12-21T00:00:00"/>
    <n v="25"/>
    <n v="855.197"/>
    <n v="2366.89"/>
    <n v="4"/>
    <n v="130.55959999999999"/>
    <n v="29"/>
  </r>
  <r>
    <s v="Brand ABC TDM"/>
    <x v="2"/>
    <x v="2"/>
    <s v="Short Sleeve Tops"/>
    <s v="A2A1K-WBBM"/>
    <s v="Arrival"/>
    <s v="S"/>
    <x v="0"/>
    <d v="2024-10-28T00:00:00"/>
    <d v="2024-12-21T00:00:00"/>
    <n v="16"/>
    <n v="528.03099999999995"/>
    <n v="1515.63"/>
    <n v="4"/>
    <n v="129.70400000000001"/>
    <n v="20"/>
  </r>
  <r>
    <s v="Brand ABC TDM"/>
    <x v="2"/>
    <x v="2"/>
    <s v="Short Sleeve Tops"/>
    <s v="A2A1K-WBBM"/>
    <s v="Arrival"/>
    <s v="XL"/>
    <x v="0"/>
    <d v="2024-10-28T00:00:00"/>
    <d v="2024-12-21T00:00:00"/>
    <n v="7"/>
    <n v="241.30289999999999"/>
    <n v="674.76"/>
    <n v="2"/>
    <n v="67.154799999999994"/>
    <n v="9"/>
  </r>
  <r>
    <s v="Brand ABC TDM"/>
    <x v="2"/>
    <x v="2"/>
    <s v="Short Sleeve Tops"/>
    <s v="A2A9H-UCBK"/>
    <s v="Power"/>
    <s v="L"/>
    <x v="0"/>
    <d v="2024-10-25T00:00:00"/>
    <d v="2024-10-25T00:00:00"/>
    <n v="4"/>
    <n v="239.7208"/>
    <n v="612"/>
    <n v="1"/>
    <n v="59.930199999999999"/>
    <n v="5"/>
  </r>
  <r>
    <s v="Brand ABC TDM"/>
    <x v="2"/>
    <x v="2"/>
    <s v="Short Sleeve Tops"/>
    <s v="A2A9H-UCBK"/>
    <s v="Power"/>
    <s v="M"/>
    <x v="0"/>
    <d v="2024-10-25T00:00:00"/>
    <d v="2024-11-12T00:00:00"/>
    <n v="4"/>
    <n v="239.7208"/>
    <n v="630"/>
    <n v="0"/>
    <n v="0"/>
    <n v="4"/>
  </r>
  <r>
    <s v="Brand ABC TDM"/>
    <x v="2"/>
    <x v="2"/>
    <s v="Short Sleeve Tops"/>
    <s v="A2A9H-UCBK"/>
    <s v="Power"/>
    <s v="S"/>
    <x v="0"/>
    <d v="2024-10-26T00:00:00"/>
    <d v="2024-10-26T00:00:00"/>
    <n v="2"/>
    <n v="119.8604"/>
    <n v="324"/>
    <n v="0"/>
    <n v="0"/>
    <n v="2"/>
  </r>
  <r>
    <s v="Brand ABC TDM"/>
    <x v="2"/>
    <x v="2"/>
    <s v="Short Sleeve Tops"/>
    <s v="A2A9H-UCBK"/>
    <s v="Power"/>
    <s v="XL"/>
    <x v="0"/>
    <d v="2024-10-26T00:00:00"/>
    <d v="2024-10-26T00:00:00"/>
    <n v="2"/>
    <n v="119.8604"/>
    <n v="324"/>
    <n v="0"/>
    <n v="0"/>
    <n v="2"/>
  </r>
  <r>
    <s v="Brand ABC TDM"/>
    <x v="2"/>
    <x v="2"/>
    <s v="Short Sleeve Tops"/>
    <s v="A2A9H-UCBK"/>
    <s v="Power"/>
    <s v="XS"/>
    <x v="0"/>
    <d v="2024-10-26T00:00:00"/>
    <d v="2024-10-26T00:00:00"/>
    <n v="1"/>
    <n v="59.930199999999999"/>
    <n v="162"/>
    <n v="0"/>
    <n v="0"/>
    <n v="1"/>
  </r>
  <r>
    <s v="Brand ABC TDM"/>
    <x v="2"/>
    <x v="2"/>
    <s v="Short Sleeve Tops"/>
    <s v="A2C7T-BB2J"/>
    <s v="GFX GS X AT"/>
    <s v="L"/>
    <x v="2"/>
    <d v="2024-11-12T00:00:00"/>
    <d v="2024-12-18T00:00:00"/>
    <n v="0"/>
    <n v="0"/>
    <n v="0"/>
    <n v="6"/>
    <n v="408.06420000000003"/>
    <n v="6"/>
  </r>
  <r>
    <s v="Brand ABC TDM"/>
    <x v="2"/>
    <x v="2"/>
    <s v="Short Sleeve Tops"/>
    <s v="A2C7T-BB2J"/>
    <s v="GFX GS X AT"/>
    <s v="M"/>
    <x v="2"/>
    <d v="2024-11-12T00:00:00"/>
    <d v="2024-12-17T00:00:00"/>
    <n v="1"/>
    <n v="68.660899999999998"/>
    <n v="170.58"/>
    <n v="6"/>
    <n v="411.96539999999999"/>
    <n v="7"/>
  </r>
  <r>
    <s v="Brand ABC TDM"/>
    <x v="2"/>
    <x v="2"/>
    <s v="Short Sleeve Tops"/>
    <s v="A2C7T-BB2J"/>
    <s v="GFX GS X AT"/>
    <s v="S"/>
    <x v="2"/>
    <d v="2024-11-12T00:00:00"/>
    <d v="2024-11-21T00:00:00"/>
    <n v="0"/>
    <n v="0"/>
    <n v="0"/>
    <n v="1"/>
    <n v="66.376099999999994"/>
    <n v="1"/>
  </r>
  <r>
    <s v="Brand ABC TDM"/>
    <x v="2"/>
    <x v="2"/>
    <s v="Short Sleeve Tops"/>
    <s v="A2C7T-BB2J"/>
    <s v="GFX GS X AT"/>
    <s v="XL"/>
    <x v="2"/>
    <d v="2024-11-12T00:00:00"/>
    <d v="2024-11-26T00:00:00"/>
    <n v="1"/>
    <n v="68.349800000000002"/>
    <n v="170.57"/>
    <n v="0"/>
    <n v="0"/>
    <n v="1"/>
  </r>
  <r>
    <s v="Brand ABC TDM"/>
    <x v="2"/>
    <x v="2"/>
    <s v="Short Sleeve Tops"/>
    <s v="A2C7T-WB57"/>
    <s v="GFX GS X AT"/>
    <s v="L"/>
    <x v="2"/>
    <d v="2024-11-12T00:00:00"/>
    <d v="2024-12-11T00:00:00"/>
    <n v="1"/>
    <n v="68.120500000000007"/>
    <n v="170.58"/>
    <n v="6"/>
    <n v="409.71120000000002"/>
    <n v="7"/>
  </r>
  <r>
    <s v="Brand ABC TDM"/>
    <x v="2"/>
    <x v="2"/>
    <s v="Short Sleeve Tops"/>
    <s v="A2C7T-WB57"/>
    <s v="GFX GS X AT"/>
    <s v="M"/>
    <x v="2"/>
    <d v="2024-11-12T00:00:00"/>
    <d v="2024-12-10T00:00:00"/>
    <n v="0"/>
    <n v="0"/>
    <n v="0"/>
    <n v="7"/>
    <n v="473.0068"/>
    <n v="7"/>
  </r>
  <r>
    <s v="Brand ABC TDM"/>
    <x v="2"/>
    <x v="2"/>
    <s v="Short Sleeve Tops"/>
    <s v="A2C7T-WB57"/>
    <s v="GFX GS X AT"/>
    <s v="XL"/>
    <x v="2"/>
    <d v="2024-11-12T00:00:00"/>
    <d v="2024-11-20T00:00:00"/>
    <n v="0"/>
    <n v="0"/>
    <n v="0"/>
    <n v="1"/>
    <n v="66.831599999999995"/>
    <n v="1"/>
  </r>
  <r>
    <s v="Brand ABC TDM"/>
    <x v="2"/>
    <x v="2"/>
    <s v="Short Sleeve Tops"/>
    <s v="A2C7U-BB2J"/>
    <s v="GFX GS X AT"/>
    <s v="L"/>
    <x v="2"/>
    <d v="2024-11-12T00:00:00"/>
    <d v="2024-12-21T00:00:00"/>
    <n v="0"/>
    <n v="0"/>
    <n v="0"/>
    <n v="6"/>
    <n v="525.55139999999994"/>
    <n v="6"/>
  </r>
  <r>
    <s v="Brand ABC TDM"/>
    <x v="2"/>
    <x v="2"/>
    <s v="Short Sleeve Tops"/>
    <s v="A2C7U-BB2J"/>
    <s v="GFX GS X AT"/>
    <s v="M"/>
    <x v="2"/>
    <d v="2024-11-12T00:00:00"/>
    <d v="2024-12-19T00:00:00"/>
    <n v="0"/>
    <n v="0"/>
    <n v="0"/>
    <n v="7"/>
    <n v="603.55330000000004"/>
    <n v="7"/>
  </r>
  <r>
    <s v="Brand ABC TDM"/>
    <x v="2"/>
    <x v="2"/>
    <s v="Short Sleeve Tops"/>
    <s v="A2C7U-BB2J"/>
    <s v="GFX GS X AT"/>
    <s v="S"/>
    <x v="2"/>
    <d v="2024-11-12T00:00:00"/>
    <d v="2024-12-03T00:00:00"/>
    <n v="0"/>
    <n v="0"/>
    <n v="0"/>
    <n v="3"/>
    <n v="265.66019999999997"/>
    <n v="3"/>
  </r>
  <r>
    <s v="Brand ABC TDM"/>
    <x v="2"/>
    <x v="2"/>
    <s v="Short Sleeve Tops"/>
    <s v="A2C7U-WB57"/>
    <s v="GFX GS X AT"/>
    <s v="L"/>
    <x v="2"/>
    <d v="2024-11-12T00:00:00"/>
    <d v="2024-12-10T00:00:00"/>
    <n v="0"/>
    <n v="0"/>
    <n v="0"/>
    <n v="6"/>
    <n v="521.8152"/>
    <n v="6"/>
  </r>
  <r>
    <s v="Brand ABC TDM"/>
    <x v="2"/>
    <x v="2"/>
    <s v="Short Sleeve Tops"/>
    <s v="A2C7U-WB57"/>
    <s v="GFX GS X AT"/>
    <s v="M"/>
    <x v="2"/>
    <d v="2024-11-12T00:00:00"/>
    <d v="2024-12-20T00:00:00"/>
    <n v="0"/>
    <n v="0"/>
    <n v="0"/>
    <n v="7"/>
    <n v="608.03679999999997"/>
    <n v="7"/>
  </r>
  <r>
    <s v="Brand ABC TDM"/>
    <x v="2"/>
    <x v="2"/>
    <s v="Short Sleeve Tops"/>
    <s v="A2C7U-WB57"/>
    <s v="GFX GS X AT"/>
    <s v="S"/>
    <x v="2"/>
    <d v="2024-11-12T00:00:00"/>
    <d v="2024-12-09T00:00:00"/>
    <n v="0"/>
    <n v="0"/>
    <n v="0"/>
    <n v="5"/>
    <n v="444.34500000000003"/>
    <n v="5"/>
  </r>
  <r>
    <s v="Brand ABC TDM"/>
    <x v="2"/>
    <x v="2"/>
    <s v="Short Sleeve Tops"/>
    <s v="A2C7U-WB57"/>
    <s v="GFX GS X AT"/>
    <s v="XL"/>
    <x v="2"/>
    <d v="2024-11-12T00:00:00"/>
    <d v="2024-12-10T00:00:00"/>
    <n v="0"/>
    <n v="0"/>
    <n v="0"/>
    <n v="3"/>
    <n v="266.13810000000001"/>
    <n v="3"/>
  </r>
  <r>
    <s v="Brand ABC TDM"/>
    <x v="2"/>
    <x v="2"/>
    <s v="Short Sleeve Tops"/>
    <s v="A2C7U-WB57"/>
    <s v="GFX GS X AT"/>
    <s v="XS"/>
    <x v="2"/>
    <d v="2024-11-12T00:00:00"/>
    <d v="2024-11-12T00:00:00"/>
    <n v="0"/>
    <n v="0"/>
    <n v="0"/>
    <n v="1"/>
    <n v="86.221900000000005"/>
    <n v="1"/>
  </r>
  <r>
    <s v="Brand ABC TDM"/>
    <x v="2"/>
    <x v="2"/>
    <s v="Short Sleeve Tops"/>
    <s v="A4A9Q-BB2J"/>
    <s v="Power"/>
    <s v="L"/>
    <x v="0"/>
    <d v="2024-10-26T00:00:00"/>
    <d v="2024-12-12T00:00:00"/>
    <n v="52"/>
    <n v="2700.0052000000001"/>
    <n v="7597"/>
    <n v="1"/>
    <n v="53.256100000000004"/>
    <n v="53"/>
  </r>
  <r>
    <s v="Brand ABC TDM"/>
    <x v="2"/>
    <x v="2"/>
    <s v="Short Sleeve Tops"/>
    <s v="A4A9Q-BB2J"/>
    <s v="Power"/>
    <s v="M"/>
    <x v="0"/>
    <d v="2024-10-26T00:00:00"/>
    <d v="2024-12-21T00:00:00"/>
    <n v="75"/>
    <n v="3940.7696000000001"/>
    <n v="10912.65"/>
    <n v="8"/>
    <n v="431.39440000000002"/>
    <n v="83"/>
  </r>
  <r>
    <s v="Brand ABC TDM"/>
    <x v="2"/>
    <x v="2"/>
    <s v="Short Sleeve Tops"/>
    <s v="A4A9Q-BB2J"/>
    <s v="Power"/>
    <s v="S"/>
    <x v="0"/>
    <d v="2024-10-26T00:00:00"/>
    <d v="2024-12-19T00:00:00"/>
    <n v="54"/>
    <n v="2804.9088000000002"/>
    <n v="7822.37"/>
    <n v="7"/>
    <n v="372.31950000000001"/>
    <n v="61"/>
  </r>
  <r>
    <s v="Brand ABC TDM"/>
    <x v="2"/>
    <x v="2"/>
    <s v="Short Sleeve Tops"/>
    <s v="A4A9Q-BB2J"/>
    <s v="Power"/>
    <s v="XS"/>
    <x v="0"/>
    <d v="2024-10-25T00:00:00"/>
    <d v="2024-12-09T00:00:00"/>
    <n v="28"/>
    <n v="1447.8144"/>
    <n v="4120.3900000000003"/>
    <n v="1"/>
    <n v="53.991399999999999"/>
    <n v="29"/>
  </r>
  <r>
    <s v="Brand ABC TDM"/>
    <x v="2"/>
    <x v="2"/>
    <s v="Short Sleeve Tops"/>
    <s v="A4A9Q-BCPN"/>
    <s v="Power"/>
    <s v="L"/>
    <x v="1"/>
    <d v="2024-10-26T00:00:00"/>
    <d v="2024-12-21T00:00:00"/>
    <n v="25"/>
    <n v="1306.6424999999999"/>
    <n v="3653.6"/>
    <n v="6"/>
    <n v="321.72059999999999"/>
    <n v="31"/>
  </r>
  <r>
    <s v="Brand ABC TDM"/>
    <x v="2"/>
    <x v="2"/>
    <s v="Short Sleeve Tops"/>
    <s v="A4A9Q-BCPN"/>
    <s v="Power"/>
    <s v="M"/>
    <x v="1"/>
    <d v="2024-10-26T00:00:00"/>
    <d v="2024-12-21T00:00:00"/>
    <n v="28"/>
    <n v="1468.376"/>
    <n v="4039.95"/>
    <n v="10"/>
    <n v="537.92999999999995"/>
    <n v="38"/>
  </r>
  <r>
    <s v="Brand ABC TDM"/>
    <x v="2"/>
    <x v="2"/>
    <s v="Short Sleeve Tops"/>
    <s v="A4A9Q-BCPN"/>
    <s v="Power"/>
    <s v="S"/>
    <x v="1"/>
    <d v="2024-10-26T00:00:00"/>
    <d v="2024-12-20T00:00:00"/>
    <n v="13"/>
    <n v="678.56200000000001"/>
    <n v="1883.14"/>
    <n v="7"/>
    <n v="375.05860000000001"/>
    <n v="20"/>
  </r>
  <r>
    <s v="Brand ABC TDM"/>
    <x v="2"/>
    <x v="2"/>
    <s v="Short Sleeve Tops"/>
    <s v="A4A9Q-BCPN"/>
    <s v="Power"/>
    <s v="XL"/>
    <x v="1"/>
    <d v="2024-10-25T00:00:00"/>
    <d v="2024-10-25T00:00:00"/>
    <n v="4"/>
    <n v="205.29040000000001"/>
    <n v="579.44000000000005"/>
    <n v="0"/>
    <n v="0"/>
    <n v="4"/>
  </r>
  <r>
    <s v="Brand ABC TDM"/>
    <x v="2"/>
    <x v="2"/>
    <s v="Short Sleeve Tops"/>
    <s v="A4A9Q-BCPN"/>
    <s v="Power"/>
    <s v="XS"/>
    <x v="1"/>
    <d v="2024-10-26T00:00:00"/>
    <d v="2024-12-17T00:00:00"/>
    <n v="12"/>
    <n v="632.35919999999999"/>
    <n v="1738.3"/>
    <n v="4"/>
    <n v="215.49080000000001"/>
    <n v="16"/>
  </r>
  <r>
    <s v="Brand ABC TDM"/>
    <x v="2"/>
    <x v="2"/>
    <s v="Short Sleeve Tops"/>
    <s v="A4A9Q-ECJF"/>
    <s v="Power"/>
    <s v="L"/>
    <x v="1"/>
    <d v="2024-10-26T00:00:00"/>
    <d v="2024-12-20T00:00:00"/>
    <n v="33"/>
    <n v="1730.5714"/>
    <n v="4796.3900000000003"/>
    <n v="10"/>
    <n v="537.86400000000003"/>
    <n v="43"/>
  </r>
  <r>
    <s v="Brand ABC TDM"/>
    <x v="2"/>
    <x v="2"/>
    <s v="Short Sleeve Tops"/>
    <s v="A4A9Q-ECJF"/>
    <s v="Power"/>
    <s v="M"/>
    <x v="1"/>
    <d v="2024-10-26T00:00:00"/>
    <d v="2024-12-21T00:00:00"/>
    <n v="40"/>
    <n v="2098.5864000000001"/>
    <n v="5842.6"/>
    <n v="12"/>
    <n v="645.57240000000002"/>
    <n v="52"/>
  </r>
  <r>
    <s v="Brand ABC TDM"/>
    <x v="2"/>
    <x v="2"/>
    <s v="Short Sleeve Tops"/>
    <s v="A4A9Q-ECJF"/>
    <s v="Power"/>
    <s v="S"/>
    <x v="1"/>
    <d v="2024-10-26T00:00:00"/>
    <d v="2024-12-20T00:00:00"/>
    <n v="31"/>
    <n v="1624.6110000000001"/>
    <n v="4522.7700000000004"/>
    <n v="6"/>
    <n v="322.4316"/>
    <n v="37"/>
  </r>
  <r>
    <s v="Brand ABC TDM"/>
    <x v="2"/>
    <x v="2"/>
    <s v="Short Sleeve Tops"/>
    <s v="A4A9Q-ECJF"/>
    <s v="Power"/>
    <s v="XS"/>
    <x v="1"/>
    <d v="2024-10-26T00:00:00"/>
    <d v="2024-12-17T00:00:00"/>
    <n v="14"/>
    <n v="733.26599999999996"/>
    <n v="2044.11"/>
    <n v="5"/>
    <n v="268.55149999999998"/>
    <n v="19"/>
  </r>
  <r>
    <s v="Brand ABC TDM"/>
    <x v="2"/>
    <x v="2"/>
    <s v="Short Sleeve Tops"/>
    <s v="A4A9Q-GBCN"/>
    <s v="Power"/>
    <s v="L"/>
    <x v="0"/>
    <d v="2024-10-25T00:00:00"/>
    <d v="2024-11-09T00:00:00"/>
    <n v="5"/>
    <n v="255.75550000000001"/>
    <n v="756.47"/>
    <n v="1"/>
    <n v="51.1511"/>
    <n v="6"/>
  </r>
  <r>
    <s v="Brand ABC TDM"/>
    <x v="2"/>
    <x v="2"/>
    <s v="Short Sleeve Tops"/>
    <s v="A4A9Q-GBCN"/>
    <s v="Power"/>
    <s v="M"/>
    <x v="0"/>
    <d v="2024-10-26T00:00:00"/>
    <d v="2024-11-13T00:00:00"/>
    <n v="8"/>
    <n v="410.58080000000001"/>
    <n v="1158.8699999999999"/>
    <n v="1"/>
    <n v="51.322600000000001"/>
    <n v="9"/>
  </r>
  <r>
    <s v="Brand ABC TDM"/>
    <x v="2"/>
    <x v="2"/>
    <s v="Short Sleeve Tops"/>
    <s v="A4A9Q-GBCN"/>
    <s v="Power"/>
    <s v="S"/>
    <x v="0"/>
    <d v="2024-10-26T00:00:00"/>
    <d v="2024-11-09T00:00:00"/>
    <n v="4"/>
    <n v="203.07239999999999"/>
    <n v="579.42999999999995"/>
    <n v="0"/>
    <n v="0"/>
    <n v="4"/>
  </r>
  <r>
    <s v="Brand ABC TDM"/>
    <x v="2"/>
    <x v="2"/>
    <s v="Short Sleeve Tops"/>
    <s v="A4A9Q-GBCN"/>
    <s v="Power"/>
    <s v="XL"/>
    <x v="0"/>
    <d v="2024-10-26T00:00:00"/>
    <d v="2024-10-26T00:00:00"/>
    <n v="1"/>
    <n v="51.322600000000001"/>
    <n v="144.86000000000001"/>
    <n v="0"/>
    <n v="0"/>
    <n v="1"/>
  </r>
  <r>
    <s v="Brand ABC TDM"/>
    <x v="2"/>
    <x v="2"/>
    <s v="Short Sleeve Tops"/>
    <s v="A4A9Q-GBCN"/>
    <s v="Power"/>
    <s v="XS"/>
    <x v="0"/>
    <d v="2024-10-26T00:00:00"/>
    <d v="2024-11-09T00:00:00"/>
    <n v="1"/>
    <n v="51.322600000000001"/>
    <n v="144.86000000000001"/>
    <n v="0"/>
    <n v="0"/>
    <n v="1"/>
  </r>
  <r>
    <s v="Brand ABC TDM"/>
    <x v="2"/>
    <x v="2"/>
    <s v="Short Sleeve Tops"/>
    <s v="A4A9Q-NBRP"/>
    <s v="Power"/>
    <s v="L"/>
    <x v="1"/>
    <d v="2024-10-28T00:00:00"/>
    <d v="2024-12-20T00:00:00"/>
    <n v="9"/>
    <n v="471.51639999999998"/>
    <n v="1319.82"/>
    <n v="6"/>
    <n v="322.71300000000002"/>
    <n v="15"/>
  </r>
  <r>
    <s v="Brand ABC TDM"/>
    <x v="2"/>
    <x v="2"/>
    <s v="Short Sleeve Tops"/>
    <s v="A4A9Q-NBRP"/>
    <s v="Power"/>
    <s v="M"/>
    <x v="1"/>
    <d v="2024-10-28T00:00:00"/>
    <d v="2024-12-21T00:00:00"/>
    <n v="15"/>
    <n v="792.19799999999998"/>
    <n v="2172.87"/>
    <n v="7"/>
    <n v="376.93110000000001"/>
    <n v="22"/>
  </r>
  <r>
    <s v="Brand ABC TDM"/>
    <x v="2"/>
    <x v="2"/>
    <s v="Short Sleeve Tops"/>
    <s v="A4A9Q-NBRP"/>
    <s v="Power"/>
    <s v="S"/>
    <x v="1"/>
    <d v="2024-10-28T00:00:00"/>
    <d v="2024-12-20T00:00:00"/>
    <n v="10"/>
    <n v="528.14419999999996"/>
    <n v="1448.58"/>
    <n v="6"/>
    <n v="322.37459999999999"/>
    <n v="16"/>
  </r>
  <r>
    <s v="Brand ABC TDM"/>
    <x v="2"/>
    <x v="2"/>
    <s v="Short Sleeve Tops"/>
    <s v="A4A9Q-NBRP"/>
    <s v="Power"/>
    <s v="XL"/>
    <x v="1"/>
    <d v="2024-10-28T00:00:00"/>
    <d v="2024-10-28T00:00:00"/>
    <n v="3"/>
    <n v="153.96780000000001"/>
    <n v="434.57"/>
    <n v="0"/>
    <n v="0"/>
    <n v="3"/>
  </r>
  <r>
    <s v="Brand ABC TDM"/>
    <x v="2"/>
    <x v="2"/>
    <s v="Short Sleeve Tops"/>
    <s v="A4A9Q-NBRP"/>
    <s v="Power"/>
    <s v="XS"/>
    <x v="1"/>
    <d v="2024-10-28T00:00:00"/>
    <d v="2024-12-19T00:00:00"/>
    <n v="2"/>
    <n v="102.6452"/>
    <n v="305.81"/>
    <n v="3"/>
    <n v="159.30539999999999"/>
    <n v="5"/>
  </r>
  <r>
    <s v="Brand ABC TDM"/>
    <x v="2"/>
    <x v="2"/>
    <s v="Short Sleeve Tops"/>
    <s v="A4A9Q-RBX4"/>
    <s v="Power"/>
    <s v="L"/>
    <x v="1"/>
    <d v="2024-10-26T00:00:00"/>
    <d v="2024-12-21T00:00:00"/>
    <n v="12"/>
    <n v="624.80539999999996"/>
    <n v="1770.48"/>
    <n v="8"/>
    <n v="426.45760000000001"/>
    <n v="20"/>
  </r>
  <r>
    <s v="Brand ABC TDM"/>
    <x v="2"/>
    <x v="2"/>
    <s v="Short Sleeve Tops"/>
    <s v="A4A9Q-RBX4"/>
    <s v="Power"/>
    <s v="M"/>
    <x v="1"/>
    <d v="2024-10-26T00:00:00"/>
    <d v="2024-12-21T00:00:00"/>
    <n v="11"/>
    <n v="567.72760000000005"/>
    <n v="1609.54"/>
    <n v="10"/>
    <n v="526.25"/>
    <n v="21"/>
  </r>
  <r>
    <s v="Brand ABC TDM"/>
    <x v="2"/>
    <x v="2"/>
    <s v="Short Sleeve Tops"/>
    <s v="A4A9Q-RBX4"/>
    <s v="Power"/>
    <s v="S"/>
    <x v="1"/>
    <d v="2024-10-26T00:00:00"/>
    <d v="2024-12-03T00:00:00"/>
    <n v="7"/>
    <n v="360.40210000000002"/>
    <n v="1014"/>
    <n v="7"/>
    <n v="368.7901"/>
    <n v="14"/>
  </r>
  <r>
    <s v="Brand ABC TDM"/>
    <x v="2"/>
    <x v="2"/>
    <s v="Short Sleeve Tops"/>
    <s v="A4A9Q-RBX4"/>
    <s v="Power"/>
    <s v="XS"/>
    <x v="1"/>
    <d v="2024-10-26T00:00:00"/>
    <d v="2024-11-09T00:00:00"/>
    <n v="2"/>
    <n v="102.6452"/>
    <n v="289.72000000000003"/>
    <n v="5"/>
    <n v="256.613"/>
    <n v="7"/>
  </r>
  <r>
    <s v="Brand ABC TDM"/>
    <x v="2"/>
    <x v="2"/>
    <s v="Short Sleeve Tops"/>
    <s v="A4A9Q-UB9P"/>
    <s v="Power"/>
    <s v="L"/>
    <x v="0"/>
    <d v="2024-10-26T00:00:00"/>
    <d v="2024-12-13T00:00:00"/>
    <n v="24"/>
    <n v="1250.0909999999999"/>
    <n v="3508.78"/>
    <n v="10"/>
    <n v="534.91099999999994"/>
    <n v="34"/>
  </r>
  <r>
    <s v="Brand ABC TDM"/>
    <x v="2"/>
    <x v="2"/>
    <s v="Short Sleeve Tops"/>
    <s v="A4A9Q-UB9P"/>
    <s v="Power"/>
    <s v="M"/>
    <x v="0"/>
    <d v="2024-10-26T00:00:00"/>
    <d v="2024-12-21T00:00:00"/>
    <n v="35"/>
    <n v="1819.3253"/>
    <n v="5070.04"/>
    <n v="13"/>
    <n v="694.86689999999999"/>
    <n v="48"/>
  </r>
  <r>
    <s v="Brand ABC TDM"/>
    <x v="2"/>
    <x v="2"/>
    <s v="Short Sleeve Tops"/>
    <s v="A4A9Q-UB9P"/>
    <s v="Power"/>
    <s v="S"/>
    <x v="0"/>
    <d v="2024-10-26T00:00:00"/>
    <d v="2024-12-21T00:00:00"/>
    <n v="36"/>
    <n v="1886.0823"/>
    <n v="5231"/>
    <n v="5"/>
    <n v="268.851"/>
    <n v="41"/>
  </r>
  <r>
    <s v="Brand ABC TDM"/>
    <x v="2"/>
    <x v="2"/>
    <s v="Short Sleeve Tops"/>
    <s v="A4A9Q-UB9P"/>
    <s v="Power"/>
    <s v="XS"/>
    <x v="0"/>
    <d v="2024-10-25T00:00:00"/>
    <d v="2024-12-03T00:00:00"/>
    <n v="14"/>
    <n v="730.50350000000003"/>
    <n v="2044.12"/>
    <n v="4"/>
    <n v="214.654"/>
    <n v="18"/>
  </r>
  <r>
    <s v="Brand ABC TDM"/>
    <x v="2"/>
    <x v="2"/>
    <s v="Short Sleeve Tops"/>
    <s v="A5A2D-BBF9"/>
    <s v="Geo Seamless"/>
    <s v="L"/>
    <x v="0"/>
    <d v="2024-10-26T00:00:00"/>
    <d v="2024-11-25T00:00:00"/>
    <n v="14"/>
    <n v="740.40049999999997"/>
    <n v="1995.83"/>
    <n v="2"/>
    <n v="107.449"/>
    <n v="16"/>
  </r>
  <r>
    <s v="Brand ABC TDM"/>
    <x v="2"/>
    <x v="2"/>
    <s v="Short Sleeve Tops"/>
    <s v="A5A2D-BBF9"/>
    <s v="Geo Seamless"/>
    <s v="S"/>
    <x v="0"/>
    <d v="2024-10-26T00:00:00"/>
    <d v="2024-11-25T00:00:00"/>
    <n v="6"/>
    <n v="310.6046"/>
    <n v="869.15"/>
    <n v="1"/>
    <n v="53.991399999999999"/>
    <n v="7"/>
  </r>
  <r>
    <s v="Brand ABC TDM"/>
    <x v="2"/>
    <x v="2"/>
    <s v="Short Sleeve Tops"/>
    <s v="A5A2D-BBF9"/>
    <s v="Geo Seamless"/>
    <s v="XL"/>
    <x v="0"/>
    <d v="2024-10-26T00:00:00"/>
    <d v="2024-11-23T00:00:00"/>
    <n v="4"/>
    <n v="209.14529999999999"/>
    <n v="595.54"/>
    <n v="3"/>
    <n v="160.78800000000001"/>
    <n v="7"/>
  </r>
  <r>
    <s v="Brand ABC TDM"/>
    <x v="2"/>
    <x v="2"/>
    <s v="Short Sleeve Tops"/>
    <s v="A5A2U-GB7P"/>
    <s v="Legacy"/>
    <s v="L"/>
    <x v="0"/>
    <d v="2024-12-07T00:00:00"/>
    <d v="2024-12-07T00:00:00"/>
    <n v="1"/>
    <n v="64.789599999999993"/>
    <n v="189.52"/>
    <n v="5"/>
    <n v="323.94799999999998"/>
    <n v="6"/>
  </r>
  <r>
    <s v="Brand ABC TDM"/>
    <x v="2"/>
    <x v="2"/>
    <s v="Short Sleeve Tops"/>
    <s v="A5A2U-GB7P"/>
    <s v="Legacy"/>
    <s v="M"/>
    <x v="0"/>
    <d v="2024-12-07T00:00:00"/>
    <d v="2024-12-07T00:00:00"/>
    <n v="0"/>
    <n v="0"/>
    <n v="0"/>
    <n v="7"/>
    <n v="453.52719999999999"/>
    <n v="7"/>
  </r>
  <r>
    <s v="Brand ABC TDM"/>
    <x v="2"/>
    <x v="2"/>
    <s v="Short Sleeve Tops"/>
    <s v="A5A2U-GB7P"/>
    <s v="Legacy"/>
    <s v="S"/>
    <x v="0"/>
    <d v="2024-12-07T00:00:00"/>
    <d v="2024-12-07T00:00:00"/>
    <n v="0"/>
    <n v="0"/>
    <n v="0"/>
    <n v="5"/>
    <n v="323.94799999999998"/>
    <n v="5"/>
  </r>
  <r>
    <s v="Brand ABC TDM"/>
    <x v="2"/>
    <x v="2"/>
    <s v="Short Sleeve Tops"/>
    <s v="A5A5H-BB3K"/>
    <s v="Apex"/>
    <s v="L"/>
    <x v="0"/>
    <d v="2024-10-11T00:00:00"/>
    <d v="2024-12-10T00:00:00"/>
    <n v="35"/>
    <n v="2327.9371000000001"/>
    <n v="6269.96"/>
    <n v="0"/>
    <n v="0"/>
    <n v="35"/>
  </r>
  <r>
    <s v="Brand ABC TDM"/>
    <x v="2"/>
    <x v="2"/>
    <s v="Short Sleeve Tops"/>
    <s v="A5A5H-BB3K"/>
    <s v="Apex"/>
    <s v="M"/>
    <x v="0"/>
    <d v="2024-10-11T00:00:00"/>
    <d v="2024-12-17T00:00:00"/>
    <n v="55"/>
    <n v="3674.4133999999999"/>
    <n v="9842.82"/>
    <n v="8"/>
    <n v="545.37840000000006"/>
    <n v="63"/>
  </r>
  <r>
    <s v="Brand ABC TDM"/>
    <x v="2"/>
    <x v="2"/>
    <s v="Short Sleeve Tops"/>
    <s v="A5A5H-BB3K"/>
    <s v="Apex"/>
    <s v="S"/>
    <x v="0"/>
    <d v="2024-10-11T00:00:00"/>
    <d v="2024-11-30T00:00:00"/>
    <n v="24"/>
    <n v="1578.5313000000001"/>
    <n v="4339.2299999999996"/>
    <n v="1"/>
    <n v="67.5929"/>
    <n v="25"/>
  </r>
  <r>
    <s v="Brand ABC TDM"/>
    <x v="2"/>
    <x v="2"/>
    <s v="Short Sleeve Tops"/>
    <s v="A5A5H-BB3K"/>
    <s v="Apex"/>
    <s v="XL"/>
    <x v="0"/>
    <d v="2024-10-25T00:00:00"/>
    <d v="2024-12-19T00:00:00"/>
    <n v="6"/>
    <n v="393.71789999999999"/>
    <n v="1074.8599999999999"/>
    <n v="4"/>
    <n v="273.6216"/>
    <n v="10"/>
  </r>
  <r>
    <s v="Brand ABC TDM"/>
    <x v="2"/>
    <x v="2"/>
    <s v="Short Sleeve Tops"/>
    <s v="A5A5H-BB3K"/>
    <s v="Apex"/>
    <s v="XS"/>
    <x v="0"/>
    <d v="2024-10-25T00:00:00"/>
    <d v="2024-12-14T00:00:00"/>
    <n v="13"/>
    <n v="847.40570000000002"/>
    <n v="2388.56"/>
    <n v="2"/>
    <n v="133.1782"/>
    <n v="15"/>
  </r>
  <r>
    <s v="Brand ABC TDM"/>
    <x v="2"/>
    <x v="2"/>
    <s v="Short Sleeve Tops"/>
    <s v="A5A5H-GCHW"/>
    <s v="Apex"/>
    <s v="L"/>
    <x v="0"/>
    <d v="2024-05-20T00:00:00"/>
    <d v="2024-12-21T00:00:00"/>
    <n v="14"/>
    <n v="918.06010000000003"/>
    <n v="2428.4"/>
    <n v="7"/>
    <n v="468.60309999999998"/>
    <n v="21"/>
  </r>
  <r>
    <s v="Brand ABC TDM"/>
    <x v="2"/>
    <x v="2"/>
    <s v="Short Sleeve Tops"/>
    <s v="A5A5H-GCHW"/>
    <s v="Apex"/>
    <s v="M"/>
    <x v="0"/>
    <d v="2024-05-20T00:00:00"/>
    <d v="2024-12-20T00:00:00"/>
    <n v="25"/>
    <n v="1651.3976"/>
    <n v="4498.4399999999996"/>
    <n v="8"/>
    <n v="400.2253"/>
    <n v="33"/>
  </r>
  <r>
    <s v="Brand ABC TDM"/>
    <x v="2"/>
    <x v="2"/>
    <s v="Short Sleeve Tops"/>
    <s v="A5A5H-GCHW"/>
    <s v="Apex"/>
    <s v="S"/>
    <x v="0"/>
    <d v="2024-05-20T00:00:00"/>
    <d v="2024-12-21T00:00:00"/>
    <n v="9"/>
    <n v="591.55539999999996"/>
    <n v="1632.18"/>
    <n v="7"/>
    <n v="469.23939999999999"/>
    <n v="16"/>
  </r>
  <r>
    <s v="Brand ABC TDM"/>
    <x v="2"/>
    <x v="2"/>
    <s v="Short Sleeve Tops"/>
    <s v="A5A5H-GCHW"/>
    <s v="Apex"/>
    <s v="XS"/>
    <x v="0"/>
    <d v="2024-05-20T00:00:00"/>
    <d v="2024-12-11T00:00:00"/>
    <n v="5"/>
    <n v="329.11880000000002"/>
    <n v="915.62"/>
    <n v="3"/>
    <n v="201.53129999999999"/>
    <n v="8"/>
  </r>
  <r>
    <s v="Brand ABC TDM"/>
    <x v="2"/>
    <x v="2"/>
    <s v="Short Sleeve Tops"/>
    <s v="A5A5H-UCZM"/>
    <s v="Apex"/>
    <s v="L"/>
    <x v="1"/>
    <d v="2024-10-26T00:00:00"/>
    <d v="2024-12-21T00:00:00"/>
    <n v="17"/>
    <n v="1116.3998999999999"/>
    <n v="3005.5"/>
    <n v="8"/>
    <n v="539.58000000000004"/>
    <n v="25"/>
  </r>
  <r>
    <s v="Brand ABC TDM"/>
    <x v="2"/>
    <x v="2"/>
    <s v="Short Sleeve Tops"/>
    <s v="A5A5H-UCZM"/>
    <s v="Apex"/>
    <s v="M"/>
    <x v="1"/>
    <d v="2024-10-26T00:00:00"/>
    <d v="2024-12-21T00:00:00"/>
    <n v="24"/>
    <n v="1592.79"/>
    <n v="4319.32"/>
    <n v="8"/>
    <n v="545.58320000000003"/>
    <n v="32"/>
  </r>
  <r>
    <s v="Brand ABC TDM"/>
    <x v="2"/>
    <x v="2"/>
    <s v="Short Sleeve Tops"/>
    <s v="A5A5H-UCZM"/>
    <s v="Apex"/>
    <s v="S"/>
    <x v="1"/>
    <d v="2024-10-26T00:00:00"/>
    <d v="2024-12-13T00:00:00"/>
    <n v="15"/>
    <n v="989.38430000000005"/>
    <n v="2707.07"/>
    <n v="7"/>
    <n v="474.91079999999999"/>
    <n v="22"/>
  </r>
  <r>
    <s v="Brand ABC TDM"/>
    <x v="2"/>
    <x v="2"/>
    <s v="Short Sleeve Tops"/>
    <s v="A5A5H-UCZM"/>
    <s v="Apex"/>
    <s v="XL"/>
    <x v="1"/>
    <d v="2024-10-26T00:00:00"/>
    <d v="2024-10-26T00:00:00"/>
    <n v="2"/>
    <n v="130.04400000000001"/>
    <n v="358.29"/>
    <n v="0"/>
    <n v="0"/>
    <n v="2"/>
  </r>
  <r>
    <s v="Brand ABC TDM"/>
    <x v="2"/>
    <x v="2"/>
    <s v="Short Sleeve Tops"/>
    <s v="A5A5H-UCZM"/>
    <s v="Apex"/>
    <s v="XS"/>
    <x v="1"/>
    <d v="2024-10-26T00:00:00"/>
    <d v="2024-11-12T00:00:00"/>
    <n v="4"/>
    <n v="260.08800000000002"/>
    <n v="716.58"/>
    <n v="0"/>
    <n v="0"/>
    <n v="4"/>
  </r>
  <r>
    <s v="Brand ABC TDM"/>
    <x v="2"/>
    <x v="2"/>
    <s v="Short Sleeve Tops"/>
    <s v="A5A5N-BB2J"/>
    <s v="GFX Spartan Man"/>
    <s v="L"/>
    <x v="3"/>
    <d v="2024-10-25T00:00:00"/>
    <d v="2024-11-13T00:00:00"/>
    <n v="4"/>
    <n v="219.19159999999999"/>
    <n v="547.25"/>
    <n v="0"/>
    <n v="0"/>
    <n v="4"/>
  </r>
  <r>
    <s v="Brand ABC TDM"/>
    <x v="2"/>
    <x v="2"/>
    <s v="Short Sleeve Tops"/>
    <s v="A5A5N-BB2J"/>
    <s v="GFX Spartan Man"/>
    <s v="M"/>
    <x v="3"/>
    <d v="2024-10-26T00:00:00"/>
    <d v="2024-11-15T00:00:00"/>
    <n v="8"/>
    <n v="438.38319999999999"/>
    <n v="1158.8599999999999"/>
    <n v="0"/>
    <n v="0"/>
    <n v="8"/>
  </r>
  <r>
    <s v="Brand ABC TDM"/>
    <x v="2"/>
    <x v="2"/>
    <s v="Short Sleeve Tops"/>
    <s v="A5A5N-BB2J"/>
    <s v="GFX Spartan Man"/>
    <s v="S"/>
    <x v="3"/>
    <d v="2024-10-26T00:00:00"/>
    <d v="2024-11-12T00:00:00"/>
    <n v="10"/>
    <n v="547.97900000000004"/>
    <n v="1456.63"/>
    <n v="0"/>
    <n v="0"/>
    <n v="10"/>
  </r>
  <r>
    <s v="Brand ABC TDM"/>
    <x v="2"/>
    <x v="2"/>
    <s v="Short Sleeve Tops"/>
    <s v="A5A5N-BB2J"/>
    <s v="GFX Spartan Man"/>
    <s v="XL"/>
    <x v="3"/>
    <d v="2024-10-26T00:00:00"/>
    <d v="2024-10-26T00:00:00"/>
    <n v="2"/>
    <n v="109.5958"/>
    <n v="289.70999999999998"/>
    <n v="0"/>
    <n v="0"/>
    <n v="2"/>
  </r>
  <r>
    <s v="Brand ABC TDM"/>
    <x v="2"/>
    <x v="2"/>
    <s v="Short Sleeve Tops"/>
    <s v="A5A5N-BB2J"/>
    <s v="GFX Spartan Man"/>
    <s v="XS"/>
    <x v="3"/>
    <d v="2024-10-26T00:00:00"/>
    <d v="2024-10-26T00:00:00"/>
    <n v="2"/>
    <n v="109.5958"/>
    <n v="289.70999999999998"/>
    <n v="1"/>
    <n v="54.797899999999998"/>
    <n v="3"/>
  </r>
  <r>
    <s v="Brand ABC TDM"/>
    <x v="2"/>
    <x v="2"/>
    <s v="Short Sleeve Tops"/>
    <s v="A5A5N-WB57"/>
    <s v="GFX Spartan Man"/>
    <s v="L"/>
    <x v="3"/>
    <d v="2024-10-26T00:00:00"/>
    <d v="2024-10-26T00:00:00"/>
    <n v="6"/>
    <n v="328.78739999999999"/>
    <n v="869.14"/>
    <n v="0"/>
    <n v="0"/>
    <n v="6"/>
  </r>
  <r>
    <s v="Brand ABC TDM"/>
    <x v="2"/>
    <x v="2"/>
    <s v="Short Sleeve Tops"/>
    <s v="A5A5N-WB57"/>
    <s v="GFX Spartan Man"/>
    <s v="M"/>
    <x v="3"/>
    <d v="2024-10-26T00:00:00"/>
    <d v="2024-11-09T00:00:00"/>
    <n v="10"/>
    <n v="547.97900000000004"/>
    <n v="1440.51"/>
    <n v="0"/>
    <n v="0"/>
    <n v="10"/>
  </r>
  <r>
    <s v="Brand ABC TDM"/>
    <x v="2"/>
    <x v="2"/>
    <s v="Short Sleeve Tops"/>
    <s v="A5A5N-WB57"/>
    <s v="GFX Spartan Man"/>
    <s v="S"/>
    <x v="3"/>
    <d v="2024-10-26T00:00:00"/>
    <d v="2024-11-09T00:00:00"/>
    <n v="3"/>
    <n v="164.3937"/>
    <n v="434.57"/>
    <n v="1"/>
    <n v="54.797899999999998"/>
    <n v="4"/>
  </r>
  <r>
    <s v="Brand ABC TDM"/>
    <x v="2"/>
    <x v="2"/>
    <s v="Short Sleeve Tops"/>
    <s v="A5A5N-WB57"/>
    <s v="GFX Spartan Man"/>
    <s v="XL"/>
    <x v="3"/>
    <d v="2024-10-25T00:00:00"/>
    <d v="2024-10-25T00:00:00"/>
    <n v="3"/>
    <n v="164.3937"/>
    <n v="434.58"/>
    <n v="0"/>
    <n v="0"/>
    <n v="3"/>
  </r>
  <r>
    <s v="Brand ABC TDM"/>
    <x v="2"/>
    <x v="2"/>
    <s v="Short Sleeve Tops"/>
    <s v="A6A4D-BCL2"/>
    <s v="Vital"/>
    <s v="L"/>
    <x v="0"/>
    <d v="2024-10-26T00:00:00"/>
    <d v="2024-12-21T00:00:00"/>
    <n v="11"/>
    <n v="501.7679"/>
    <n v="1323.79"/>
    <n v="7"/>
    <n v="327.00639999999999"/>
    <n v="18"/>
  </r>
  <r>
    <s v="Brand ABC TDM"/>
    <x v="2"/>
    <x v="2"/>
    <s v="Short Sleeve Tops"/>
    <s v="A6A4D-BCL2"/>
    <s v="Vital"/>
    <s v="M"/>
    <x v="0"/>
    <d v="2024-10-26T00:00:00"/>
    <d v="2024-12-21T00:00:00"/>
    <n v="16"/>
    <n v="733.40940000000001"/>
    <n v="1906.25"/>
    <n v="7"/>
    <n v="326.94690000000003"/>
    <n v="23"/>
  </r>
  <r>
    <s v="Brand ABC TDM"/>
    <x v="2"/>
    <x v="2"/>
    <s v="Short Sleeve Tops"/>
    <s v="A6A4D-BCL2"/>
    <s v="Vital"/>
    <s v="S"/>
    <x v="0"/>
    <d v="2024-10-26T00:00:00"/>
    <d v="2024-12-21T00:00:00"/>
    <n v="13"/>
    <n v="597.6"/>
    <n v="1562.08"/>
    <n v="5"/>
    <n v="233.35050000000001"/>
    <n v="18"/>
  </r>
  <r>
    <s v="Brand ABC TDM"/>
    <x v="2"/>
    <x v="2"/>
    <s v="Short Sleeve Tops"/>
    <s v="A6A4D-BCL2"/>
    <s v="Vital"/>
    <s v="XL"/>
    <x v="0"/>
    <d v="2024-10-26T00:00:00"/>
    <d v="2024-12-21T00:00:00"/>
    <n v="3"/>
    <n v="135.0214"/>
    <n v="357.42"/>
    <n v="3"/>
    <n v="138.8775"/>
    <n v="6"/>
  </r>
  <r>
    <s v="Brand ABC TDM"/>
    <x v="2"/>
    <x v="2"/>
    <s v="Short Sleeve Tops"/>
    <s v="A6A4D-BCL2"/>
    <s v="Vital"/>
    <s v="XS"/>
    <x v="0"/>
    <d v="2024-10-26T00:00:00"/>
    <d v="2024-12-21T00:00:00"/>
    <n v="2"/>
    <n v="89.757199999999997"/>
    <n v="251.52"/>
    <n v="3"/>
    <n v="137.3349"/>
    <n v="5"/>
  </r>
  <r>
    <s v="Brand ABC TDM"/>
    <x v="2"/>
    <x v="2"/>
    <s v="Short Sleeve Tops"/>
    <s v="A6A5Z-WB57"/>
    <s v="Impact"/>
    <s v="L"/>
    <x v="0"/>
    <d v="2024-10-26T00:00:00"/>
    <d v="2024-11-12T00:00:00"/>
    <n v="2"/>
    <n v="89.066800000000001"/>
    <n v="211.81"/>
    <n v="0"/>
    <n v="0"/>
    <n v="2"/>
  </r>
  <r>
    <s v="Brand ABC TDM"/>
    <x v="2"/>
    <x v="2"/>
    <s v="Short Sleeve Tops"/>
    <s v="A6A5Z-WB57"/>
    <s v="Impact"/>
    <s v="M"/>
    <x v="0"/>
    <d v="2024-10-26T00:00:00"/>
    <d v="2024-11-12T00:00:00"/>
    <n v="7"/>
    <n v="311.73379999999997"/>
    <n v="820.76"/>
    <n v="0"/>
    <n v="0"/>
    <n v="7"/>
  </r>
  <r>
    <s v="Brand ABC TDM"/>
    <x v="2"/>
    <x v="2"/>
    <s v="Short Sleeve Tops"/>
    <s v="A6A5Z-WB57"/>
    <s v="Impact"/>
    <s v="S"/>
    <x v="0"/>
    <d v="2024-10-25T00:00:00"/>
    <d v="2024-10-25T00:00:00"/>
    <n v="2"/>
    <n v="89.066800000000001"/>
    <n v="251.52"/>
    <n v="0"/>
    <n v="0"/>
    <n v="2"/>
  </r>
  <r>
    <s v="Brand ABC TDM"/>
    <x v="2"/>
    <x v="2"/>
    <s v="Short Sleeve Tops"/>
    <s v="A6A5Z-WB57"/>
    <s v="Impact"/>
    <s v="XL"/>
    <x v="0"/>
    <d v="2024-10-25T00:00:00"/>
    <d v="2024-10-25T00:00:00"/>
    <n v="1"/>
    <n v="44.5334"/>
    <n v="119.14"/>
    <n v="0"/>
    <n v="0"/>
    <n v="1"/>
  </r>
  <r>
    <s v="Brand ABC TDM"/>
    <x v="2"/>
    <x v="2"/>
    <s v="Short Sleeve Tops"/>
    <s v="A6A7C-BB67"/>
    <s v="Premium Legacy"/>
    <s v="L"/>
    <x v="0"/>
    <d v="2024-12-12T00:00:00"/>
    <d v="2024-12-21T00:00:00"/>
    <n v="0"/>
    <n v="0"/>
    <n v="0"/>
    <n v="6"/>
    <n v="410.41860000000003"/>
    <n v="6"/>
  </r>
  <r>
    <s v="Brand ABC TDM"/>
    <x v="2"/>
    <x v="2"/>
    <s v="Short Sleeve Tops"/>
    <s v="A6A7C-BB67"/>
    <s v="Premium Legacy"/>
    <s v="M"/>
    <x v="0"/>
    <d v="2024-12-12T00:00:00"/>
    <d v="2024-12-19T00:00:00"/>
    <n v="0"/>
    <n v="0"/>
    <n v="0"/>
    <n v="7"/>
    <n v="478.82170000000002"/>
    <n v="7"/>
  </r>
  <r>
    <s v="Brand ABC TDM"/>
    <x v="2"/>
    <x v="2"/>
    <s v="Short Sleeve Tops"/>
    <s v="A6A7C-BB67"/>
    <s v="Premium Legacy"/>
    <s v="S"/>
    <x v="0"/>
    <d v="2024-12-12T00:00:00"/>
    <d v="2024-12-20T00:00:00"/>
    <n v="0"/>
    <n v="0"/>
    <n v="0"/>
    <n v="5"/>
    <n v="342.01549999999997"/>
    <n v="5"/>
  </r>
  <r>
    <s v="Brand ABC TDM"/>
    <x v="2"/>
    <x v="2"/>
    <s v="Short Sleeve Tops"/>
    <s v="A6A7C-BB67"/>
    <s v="Premium Legacy"/>
    <s v="XL"/>
    <x v="0"/>
    <d v="2024-12-12T00:00:00"/>
    <d v="2024-12-12T00:00:00"/>
    <n v="0"/>
    <n v="0"/>
    <n v="0"/>
    <n v="3"/>
    <n v="205.20930000000001"/>
    <n v="3"/>
  </r>
  <r>
    <s v="Brand ABC TDM"/>
    <x v="2"/>
    <x v="2"/>
    <s v="Short Sleeve Tops"/>
    <s v="A6A7C-BB67"/>
    <s v="Premium Legacy"/>
    <s v="XS"/>
    <x v="0"/>
    <d v="2024-12-12T00:00:00"/>
    <d v="2024-12-12T00:00:00"/>
    <n v="0"/>
    <n v="0"/>
    <n v="0"/>
    <n v="3"/>
    <n v="205.20930000000001"/>
    <n v="3"/>
  </r>
  <r>
    <s v="Brand ABC TDM"/>
    <x v="2"/>
    <x v="2"/>
    <s v="Short Sleeve Tops"/>
    <s v="A6A7C-NB4S"/>
    <s v="Premium Legacy"/>
    <s v="L"/>
    <x v="1"/>
    <d v="2024-12-12T00:00:00"/>
    <d v="2024-12-21T00:00:00"/>
    <n v="0"/>
    <n v="0"/>
    <n v="0"/>
    <n v="6"/>
    <n v="410.41860000000003"/>
    <n v="6"/>
  </r>
  <r>
    <s v="Brand ABC TDM"/>
    <x v="2"/>
    <x v="2"/>
    <s v="Short Sleeve Tops"/>
    <s v="A6A7C-NB4S"/>
    <s v="Premium Legacy"/>
    <s v="M"/>
    <x v="1"/>
    <d v="2024-12-12T00:00:00"/>
    <d v="2024-12-21T00:00:00"/>
    <n v="0"/>
    <n v="0"/>
    <n v="0"/>
    <n v="7"/>
    <n v="478.82170000000002"/>
    <n v="7"/>
  </r>
  <r>
    <s v="Brand ABC TDM"/>
    <x v="2"/>
    <x v="2"/>
    <s v="Short Sleeve Tops"/>
    <s v="A6A7C-NB4S"/>
    <s v="Premium Legacy"/>
    <s v="S"/>
    <x v="1"/>
    <d v="2024-12-12T00:00:00"/>
    <d v="2024-12-21T00:00:00"/>
    <n v="0"/>
    <n v="0"/>
    <n v="0"/>
    <n v="5"/>
    <n v="342.01549999999997"/>
    <n v="5"/>
  </r>
  <r>
    <s v="Brand ABC TDM"/>
    <x v="2"/>
    <x v="2"/>
    <s v="Short Sleeve Tops"/>
    <s v="A6A7C-NB4S"/>
    <s v="Premium Legacy"/>
    <s v="XL"/>
    <x v="1"/>
    <d v="2024-12-12T00:00:00"/>
    <d v="2024-12-12T00:00:00"/>
    <n v="0"/>
    <n v="0"/>
    <n v="0"/>
    <n v="3"/>
    <n v="205.20930000000001"/>
    <n v="3"/>
  </r>
  <r>
    <s v="Brand ABC TDM"/>
    <x v="2"/>
    <x v="2"/>
    <s v="Short Sleeve Tops"/>
    <s v="A6A7C-NB4S"/>
    <s v="Premium Legacy"/>
    <s v="XS"/>
    <x v="1"/>
    <d v="2024-12-12T00:00:00"/>
    <d v="2024-12-12T00:00:00"/>
    <n v="0"/>
    <n v="0"/>
    <n v="0"/>
    <n v="3"/>
    <n v="205.20930000000001"/>
    <n v="3"/>
  </r>
  <r>
    <s v="Brand ABC TDM"/>
    <x v="2"/>
    <x v="2"/>
    <s v="Short Sleeve Tops"/>
    <s v="A7A3B-BB2J"/>
    <s v="Shark Attack V2"/>
    <s v="L"/>
    <x v="2"/>
    <d v="2024-12-04T00:00:00"/>
    <d v="2024-12-19T00:00:00"/>
    <n v="7"/>
    <n v="504.11829999999998"/>
    <n v="1272.26"/>
    <n v="4"/>
    <n v="288.06760000000003"/>
    <n v="11"/>
  </r>
  <r>
    <s v="Brand ABC TDM"/>
    <x v="2"/>
    <x v="2"/>
    <s v="Short Sleeve Tops"/>
    <s v="A7A3B-BB2J"/>
    <s v="Shark Attack V2"/>
    <s v="M"/>
    <x v="2"/>
    <d v="2024-12-04T00:00:00"/>
    <d v="2024-12-21T00:00:00"/>
    <n v="5"/>
    <n v="360.08449999999999"/>
    <n v="980.3"/>
    <n v="7"/>
    <n v="504.11829999999998"/>
    <n v="12"/>
  </r>
  <r>
    <s v="Brand ABC TDM"/>
    <x v="2"/>
    <x v="2"/>
    <s v="Short Sleeve Tops"/>
    <s v="A7A3B-BB2J"/>
    <s v="Shark Attack V2"/>
    <s v="S"/>
    <x v="2"/>
    <d v="2024-12-04T00:00:00"/>
    <d v="2024-12-21T00:00:00"/>
    <n v="3"/>
    <n v="216.05070000000001"/>
    <n v="542.28"/>
    <n v="4"/>
    <n v="288.06760000000003"/>
    <n v="7"/>
  </r>
  <r>
    <s v="Brand ABC TDM"/>
    <x v="2"/>
    <x v="2"/>
    <s v="Short Sleeve Tops"/>
    <s v="A7A3B-BB2J"/>
    <s v="Shark Attack V2"/>
    <s v="XL"/>
    <x v="2"/>
    <d v="2024-12-04T00:00:00"/>
    <d v="2024-12-17T00:00:00"/>
    <n v="4"/>
    <n v="288.06760000000003"/>
    <n v="792.57"/>
    <n v="2"/>
    <n v="144.03380000000001"/>
    <n v="6"/>
  </r>
  <r>
    <s v="Brand ABC TDM"/>
    <x v="2"/>
    <x v="2"/>
    <s v="Short Sleeve Tops"/>
    <s v="A7A3B-BB2J"/>
    <s v="Shark Attack V2"/>
    <s v="XS"/>
    <x v="2"/>
    <d v="2024-12-04T00:00:00"/>
    <d v="2024-12-20T00:00:00"/>
    <n v="3"/>
    <n v="216.05070000000001"/>
    <n v="563.14"/>
    <n v="2"/>
    <n v="144.03380000000001"/>
    <n v="5"/>
  </r>
  <r>
    <s v="Brand ABC TDM"/>
    <x v="2"/>
    <x v="2"/>
    <s v="Short Sleeve Tops"/>
    <s v="A7A3H-BCPH"/>
    <s v="Heavyweight Sweats"/>
    <s v="L"/>
    <x v="1"/>
    <d v="2024-11-29T00:00:00"/>
    <d v="2024-12-17T00:00:00"/>
    <n v="7"/>
    <n v="504.11829999999998"/>
    <n v="1376.56"/>
    <n v="4"/>
    <n v="288.06760000000003"/>
    <n v="11"/>
  </r>
  <r>
    <s v="Brand ABC TDM"/>
    <x v="2"/>
    <x v="2"/>
    <s v="Short Sleeve Tops"/>
    <s v="A7A3H-BCPH"/>
    <s v="Heavyweight Sweats"/>
    <s v="M"/>
    <x v="1"/>
    <d v="2024-11-29T00:00:00"/>
    <d v="2024-12-17T00:00:00"/>
    <n v="9"/>
    <n v="648.15210000000002"/>
    <n v="1710.26"/>
    <n v="6"/>
    <n v="432.10140000000001"/>
    <n v="15"/>
  </r>
  <r>
    <s v="Brand ABC TDM"/>
    <x v="2"/>
    <x v="2"/>
    <s v="Short Sleeve Tops"/>
    <s v="A7A3H-BCPH"/>
    <s v="Heavyweight Sweats"/>
    <s v="S"/>
    <x v="1"/>
    <d v="2024-11-29T00:00:00"/>
    <d v="2024-12-12T00:00:00"/>
    <n v="6"/>
    <n v="432.10140000000001"/>
    <n v="1126.27"/>
    <n v="7"/>
    <n v="504.11829999999998"/>
    <n v="13"/>
  </r>
  <r>
    <s v="Brand ABC TDM"/>
    <x v="2"/>
    <x v="2"/>
    <s v="Short Sleeve Tops"/>
    <s v="A7A3H-BCPH"/>
    <s v="Heavyweight Sweats"/>
    <s v="XS"/>
    <x v="1"/>
    <d v="2024-11-29T00:00:00"/>
    <d v="2024-12-13T00:00:00"/>
    <n v="1"/>
    <n v="72.016900000000007"/>
    <n v="208.58"/>
    <n v="4"/>
    <n v="288.06760000000003"/>
    <n v="5"/>
  </r>
  <r>
    <s v="Brand ABC TDM"/>
    <x v="2"/>
    <x v="2"/>
    <s v="Long Sleeve Tops"/>
    <s v="A1A9E-NCCZ"/>
    <s v="Crest"/>
    <s v="S"/>
    <x v="1"/>
    <d v="2024-12-11T00:00:00"/>
    <d v="2024-12-11T00:00:00"/>
    <n v="0"/>
    <n v="0"/>
    <n v="0"/>
    <n v="1"/>
    <n v="43.193100000000001"/>
    <n v="1"/>
  </r>
  <r>
    <s v="Brand ABC TDM"/>
    <x v="2"/>
    <x v="2"/>
    <s v="Long Sleeve Tops"/>
    <s v="A1C2U-BB2J"/>
    <s v="GFX GS X AT"/>
    <s v="L"/>
    <x v="0"/>
    <d v="2024-10-26T00:00:00"/>
    <d v="2024-11-19T00:00:00"/>
    <n v="14"/>
    <n v="919.70060000000001"/>
    <n v="2406.9499999999998"/>
    <n v="5"/>
    <n v="328.46449999999999"/>
    <n v="19"/>
  </r>
  <r>
    <s v="Brand ABC TDM"/>
    <x v="2"/>
    <x v="2"/>
    <s v="Long Sleeve Tops"/>
    <s v="A1C2U-BB2J"/>
    <s v="GFX GS X AT"/>
    <s v="M"/>
    <x v="0"/>
    <d v="2024-10-26T00:00:00"/>
    <d v="2024-11-26T00:00:00"/>
    <n v="27"/>
    <n v="1801.0372"/>
    <n v="4567.54"/>
    <n v="0"/>
    <n v="0"/>
    <n v="27"/>
  </r>
  <r>
    <s v="Brand ABC TDM"/>
    <x v="2"/>
    <x v="2"/>
    <s v="Long Sleeve Tops"/>
    <s v="A1C2U-BB2J"/>
    <s v="GFX GS X AT"/>
    <s v="S"/>
    <x v="0"/>
    <d v="2024-10-26T00:00:00"/>
    <d v="2024-11-13T00:00:00"/>
    <n v="8"/>
    <n v="525.54319999999996"/>
    <n v="1383.51"/>
    <n v="0"/>
    <n v="0"/>
    <n v="8"/>
  </r>
  <r>
    <s v="Brand ABC TDM"/>
    <x v="2"/>
    <x v="2"/>
    <s v="Long Sleeve Tops"/>
    <s v="A1C2U-BB2J"/>
    <s v="GFX GS X AT"/>
    <s v="XL"/>
    <x v="0"/>
    <d v="2024-10-26T00:00:00"/>
    <d v="2024-11-20T00:00:00"/>
    <n v="5"/>
    <n v="330.74189999999999"/>
    <n v="871.81"/>
    <n v="1"/>
    <n v="66.831599999999995"/>
    <n v="6"/>
  </r>
  <r>
    <s v="Brand ABC TDM"/>
    <x v="2"/>
    <x v="2"/>
    <s v="Long Sleeve Tops"/>
    <s v="A1C2U-BB2J"/>
    <s v="GFX GS X AT"/>
    <s v="XS"/>
    <x v="0"/>
    <d v="2024-10-26T00:00:00"/>
    <d v="2024-10-26T00:00:00"/>
    <n v="2"/>
    <n v="131.38579999999999"/>
    <n v="341.14"/>
    <n v="0"/>
    <n v="0"/>
    <n v="2"/>
  </r>
  <r>
    <s v="Brand ABC TDM"/>
    <x v="2"/>
    <x v="2"/>
    <s v="Long Sleeve Tops"/>
    <s v="A5A3C-GBFG"/>
    <s v="Legacy"/>
    <s v="L"/>
    <x v="0"/>
    <d v="2024-12-07T00:00:00"/>
    <d v="2024-12-14T00:00:00"/>
    <n v="1"/>
    <n v="57.604999999999997"/>
    <n v="144.85"/>
    <n v="6"/>
    <n v="345.63"/>
    <n v="7"/>
  </r>
  <r>
    <s v="Brand ABC TDM"/>
    <x v="2"/>
    <x v="2"/>
    <s v="Long Sleeve Tops"/>
    <s v="A5A3C-GBFG"/>
    <s v="Legacy"/>
    <s v="M"/>
    <x v="0"/>
    <d v="2024-12-07T00:00:00"/>
    <d v="2024-12-11T00:00:00"/>
    <n v="1"/>
    <n v="57.604999999999997"/>
    <n v="160.94999999999999"/>
    <n v="6"/>
    <n v="345.63"/>
    <n v="7"/>
  </r>
  <r>
    <s v="Brand ABC TDM"/>
    <x v="2"/>
    <x v="2"/>
    <s v="Long Sleeve Tops"/>
    <s v="A5A3C-GBFG"/>
    <s v="Legacy"/>
    <s v="S"/>
    <x v="0"/>
    <d v="2024-12-07T00:00:00"/>
    <d v="2024-12-07T00:00:00"/>
    <n v="0"/>
    <n v="0"/>
    <n v="0"/>
    <n v="4"/>
    <n v="230.42"/>
    <n v="4"/>
  </r>
  <r>
    <s v="Brand ABC TDM"/>
    <x v="2"/>
    <x v="2"/>
    <s v="Long Sleeve Tops"/>
    <s v="A5A3C-GBFG"/>
    <s v="Legacy"/>
    <s v="XS"/>
    <x v="0"/>
    <d v="2024-12-07T00:00:00"/>
    <d v="2024-12-07T00:00:00"/>
    <n v="0"/>
    <n v="0"/>
    <n v="0"/>
    <n v="2"/>
    <n v="115.21"/>
    <n v="2"/>
  </r>
  <r>
    <s v="Brand ABC TDM"/>
    <x v="2"/>
    <x v="2"/>
    <s v="Long Sleeve Tops"/>
    <s v="A5A3C-WB57"/>
    <s v="Legacy"/>
    <s v="L"/>
    <x v="0"/>
    <d v="2024-11-29T00:00:00"/>
    <d v="2024-12-07T00:00:00"/>
    <n v="4"/>
    <n v="230.42"/>
    <n v="579.44000000000005"/>
    <n v="8"/>
    <n v="460.84"/>
    <n v="12"/>
  </r>
  <r>
    <s v="Brand ABC TDM"/>
    <x v="2"/>
    <x v="2"/>
    <s v="Long Sleeve Tops"/>
    <s v="A5A3C-WB57"/>
    <s v="Legacy"/>
    <s v="M"/>
    <x v="0"/>
    <d v="2024-11-29T00:00:00"/>
    <d v="2024-12-07T00:00:00"/>
    <n v="2"/>
    <n v="115.21"/>
    <n v="289.72000000000003"/>
    <n v="10"/>
    <n v="576.04999999999995"/>
    <n v="12"/>
  </r>
  <r>
    <s v="Brand ABC TDM"/>
    <x v="2"/>
    <x v="2"/>
    <s v="Long Sleeve Tops"/>
    <s v="A5A3C-WB57"/>
    <s v="Legacy"/>
    <s v="S"/>
    <x v="0"/>
    <d v="2024-11-29T00:00:00"/>
    <d v="2024-12-07T00:00:00"/>
    <n v="2"/>
    <n v="115.21"/>
    <n v="289.72000000000003"/>
    <n v="6"/>
    <n v="345.63"/>
    <n v="8"/>
  </r>
  <r>
    <s v="Brand ABC TDM"/>
    <x v="2"/>
    <x v="2"/>
    <s v="Long Sleeve Tops"/>
    <s v="A5A3C-WB57"/>
    <s v="Legacy"/>
    <s v="XS"/>
    <x v="0"/>
    <d v="2024-11-29T00:00:00"/>
    <d v="2024-12-07T00:00:00"/>
    <n v="0"/>
    <n v="0"/>
    <n v="0"/>
    <n v="3"/>
    <n v="172.815"/>
    <n v="3"/>
  </r>
  <r>
    <s v="Brand ABC TDM"/>
    <x v="2"/>
    <x v="2"/>
    <s v="Long Sleeve Tops"/>
    <s v="A6A7V-BCPH"/>
    <s v="Heavyweight Sweats"/>
    <s v="L"/>
    <x v="2"/>
    <d v="2024-11-29T00:00:00"/>
    <d v="2024-11-29T00:00:00"/>
    <n v="0"/>
    <n v="0"/>
    <n v="0"/>
    <n v="6"/>
    <n v="485.92200000000003"/>
    <n v="6"/>
  </r>
  <r>
    <s v="Brand ABC TDM"/>
    <x v="2"/>
    <x v="2"/>
    <s v="Long Sleeve Tops"/>
    <s v="A6A7V-BCPH"/>
    <s v="Heavyweight Sweats"/>
    <s v="M"/>
    <x v="2"/>
    <d v="2024-11-29T00:00:00"/>
    <d v="2024-11-29T00:00:00"/>
    <n v="1"/>
    <n v="80.986999999999995"/>
    <n v="204.86"/>
    <n v="4"/>
    <n v="323.94799999999998"/>
    <n v="5"/>
  </r>
  <r>
    <s v="Brand ABC TDM"/>
    <x v="2"/>
    <x v="2"/>
    <s v="Long Sleeve Tops"/>
    <s v="A6A7V-BCPH"/>
    <s v="Heavyweight Sweats"/>
    <s v="S"/>
    <x v="2"/>
    <d v="2024-11-29T00:00:00"/>
    <d v="2024-12-13T00:00:00"/>
    <n v="0"/>
    <n v="0"/>
    <n v="0"/>
    <n v="4"/>
    <n v="323.94799999999998"/>
    <n v="4"/>
  </r>
  <r>
    <s v="Brand ABC TDM"/>
    <x v="2"/>
    <x v="2"/>
    <s v="Long Sleeve Tops"/>
    <s v="A6A7V-BCPH"/>
    <s v="Heavyweight Sweats"/>
    <s v="XS"/>
    <x v="2"/>
    <d v="2024-11-29T00:00:00"/>
    <d v="2024-11-29T00:00:00"/>
    <n v="1"/>
    <n v="80.986999999999995"/>
    <n v="204.86"/>
    <n v="0"/>
    <n v="0"/>
    <n v="1"/>
  </r>
  <r>
    <s v="Brand ABC TDM"/>
    <x v="2"/>
    <x v="2"/>
    <s v="Long Sleeve Tops"/>
    <s v="A6A7V-BCPH"/>
    <s v="Heavyweight Sweats"/>
    <s v="XXL"/>
    <x v="2"/>
    <d v="2024-11-29T00:00:00"/>
    <d v="2024-11-29T00:00:00"/>
    <n v="0"/>
    <n v="0"/>
    <n v="0"/>
    <n v="1"/>
    <n v="80.986999999999995"/>
    <n v="1"/>
  </r>
  <r>
    <s v="Brand ABC TDM"/>
    <x v="2"/>
    <x v="2"/>
    <s v="Long Sleeve Tops"/>
    <s v="A6A7V-GCV5"/>
    <s v="Heavyweight Sweats"/>
    <s v="L"/>
    <x v="2"/>
    <d v="2024-11-29T00:00:00"/>
    <d v="2024-11-29T00:00:00"/>
    <n v="1"/>
    <n v="80.986999999999995"/>
    <n v="204.86"/>
    <n v="5"/>
    <n v="404.935"/>
    <n v="6"/>
  </r>
  <r>
    <s v="Brand ABC TDM"/>
    <x v="2"/>
    <x v="2"/>
    <s v="Long Sleeve Tops"/>
    <s v="A6A7V-GCV5"/>
    <s v="Heavyweight Sweats"/>
    <s v="M"/>
    <x v="2"/>
    <d v="2024-11-29T00:00:00"/>
    <d v="2024-12-21T00:00:00"/>
    <n v="0"/>
    <n v="0"/>
    <n v="0"/>
    <n v="4"/>
    <n v="323.94799999999998"/>
    <n v="4"/>
  </r>
  <r>
    <s v="Brand ABC TDM"/>
    <x v="2"/>
    <x v="2"/>
    <s v="Long Sleeve Tops"/>
    <s v="A6A7V-GCV5"/>
    <s v="Heavyweight Sweats"/>
    <s v="S"/>
    <x v="2"/>
    <d v="2024-11-29T00:00:00"/>
    <d v="2024-12-18T00:00:00"/>
    <n v="0"/>
    <n v="0"/>
    <n v="0"/>
    <n v="4"/>
    <n v="323.94799999999998"/>
    <n v="4"/>
  </r>
  <r>
    <s v="Brand ABC TDM"/>
    <x v="2"/>
    <x v="2"/>
    <s v="Long Sleeve Tops"/>
    <s v="A6A7V-GCV5"/>
    <s v="Heavyweight Sweats"/>
    <s v="XS"/>
    <x v="2"/>
    <d v="2024-11-29T00:00:00"/>
    <d v="2024-12-13T00:00:00"/>
    <n v="0"/>
    <n v="0"/>
    <n v="0"/>
    <n v="2"/>
    <n v="161.97399999999999"/>
    <n v="2"/>
  </r>
  <r>
    <s v="Brand ABC TDM"/>
    <x v="2"/>
    <x v="2"/>
    <s v="Shorts"/>
    <s v="A1B3J-BB3K"/>
    <s v="Sport"/>
    <s v="L"/>
    <x v="1"/>
    <d v="2024-10-11T00:00:00"/>
    <d v="2024-12-17T00:00:00"/>
    <n v="45"/>
    <n v="2827.1043"/>
    <n v="7656.71"/>
    <n v="6"/>
    <n v="387.49200000000002"/>
    <n v="51"/>
  </r>
  <r>
    <s v="Brand ABC TDM"/>
    <x v="2"/>
    <x v="2"/>
    <s v="Shorts"/>
    <s v="A1B3J-BB3K"/>
    <s v="Sport"/>
    <s v="M"/>
    <x v="1"/>
    <d v="2024-10-11T00:00:00"/>
    <d v="2024-12-21T00:00:00"/>
    <n v="69"/>
    <n v="4327.6342000000004"/>
    <n v="11797.79"/>
    <n v="13"/>
    <n v="840.99080000000004"/>
    <n v="82"/>
  </r>
  <r>
    <s v="Brand ABC TDM"/>
    <x v="2"/>
    <x v="2"/>
    <s v="Shorts"/>
    <s v="A1B3J-BB3K"/>
    <s v="Sport"/>
    <s v="S"/>
    <x v="1"/>
    <d v="2024-10-11T00:00:00"/>
    <d v="2024-12-21T00:00:00"/>
    <n v="22"/>
    <n v="1368.6911"/>
    <n v="3790.36"/>
    <n v="9"/>
    <n v="575.73450000000003"/>
    <n v="31"/>
  </r>
  <r>
    <s v="Brand ABC TDM"/>
    <x v="2"/>
    <x v="2"/>
    <s v="Shorts"/>
    <s v="A1B3J-BB3K"/>
    <s v="Sport"/>
    <s v="XL"/>
    <x v="1"/>
    <d v="2024-10-26T00:00:00"/>
    <d v="2024-12-20T00:00:00"/>
    <n v="4"/>
    <n v="252.75299999999999"/>
    <n v="701.23"/>
    <n v="2"/>
    <n v="129.57900000000001"/>
    <n v="6"/>
  </r>
  <r>
    <s v="Brand ABC TDM"/>
    <x v="2"/>
    <x v="2"/>
    <s v="Shorts"/>
    <s v="A1B3J-BB3K"/>
    <s v="Sport"/>
    <s v="XS"/>
    <x v="1"/>
    <d v="2024-10-26T00:00:00"/>
    <d v="2024-12-17T00:00:00"/>
    <n v="5"/>
    <n v="308.57549999999998"/>
    <n v="852.86"/>
    <n v="5"/>
    <n v="313.6995"/>
    <n v="10"/>
  </r>
  <r>
    <s v="Brand ABC TDM"/>
    <x v="2"/>
    <x v="2"/>
    <s v="Shorts"/>
    <s v="A1B3J-ECV8"/>
    <s v="Sport"/>
    <s v="L"/>
    <x v="1"/>
    <d v="2024-10-11T00:00:00"/>
    <d v="2024-12-21T00:00:00"/>
    <n v="27"/>
    <n v="1686.6401000000001"/>
    <n v="4690.6899999999996"/>
    <n v="7"/>
    <n v="448.95060000000001"/>
    <n v="34"/>
  </r>
  <r>
    <s v="Brand ABC TDM"/>
    <x v="2"/>
    <x v="2"/>
    <s v="Shorts"/>
    <s v="A1B3J-ECV8"/>
    <s v="Sport"/>
    <s v="M"/>
    <x v="1"/>
    <d v="2024-10-11T00:00:00"/>
    <d v="2024-12-21T00:00:00"/>
    <n v="33"/>
    <n v="2052.2226999999998"/>
    <n v="5704.69"/>
    <n v="11"/>
    <n v="702.4402"/>
    <n v="44"/>
  </r>
  <r>
    <s v="Brand ABC TDM"/>
    <x v="2"/>
    <x v="2"/>
    <s v="Shorts"/>
    <s v="A1B3J-ECV8"/>
    <s v="Sport"/>
    <s v="S"/>
    <x v="1"/>
    <d v="2024-10-11T00:00:00"/>
    <d v="2024-12-21T00:00:00"/>
    <n v="9"/>
    <n v="556.26419999999996"/>
    <n v="1610.95"/>
    <n v="8"/>
    <n v="500.32240000000002"/>
    <n v="17"/>
  </r>
  <r>
    <s v="Brand ABC TDM"/>
    <x v="2"/>
    <x v="2"/>
    <s v="Shorts"/>
    <s v="A1B3J-ECV8"/>
    <s v="Sport"/>
    <s v="XL"/>
    <x v="1"/>
    <d v="2024-10-26T00:00:00"/>
    <d v="2024-12-21T00:00:00"/>
    <n v="3"/>
    <n v="184.761"/>
    <n v="511.71"/>
    <n v="4"/>
    <n v="259.15800000000002"/>
    <n v="7"/>
  </r>
  <r>
    <s v="Brand ABC TDM"/>
    <x v="2"/>
    <x v="2"/>
    <s v="Shorts"/>
    <s v="A1B3J-ECV8"/>
    <s v="Sport"/>
    <s v="XS"/>
    <x v="1"/>
    <d v="2024-10-26T00:00:00"/>
    <d v="2024-12-19T00:00:00"/>
    <n v="2"/>
    <n v="123.17400000000001"/>
    <n v="341.14"/>
    <n v="5"/>
    <n v="311.13749999999999"/>
    <n v="7"/>
  </r>
  <r>
    <s v="Brand ABC TDM"/>
    <x v="2"/>
    <x v="2"/>
    <s v="Shorts"/>
    <s v="A1B3J-UCZR"/>
    <s v="Sport"/>
    <s v="L"/>
    <x v="1"/>
    <d v="2024-10-26T00:00:00"/>
    <d v="2024-12-21T00:00:00"/>
    <n v="21"/>
    <n v="1316.1805999999999"/>
    <n v="3657.78"/>
    <n v="6"/>
    <n v="385.0992"/>
    <n v="27"/>
  </r>
  <r>
    <s v="Brand ABC TDM"/>
    <x v="2"/>
    <x v="2"/>
    <s v="Shorts"/>
    <s v="A1B3J-UCZR"/>
    <s v="Sport"/>
    <s v="M"/>
    <x v="1"/>
    <d v="2024-10-26T00:00:00"/>
    <d v="2024-12-21T00:00:00"/>
    <n v="26"/>
    <n v="1624.4259999999999"/>
    <n v="4434.87"/>
    <n v="8"/>
    <n v="514.3664"/>
    <n v="34"/>
  </r>
  <r>
    <s v="Brand ABC TDM"/>
    <x v="2"/>
    <x v="2"/>
    <s v="Shorts"/>
    <s v="A1B3J-UCZR"/>
    <s v="Sport"/>
    <s v="S"/>
    <x v="1"/>
    <d v="2024-10-26T00:00:00"/>
    <d v="2024-12-21T00:00:00"/>
    <n v="7"/>
    <n v="433.85390000000001"/>
    <n v="1231.9000000000001"/>
    <n v="6"/>
    <n v="376.38420000000002"/>
    <n v="13"/>
  </r>
  <r>
    <s v="Brand ABC TDM"/>
    <x v="2"/>
    <x v="2"/>
    <s v="Shorts"/>
    <s v="A1B3J-UCZR"/>
    <s v="Sport"/>
    <s v="XL"/>
    <x v="1"/>
    <d v="2024-10-26T00:00:00"/>
    <d v="2024-11-12T00:00:00"/>
    <n v="4"/>
    <n v="246.34800000000001"/>
    <n v="682.28"/>
    <n v="0"/>
    <n v="0"/>
    <n v="4"/>
  </r>
  <r>
    <s v="Brand ABC TDM"/>
    <x v="2"/>
    <x v="2"/>
    <s v="Shorts"/>
    <s v="A1B3J-UCZR"/>
    <s v="Sport"/>
    <s v="XS"/>
    <x v="1"/>
    <d v="2024-10-26T00:00:00"/>
    <d v="2024-12-20T00:00:00"/>
    <n v="1"/>
    <n v="61.587000000000003"/>
    <n v="170.57"/>
    <n v="4"/>
    <n v="246.34800000000001"/>
    <n v="5"/>
  </r>
  <r>
    <s v="Brand ABC TDM"/>
    <x v="2"/>
    <x v="2"/>
    <s v="Shorts"/>
    <s v="A1B3L-BB2J"/>
    <s v="Sport"/>
    <s v="L"/>
    <x v="2"/>
    <d v="2024-11-09T00:00:00"/>
    <d v="2024-12-18T00:00:00"/>
    <n v="2"/>
    <n v="106.5976"/>
    <n v="321.91000000000003"/>
    <n v="8"/>
    <n v="427.40640000000002"/>
    <n v="10"/>
  </r>
  <r>
    <s v="Brand ABC TDM"/>
    <x v="2"/>
    <x v="2"/>
    <s v="Shorts"/>
    <s v="A1B3L-BB2J"/>
    <s v="Sport"/>
    <s v="M"/>
    <x v="2"/>
    <d v="2024-11-09T00:00:00"/>
    <d v="2024-12-20T00:00:00"/>
    <n v="5"/>
    <n v="268.97789999999998"/>
    <n v="724.28"/>
    <n v="9"/>
    <n v="369.46899999999999"/>
    <n v="14"/>
  </r>
  <r>
    <s v="Brand ABC TDM"/>
    <x v="2"/>
    <x v="2"/>
    <s v="Shorts"/>
    <s v="A1B3L-BB2J"/>
    <s v="Sport"/>
    <s v="S"/>
    <x v="2"/>
    <d v="2024-11-09T00:00:00"/>
    <d v="2024-12-10T00:00:00"/>
    <n v="0"/>
    <n v="0"/>
    <n v="0"/>
    <n v="7"/>
    <n v="372.33839999999998"/>
    <n v="7"/>
  </r>
  <r>
    <s v="Brand ABC TDM"/>
    <x v="2"/>
    <x v="2"/>
    <s v="Shorts"/>
    <s v="A1B3L-BB2J"/>
    <s v="Sport"/>
    <s v="XL"/>
    <x v="2"/>
    <d v="2024-11-09T00:00:00"/>
    <d v="2024-12-03T00:00:00"/>
    <n v="1"/>
    <n v="53.780299999999997"/>
    <n v="160.94999999999999"/>
    <n v="1"/>
    <n v="53.780299999999997"/>
    <n v="2"/>
  </r>
  <r>
    <s v="Brand ABC TDM"/>
    <x v="2"/>
    <x v="2"/>
    <s v="Shorts"/>
    <s v="A1B3L-BB2J"/>
    <s v="Sport"/>
    <s v="XS"/>
    <x v="2"/>
    <d v="2024-11-09T00:00:00"/>
    <d v="2024-12-04T00:00:00"/>
    <n v="0"/>
    <n v="0"/>
    <n v="0"/>
    <n v="4"/>
    <n v="211.9624"/>
    <n v="4"/>
  </r>
  <r>
    <s v="Brand ABC TDM"/>
    <x v="2"/>
    <x v="2"/>
    <s v="Shorts"/>
    <s v="A1B3L-ECV5"/>
    <s v="Sport"/>
    <s v="L"/>
    <x v="1"/>
    <d v="2024-10-28T00:00:00"/>
    <d v="2024-10-28T00:00:00"/>
    <n v="0"/>
    <n v="0"/>
    <n v="0"/>
    <n v="6"/>
    <n v="307.93560000000002"/>
    <n v="6"/>
  </r>
  <r>
    <s v="Brand ABC TDM"/>
    <x v="2"/>
    <x v="2"/>
    <s v="Shorts"/>
    <s v="A1B3L-ECV5"/>
    <s v="Sport"/>
    <s v="M"/>
    <x v="1"/>
    <d v="2024-10-28T00:00:00"/>
    <d v="2024-12-11T00:00:00"/>
    <n v="2"/>
    <n v="103.0265"/>
    <n v="289.72000000000003"/>
    <n v="7"/>
    <n v="364.2149"/>
    <n v="9"/>
  </r>
  <r>
    <s v="Brand ABC TDM"/>
    <x v="2"/>
    <x v="2"/>
    <s v="Shorts"/>
    <s v="A1B3L-ECV5"/>
    <s v="Sport"/>
    <s v="S"/>
    <x v="1"/>
    <d v="2024-10-28T00:00:00"/>
    <d v="2024-12-20T00:00:00"/>
    <n v="0"/>
    <n v="0"/>
    <n v="0"/>
    <n v="5"/>
    <n v="256.613"/>
    <n v="5"/>
  </r>
  <r>
    <s v="Brand ABC TDM"/>
    <x v="2"/>
    <x v="2"/>
    <s v="Shorts"/>
    <s v="A1B3L-ECV5"/>
    <s v="Sport"/>
    <s v="XL"/>
    <x v="1"/>
    <d v="2024-10-28T00:00:00"/>
    <d v="2024-12-17T00:00:00"/>
    <n v="0"/>
    <n v="0"/>
    <n v="0"/>
    <n v="3"/>
    <n v="153.96780000000001"/>
    <n v="3"/>
  </r>
  <r>
    <s v="Brand ABC TDM"/>
    <x v="2"/>
    <x v="2"/>
    <s v="Shorts"/>
    <s v="A1B3L-ECV5"/>
    <s v="Sport"/>
    <s v="XS"/>
    <x v="1"/>
    <d v="2024-10-28T00:00:00"/>
    <d v="2024-10-28T00:00:00"/>
    <n v="0"/>
    <n v="0"/>
    <n v="0"/>
    <n v="3"/>
    <n v="153.96780000000001"/>
    <n v="3"/>
  </r>
  <r>
    <s v="Brand ABC TDM"/>
    <x v="2"/>
    <x v="2"/>
    <s v="Shorts"/>
    <s v="A1B3L-GB7X"/>
    <s v="Sport"/>
    <s v="L"/>
    <x v="2"/>
    <d v="2024-10-26T00:00:00"/>
    <d v="2024-12-20T00:00:00"/>
    <n v="2"/>
    <n v="107.14490000000001"/>
    <n v="289.70999999999998"/>
    <n v="8"/>
    <n v="429.19439999999997"/>
    <n v="10"/>
  </r>
  <r>
    <s v="Brand ABC TDM"/>
    <x v="2"/>
    <x v="2"/>
    <s v="Shorts"/>
    <s v="A1B3L-GB7X"/>
    <s v="Sport"/>
    <s v="M"/>
    <x v="2"/>
    <d v="2024-10-26T00:00:00"/>
    <d v="2024-12-20T00:00:00"/>
    <n v="1"/>
    <n v="53.507199999999997"/>
    <n v="160.94999999999999"/>
    <n v="9"/>
    <n v="481.56479999999999"/>
    <n v="10"/>
  </r>
  <r>
    <s v="Brand ABC TDM"/>
    <x v="2"/>
    <x v="2"/>
    <s v="Shorts"/>
    <s v="A1B3L-GB7X"/>
    <s v="Sport"/>
    <s v="S"/>
    <x v="2"/>
    <d v="2024-10-26T00:00:00"/>
    <d v="2024-12-10T00:00:00"/>
    <n v="0"/>
    <n v="0"/>
    <n v="0"/>
    <n v="7"/>
    <n v="369.29689999999999"/>
    <n v="7"/>
  </r>
  <r>
    <s v="Brand ABC TDM"/>
    <x v="2"/>
    <x v="2"/>
    <s v="Shorts"/>
    <s v="A1B3L-GB7X"/>
    <s v="Sport"/>
    <s v="XL"/>
    <x v="2"/>
    <d v="2024-10-26T00:00:00"/>
    <d v="2024-12-10T00:00:00"/>
    <n v="0"/>
    <n v="0"/>
    <n v="0"/>
    <n v="4"/>
    <n v="215.96559999999999"/>
    <n v="4"/>
  </r>
  <r>
    <s v="Brand ABC TDM"/>
    <x v="2"/>
    <x v="2"/>
    <s v="Shorts"/>
    <s v="A1B3L-GB7X"/>
    <s v="Sport"/>
    <s v="XS"/>
    <x v="2"/>
    <d v="2024-10-26T00:00:00"/>
    <d v="2024-10-26T00:00:00"/>
    <n v="0"/>
    <n v="0"/>
    <n v="0"/>
    <n v="4"/>
    <n v="205.29040000000001"/>
    <n v="4"/>
  </r>
  <r>
    <s v="Brand ABC TDM"/>
    <x v="2"/>
    <x v="2"/>
    <s v="Shorts"/>
    <s v="A1B3L-NCRB"/>
    <s v="Sport"/>
    <s v="L"/>
    <x v="1"/>
    <d v="2024-10-26T00:00:00"/>
    <d v="2024-12-21T00:00:00"/>
    <n v="31"/>
    <n v="1628.0237999999999"/>
    <n v="4506.62"/>
    <n v="10"/>
    <n v="538.04"/>
    <n v="41"/>
  </r>
  <r>
    <s v="Brand ABC TDM"/>
    <x v="2"/>
    <x v="2"/>
    <s v="Shorts"/>
    <s v="A1B3L-NCRB"/>
    <s v="Sport"/>
    <s v="M"/>
    <x v="1"/>
    <d v="2024-10-26T00:00:00"/>
    <d v="2024-12-21T00:00:00"/>
    <n v="36"/>
    <n v="1883.8641"/>
    <n v="5255.08"/>
    <n v="12"/>
    <n v="643.67160000000001"/>
    <n v="48"/>
  </r>
  <r>
    <s v="Brand ABC TDM"/>
    <x v="2"/>
    <x v="2"/>
    <s v="Shorts"/>
    <s v="A1B3L-NCRB"/>
    <s v="Sport"/>
    <s v="S"/>
    <x v="1"/>
    <d v="2024-10-26T00:00:00"/>
    <d v="2024-12-21T00:00:00"/>
    <n v="17"/>
    <n v="880.54729999999995"/>
    <n v="2462.5700000000002"/>
    <n v="8"/>
    <n v="423.86799999999999"/>
    <n v="25"/>
  </r>
  <r>
    <s v="Brand ABC TDM"/>
    <x v="2"/>
    <x v="2"/>
    <s v="Shorts"/>
    <s v="A1B3L-NCRB"/>
    <s v="Sport"/>
    <s v="XL"/>
    <x v="1"/>
    <d v="2024-10-26T00:00:00"/>
    <d v="2024-12-21T00:00:00"/>
    <n v="8"/>
    <n v="421.25599999999997"/>
    <n v="1158.8599999999999"/>
    <n v="3"/>
    <n v="161.9742"/>
    <n v="11"/>
  </r>
  <r>
    <s v="Brand ABC TDM"/>
    <x v="2"/>
    <x v="2"/>
    <s v="Shorts"/>
    <s v="A1B3L-NCRB"/>
    <s v="Sport"/>
    <s v="XS"/>
    <x v="1"/>
    <d v="2024-10-26T00:00:00"/>
    <d v="2024-12-17T00:00:00"/>
    <n v="2"/>
    <n v="102.6452"/>
    <n v="289.72000000000003"/>
    <n v="5"/>
    <n v="256.613"/>
    <n v="7"/>
  </r>
  <r>
    <s v="Brand ABC TDM"/>
    <x v="2"/>
    <x v="2"/>
    <s v="Shorts"/>
    <s v="A1B3L-TBRL"/>
    <s v="Sport"/>
    <s v="L"/>
    <x v="1"/>
    <d v="2024-10-28T00:00:00"/>
    <d v="2024-10-28T00:00:00"/>
    <n v="0"/>
    <n v="0"/>
    <n v="0"/>
    <n v="6"/>
    <n v="307.93560000000002"/>
    <n v="6"/>
  </r>
  <r>
    <s v="Brand ABC TDM"/>
    <x v="2"/>
    <x v="2"/>
    <s v="Shorts"/>
    <s v="A1B3L-TBRL"/>
    <s v="Sport"/>
    <s v="M"/>
    <x v="1"/>
    <d v="2024-10-28T00:00:00"/>
    <d v="2024-10-28T00:00:00"/>
    <n v="0"/>
    <n v="0"/>
    <n v="0"/>
    <n v="7"/>
    <n v="359.25819999999999"/>
    <n v="7"/>
  </r>
  <r>
    <s v="Brand ABC TDM"/>
    <x v="2"/>
    <x v="2"/>
    <s v="Shorts"/>
    <s v="A1B3L-TBRL"/>
    <s v="Sport"/>
    <s v="S"/>
    <x v="1"/>
    <d v="2024-10-28T00:00:00"/>
    <d v="2024-10-28T00:00:00"/>
    <n v="0"/>
    <n v="0"/>
    <n v="0"/>
    <n v="5"/>
    <n v="256.613"/>
    <n v="5"/>
  </r>
  <r>
    <s v="Brand ABC TDM"/>
    <x v="2"/>
    <x v="2"/>
    <s v="Shorts"/>
    <s v="A1B3L-TBRL"/>
    <s v="Sport"/>
    <s v="XL"/>
    <x v="1"/>
    <d v="2024-10-28T00:00:00"/>
    <d v="2024-10-28T00:00:00"/>
    <n v="0"/>
    <n v="0"/>
    <n v="0"/>
    <n v="3"/>
    <n v="153.96780000000001"/>
    <n v="3"/>
  </r>
  <r>
    <s v="Brand ABC TDM"/>
    <x v="2"/>
    <x v="2"/>
    <s v="Shorts"/>
    <s v="A1B3L-TBRL"/>
    <s v="Sport"/>
    <s v="XS"/>
    <x v="1"/>
    <d v="2024-10-28T00:00:00"/>
    <d v="2024-10-28T00:00:00"/>
    <n v="0"/>
    <n v="0"/>
    <n v="0"/>
    <n v="3"/>
    <n v="153.96780000000001"/>
    <n v="3"/>
  </r>
  <r>
    <s v="Brand ABC TDM"/>
    <x v="2"/>
    <x v="2"/>
    <s v="Shorts"/>
    <s v="A1B3M-BB2J"/>
    <s v="Sport"/>
    <s v="L"/>
    <x v="2"/>
    <d v="2024-11-09T00:00:00"/>
    <d v="2024-11-26T00:00:00"/>
    <n v="0"/>
    <n v="0"/>
    <n v="0"/>
    <n v="8"/>
    <n v="417.92"/>
    <n v="8"/>
  </r>
  <r>
    <s v="Brand ABC TDM"/>
    <x v="2"/>
    <x v="2"/>
    <s v="Shorts"/>
    <s v="A1B3M-BB2J"/>
    <s v="Sport"/>
    <s v="M"/>
    <x v="2"/>
    <d v="2024-11-09T00:00:00"/>
    <d v="2024-11-27T00:00:00"/>
    <n v="0"/>
    <n v="0"/>
    <n v="0"/>
    <n v="10"/>
    <n v="527.80899999999997"/>
    <n v="10"/>
  </r>
  <r>
    <s v="Brand ABC TDM"/>
    <x v="2"/>
    <x v="2"/>
    <s v="Shorts"/>
    <s v="A1B3M-BB2J"/>
    <s v="Sport"/>
    <s v="S"/>
    <x v="2"/>
    <d v="2024-11-09T00:00:00"/>
    <d v="2024-11-25T00:00:00"/>
    <n v="0"/>
    <n v="0"/>
    <n v="0"/>
    <n v="8"/>
    <n v="420.72719999999998"/>
    <n v="8"/>
  </r>
  <r>
    <s v="Brand ABC TDM"/>
    <x v="2"/>
    <x v="2"/>
    <s v="Shorts"/>
    <s v="A1B3M-BB2J"/>
    <s v="Sport"/>
    <s v="XL"/>
    <x v="2"/>
    <d v="2024-11-09T00:00:00"/>
    <d v="2024-12-10T00:00:00"/>
    <n v="0"/>
    <n v="0"/>
    <n v="0"/>
    <n v="2"/>
    <n v="105.31399999999999"/>
    <n v="2"/>
  </r>
  <r>
    <s v="Brand ABC TDM"/>
    <x v="2"/>
    <x v="2"/>
    <s v="Shorts"/>
    <s v="A1B3M-BB2J"/>
    <s v="Sport"/>
    <s v="XS"/>
    <x v="2"/>
    <d v="2024-11-09T00:00:00"/>
    <d v="2024-11-09T00:00:00"/>
    <n v="0"/>
    <n v="0"/>
    <n v="0"/>
    <n v="4"/>
    <n v="205.29040000000001"/>
    <n v="4"/>
  </r>
  <r>
    <s v="Brand ABC TDM"/>
    <x v="2"/>
    <x v="2"/>
    <s v="Shorts"/>
    <s v="A1B3M-GB7X"/>
    <s v="Sport"/>
    <s v="L"/>
    <x v="2"/>
    <d v="2024-10-26T00:00:00"/>
    <d v="2024-11-21T00:00:00"/>
    <n v="0"/>
    <n v="0"/>
    <n v="0"/>
    <n v="8"/>
    <n v="413.24959999999999"/>
    <n v="8"/>
  </r>
  <r>
    <s v="Brand ABC TDM"/>
    <x v="2"/>
    <x v="2"/>
    <s v="Shorts"/>
    <s v="A1B3M-GB7X"/>
    <s v="Sport"/>
    <s v="M"/>
    <x v="2"/>
    <d v="2024-10-26T00:00:00"/>
    <d v="2024-12-09T00:00:00"/>
    <n v="0"/>
    <n v="0"/>
    <n v="0"/>
    <n v="10"/>
    <n v="527.30700000000002"/>
    <n v="10"/>
  </r>
  <r>
    <s v="Brand ABC TDM"/>
    <x v="2"/>
    <x v="2"/>
    <s v="Shorts"/>
    <s v="A1B3M-GB7X"/>
    <s v="Sport"/>
    <s v="S"/>
    <x v="2"/>
    <d v="2024-10-26T00:00:00"/>
    <d v="2024-12-04T00:00:00"/>
    <n v="0"/>
    <n v="0"/>
    <n v="0"/>
    <n v="7"/>
    <n v="364.2149"/>
    <n v="7"/>
  </r>
  <r>
    <s v="Brand ABC TDM"/>
    <x v="2"/>
    <x v="2"/>
    <s v="Shorts"/>
    <s v="A1B3M-GB7X"/>
    <s v="Sport"/>
    <s v="XL"/>
    <x v="2"/>
    <d v="2024-10-26T00:00:00"/>
    <d v="2024-12-10T00:00:00"/>
    <n v="0"/>
    <n v="0"/>
    <n v="0"/>
    <n v="4"/>
    <n v="213.964"/>
    <n v="4"/>
  </r>
  <r>
    <s v="Brand ABC TDM"/>
    <x v="2"/>
    <x v="2"/>
    <s v="Shorts"/>
    <s v="A1B3M-GB7X"/>
    <s v="Sport"/>
    <s v="XS"/>
    <x v="2"/>
    <d v="2024-10-26T00:00:00"/>
    <d v="2024-11-22T00:00:00"/>
    <n v="0"/>
    <n v="0"/>
    <n v="0"/>
    <n v="5"/>
    <n v="259.94900000000001"/>
    <n v="5"/>
  </r>
  <r>
    <s v="Brand ABC TDM"/>
    <x v="2"/>
    <x v="2"/>
    <s v="Shorts"/>
    <s v="A2A1L-BBBB"/>
    <s v="Arrival"/>
    <s v="L"/>
    <x v="0"/>
    <d v="2024-10-28T00:00:00"/>
    <d v="2024-12-17T00:00:00"/>
    <n v="15"/>
    <n v="635.67079999999999"/>
    <n v="1541.25"/>
    <n v="6"/>
    <n v="258.57240000000002"/>
    <n v="21"/>
  </r>
  <r>
    <s v="Brand ABC TDM"/>
    <x v="2"/>
    <x v="2"/>
    <s v="Shorts"/>
    <s v="A2A1L-BBBB"/>
    <s v="Arrival"/>
    <s v="M"/>
    <x v="0"/>
    <d v="2024-10-28T00:00:00"/>
    <d v="2024-12-21T00:00:00"/>
    <n v="22"/>
    <n v="935.34280000000001"/>
    <n v="2255.33"/>
    <n v="5"/>
    <n v="215.60300000000001"/>
    <n v="27"/>
  </r>
  <r>
    <s v="Brand ABC TDM"/>
    <x v="2"/>
    <x v="2"/>
    <s v="Shorts"/>
    <s v="A2A1L-BBBB"/>
    <s v="Arrival"/>
    <s v="S"/>
    <x v="0"/>
    <d v="2024-10-28T00:00:00"/>
    <d v="2024-12-21T00:00:00"/>
    <n v="10"/>
    <n v="422.2629"/>
    <n v="1054"/>
    <n v="4"/>
    <n v="171.76480000000001"/>
    <n v="14"/>
  </r>
  <r>
    <s v="Brand ABC TDM"/>
    <x v="2"/>
    <x v="2"/>
    <s v="Shorts"/>
    <s v="A2A1L-BBBB"/>
    <s v="Arrival"/>
    <s v="XS"/>
    <x v="0"/>
    <d v="2024-10-28T00:00:00"/>
    <d v="2024-12-18T00:00:00"/>
    <n v="2"/>
    <n v="82.827699999999993"/>
    <n v="215.33"/>
    <n v="3"/>
    <n v="126.7323"/>
    <n v="5"/>
  </r>
  <r>
    <s v="Brand ABC TDM"/>
    <x v="2"/>
    <x v="2"/>
    <s v="Shorts"/>
    <s v="A2A1L-ECJQ"/>
    <s v="Arrival"/>
    <s v="L"/>
    <x v="0"/>
    <d v="2024-10-28T00:00:00"/>
    <d v="2024-12-04T00:00:00"/>
    <n v="2"/>
    <n v="82.543199999999999"/>
    <n v="204"/>
    <n v="6"/>
    <n v="250.61879999999999"/>
    <n v="8"/>
  </r>
  <r>
    <s v="Brand ABC TDM"/>
    <x v="2"/>
    <x v="2"/>
    <s v="Shorts"/>
    <s v="A2A1L-ECJQ"/>
    <s v="Arrival"/>
    <s v="M"/>
    <x v="0"/>
    <d v="2024-10-28T00:00:00"/>
    <d v="2024-12-17T00:00:00"/>
    <n v="1"/>
    <n v="41.058100000000003"/>
    <n v="102"/>
    <n v="7"/>
    <n v="289.54169999999999"/>
    <n v="8"/>
  </r>
  <r>
    <s v="Brand ABC TDM"/>
    <x v="2"/>
    <x v="2"/>
    <s v="Shorts"/>
    <s v="A2A1L-ECJQ"/>
    <s v="Arrival"/>
    <s v="S"/>
    <x v="0"/>
    <d v="2024-10-28T00:00:00"/>
    <d v="2024-12-04T00:00:00"/>
    <n v="1"/>
    <n v="41.058100000000003"/>
    <n v="102"/>
    <n v="5"/>
    <n v="207.4255"/>
    <n v="6"/>
  </r>
  <r>
    <s v="Brand ABC TDM"/>
    <x v="2"/>
    <x v="2"/>
    <s v="Shorts"/>
    <s v="A2A1L-ECJQ"/>
    <s v="Arrival"/>
    <s v="XL"/>
    <x v="0"/>
    <d v="2024-10-28T00:00:00"/>
    <d v="2024-10-28T00:00:00"/>
    <n v="0"/>
    <n v="0"/>
    <n v="0"/>
    <n v="3"/>
    <n v="123.1743"/>
    <n v="3"/>
  </r>
  <r>
    <s v="Brand ABC TDM"/>
    <x v="2"/>
    <x v="2"/>
    <s v="Shorts"/>
    <s v="A2A1L-ECJQ"/>
    <s v="Arrival"/>
    <s v="XS"/>
    <x v="0"/>
    <d v="2024-10-28T00:00:00"/>
    <d v="2024-10-28T00:00:00"/>
    <n v="0"/>
    <n v="0"/>
    <n v="0"/>
    <n v="2"/>
    <n v="82.116200000000006"/>
    <n v="2"/>
  </r>
  <r>
    <s v="Brand ABC TDM"/>
    <x v="2"/>
    <x v="2"/>
    <s v="Shorts"/>
    <s v="A2A1L-RBS6"/>
    <s v="Arrival"/>
    <s v="S"/>
    <x v="0"/>
    <d v="2024-10-28T00:00:00"/>
    <d v="2024-11-29T00:00:00"/>
    <n v="1"/>
    <n v="41.058"/>
    <n v="102"/>
    <n v="0"/>
    <n v="0"/>
    <n v="1"/>
  </r>
  <r>
    <s v="Brand ABC TDM"/>
    <x v="2"/>
    <x v="2"/>
    <s v="Shorts"/>
    <s v="A2A1M-KB7D"/>
    <s v="Arrival"/>
    <s v="L"/>
    <x v="1"/>
    <d v="2024-10-28T00:00:00"/>
    <d v="2024-12-21T00:00:00"/>
    <n v="10"/>
    <n v="386.14789999999999"/>
    <n v="1053.99"/>
    <n v="6"/>
    <n v="236.0532"/>
    <n v="16"/>
  </r>
  <r>
    <s v="Brand ABC TDM"/>
    <x v="2"/>
    <x v="2"/>
    <s v="Shorts"/>
    <s v="A2A1M-KB7D"/>
    <s v="Arrival"/>
    <s v="M"/>
    <x v="1"/>
    <d v="2024-10-28T00:00:00"/>
    <d v="2024-12-21T00:00:00"/>
    <n v="14"/>
    <n v="542.18730000000005"/>
    <n v="1428"/>
    <n v="6"/>
    <n v="236.54339999999999"/>
    <n v="20"/>
  </r>
  <r>
    <s v="Brand ABC TDM"/>
    <x v="2"/>
    <x v="2"/>
    <s v="Shorts"/>
    <s v="A2A1M-KB7D"/>
    <s v="Arrival"/>
    <s v="S"/>
    <x v="1"/>
    <d v="2024-10-28T00:00:00"/>
    <d v="2024-12-20T00:00:00"/>
    <n v="2"/>
    <n v="75.719899999999996"/>
    <n v="215.33"/>
    <n v="5"/>
    <n v="191.846"/>
    <n v="7"/>
  </r>
  <r>
    <s v="Brand ABC TDM"/>
    <x v="2"/>
    <x v="2"/>
    <s v="Shorts"/>
    <s v="A2A1M-KB7D"/>
    <s v="Arrival"/>
    <s v="XL"/>
    <x v="1"/>
    <d v="2024-10-28T00:00:00"/>
    <d v="2024-11-26T00:00:00"/>
    <n v="4"/>
    <n v="152.61240000000001"/>
    <n v="408"/>
    <n v="0"/>
    <n v="0"/>
    <n v="4"/>
  </r>
  <r>
    <s v="Brand ABC TDM"/>
    <x v="2"/>
    <x v="2"/>
    <s v="Shorts"/>
    <s v="A2A1M-KB7D"/>
    <s v="Arrival"/>
    <s v="XS"/>
    <x v="1"/>
    <d v="2024-10-28T00:00:00"/>
    <d v="2024-12-17T00:00:00"/>
    <n v="1"/>
    <n v="37.663499999999999"/>
    <n v="102"/>
    <n v="3"/>
    <n v="114.94889999999999"/>
    <n v="4"/>
  </r>
  <r>
    <s v="Brand ABC TDM"/>
    <x v="2"/>
    <x v="2"/>
    <s v="Shorts"/>
    <s v="A2A1M-WBBM"/>
    <s v="Arrival"/>
    <s v="L"/>
    <x v="0"/>
    <d v="2024-10-28T00:00:00"/>
    <d v="2024-12-21T00:00:00"/>
    <n v="8"/>
    <n v="320.4391"/>
    <n v="815.9"/>
    <n v="6"/>
    <n v="245.39519999999999"/>
    <n v="14"/>
  </r>
  <r>
    <s v="Brand ABC TDM"/>
    <x v="2"/>
    <x v="2"/>
    <s v="Shorts"/>
    <s v="A2A1M-WBBM"/>
    <s v="Arrival"/>
    <s v="M"/>
    <x v="0"/>
    <d v="2024-10-28T00:00:00"/>
    <d v="2024-12-21T00:00:00"/>
    <n v="14"/>
    <n v="548.08240000000001"/>
    <n v="1439.34"/>
    <n v="8"/>
    <n v="318.99200000000002"/>
    <n v="22"/>
  </r>
  <r>
    <s v="Brand ABC TDM"/>
    <x v="2"/>
    <x v="2"/>
    <s v="Shorts"/>
    <s v="A2A1M-WBBM"/>
    <s v="Arrival"/>
    <s v="S"/>
    <x v="0"/>
    <d v="2024-10-28T00:00:00"/>
    <d v="2024-12-21T00:00:00"/>
    <n v="8"/>
    <n v="309.22789999999998"/>
    <n v="804.67"/>
    <n v="5"/>
    <n v="197.12350000000001"/>
    <n v="13"/>
  </r>
  <r>
    <s v="Brand ABC TDM"/>
    <x v="2"/>
    <x v="2"/>
    <s v="Shorts"/>
    <s v="A2A1M-WBBM"/>
    <s v="Arrival"/>
    <s v="XL"/>
    <x v="0"/>
    <d v="2024-10-28T00:00:00"/>
    <d v="2024-12-11T00:00:00"/>
    <n v="6"/>
    <n v="240.0839"/>
    <n v="612"/>
    <n v="3"/>
    <n v="120.7251"/>
    <n v="9"/>
  </r>
  <r>
    <s v="Brand ABC TDM"/>
    <x v="2"/>
    <x v="2"/>
    <s v="Shorts"/>
    <s v="A2A1M-WBBM"/>
    <s v="Arrival"/>
    <s v="XS"/>
    <x v="0"/>
    <d v="2024-10-28T00:00:00"/>
    <d v="2024-12-17T00:00:00"/>
    <n v="0"/>
    <n v="0"/>
    <n v="0"/>
    <n v="3"/>
    <n v="112.9905"/>
    <n v="3"/>
  </r>
  <r>
    <s v="Brand ABC TDM"/>
    <x v="2"/>
    <x v="2"/>
    <s v="Shorts"/>
    <s v="A4A8K-GB8N"/>
    <s v="Power"/>
    <s v="L"/>
    <x v="0"/>
    <d v="2024-05-20T00:00:00"/>
    <d v="2024-11-21T00:00:00"/>
    <n v="21"/>
    <n v="1318.9469999999999"/>
    <n v="3563.02"/>
    <n v="0"/>
    <n v="0"/>
    <n v="21"/>
  </r>
  <r>
    <s v="Brand ABC TDM"/>
    <x v="2"/>
    <x v="2"/>
    <s v="Shorts"/>
    <s v="A4A8K-GB8N"/>
    <s v="Power"/>
    <s v="M"/>
    <x v="0"/>
    <d v="2024-05-20T00:00:00"/>
    <d v="2024-11-21T00:00:00"/>
    <n v="23"/>
    <n v="1433.9366"/>
    <n v="3998.95"/>
    <n v="2"/>
    <n v="128.15559999999999"/>
    <n v="25"/>
  </r>
  <r>
    <s v="Brand ABC TDM"/>
    <x v="2"/>
    <x v="2"/>
    <s v="Shorts"/>
    <s v="A4A8K-GB8N"/>
    <s v="Power"/>
    <s v="S"/>
    <x v="0"/>
    <d v="2024-05-20T00:00:00"/>
    <d v="2024-11-21T00:00:00"/>
    <n v="11"/>
    <n v="690.26700000000005"/>
    <n v="1895.24"/>
    <n v="3"/>
    <n v="194.36850000000001"/>
    <n v="14"/>
  </r>
  <r>
    <s v="Brand ABC TDM"/>
    <x v="2"/>
    <x v="2"/>
    <s v="Shorts"/>
    <s v="A4A8K-GB8N"/>
    <s v="Power"/>
    <s v="XL"/>
    <x v="0"/>
    <d v="2024-05-20T00:00:00"/>
    <d v="2024-11-12T00:00:00"/>
    <n v="5"/>
    <n v="307.935"/>
    <n v="852.85"/>
    <n v="0"/>
    <n v="0"/>
    <n v="5"/>
  </r>
  <r>
    <s v="Brand ABC TDM"/>
    <x v="2"/>
    <x v="2"/>
    <s v="Shorts"/>
    <s v="A4A8K-GB8N"/>
    <s v="Power"/>
    <s v="XS"/>
    <x v="0"/>
    <d v="2024-05-20T00:00:00"/>
    <d v="2024-11-21T00:00:00"/>
    <n v="4"/>
    <n v="246.34800000000001"/>
    <n v="644.38"/>
    <n v="2"/>
    <n v="129.57900000000001"/>
    <n v="6"/>
  </r>
  <r>
    <s v="Brand ABC TDM"/>
    <x v="2"/>
    <x v="2"/>
    <s v="Shorts"/>
    <s v="A4A8K-GCWD"/>
    <s v="Heritage"/>
    <s v="L"/>
    <x v="1"/>
    <d v="2024-10-26T00:00:00"/>
    <d v="2024-11-14T00:00:00"/>
    <n v="8"/>
    <n v="492.69600000000003"/>
    <n v="1383.53"/>
    <n v="0"/>
    <n v="0"/>
    <n v="8"/>
  </r>
  <r>
    <s v="Brand ABC TDM"/>
    <x v="2"/>
    <x v="2"/>
    <s v="Shorts"/>
    <s v="A4A8K-GCWD"/>
    <s v="Heritage"/>
    <s v="M"/>
    <x v="1"/>
    <d v="2024-10-25T00:00:00"/>
    <d v="2024-11-14T00:00:00"/>
    <n v="11"/>
    <n v="677.45699999999999"/>
    <n v="1876.27"/>
    <n v="1"/>
    <n v="61.587000000000003"/>
    <n v="12"/>
  </r>
  <r>
    <s v="Brand ABC TDM"/>
    <x v="2"/>
    <x v="2"/>
    <s v="Shorts"/>
    <s v="A4A8K-GCWD"/>
    <s v="Heritage"/>
    <s v="S"/>
    <x v="1"/>
    <d v="2024-10-26T00:00:00"/>
    <d v="2024-11-15T00:00:00"/>
    <n v="8"/>
    <n v="492.69600000000003"/>
    <n v="1364.59"/>
    <n v="0"/>
    <n v="0"/>
    <n v="8"/>
  </r>
  <r>
    <s v="Brand ABC TDM"/>
    <x v="2"/>
    <x v="2"/>
    <s v="Shorts"/>
    <s v="A4A8K-GCWD"/>
    <s v="Heritage"/>
    <s v="XL"/>
    <x v="1"/>
    <d v="2024-10-26T00:00:00"/>
    <d v="2024-10-26T00:00:00"/>
    <n v="3"/>
    <n v="184.761"/>
    <n v="511.73"/>
    <n v="0"/>
    <n v="0"/>
    <n v="3"/>
  </r>
  <r>
    <s v="Brand ABC TDM"/>
    <x v="2"/>
    <x v="2"/>
    <s v="Shorts"/>
    <s v="A4A8K-GCWD"/>
    <s v="Heritage"/>
    <s v="XS"/>
    <x v="1"/>
    <d v="2024-10-25T00:00:00"/>
    <d v="2024-11-15T00:00:00"/>
    <n v="4"/>
    <n v="246.34800000000001"/>
    <n v="682.28"/>
    <n v="0"/>
    <n v="0"/>
    <n v="4"/>
  </r>
  <r>
    <s v="Brand ABC TDM"/>
    <x v="2"/>
    <x v="2"/>
    <s v="Shorts"/>
    <s v="A4A8K-PBVT"/>
    <s v="Power"/>
    <s v="L"/>
    <x v="3"/>
    <d v="2024-10-28T00:00:00"/>
    <d v="2024-12-17T00:00:00"/>
    <n v="4"/>
    <n v="249.29429999999999"/>
    <n v="720.2"/>
    <n v="4"/>
    <n v="253.00919999999999"/>
    <n v="8"/>
  </r>
  <r>
    <s v="Brand ABC TDM"/>
    <x v="2"/>
    <x v="2"/>
    <s v="Shorts"/>
    <s v="A4A8K-PBVT"/>
    <s v="Power"/>
    <s v="M"/>
    <x v="3"/>
    <d v="2024-10-28T00:00:00"/>
    <d v="2024-12-21T00:00:00"/>
    <n v="4"/>
    <n v="249.2097"/>
    <n v="701.24"/>
    <n v="6"/>
    <n v="379.47120000000001"/>
    <n v="10"/>
  </r>
  <r>
    <s v="Brand ABC TDM"/>
    <x v="2"/>
    <x v="2"/>
    <s v="Shorts"/>
    <s v="A4A8K-PBVT"/>
    <s v="Power"/>
    <s v="S"/>
    <x v="3"/>
    <d v="2024-10-28T00:00:00"/>
    <d v="2024-12-17T00:00:00"/>
    <n v="0"/>
    <n v="0"/>
    <n v="0"/>
    <n v="4"/>
    <n v="246.34800000000001"/>
    <n v="4"/>
  </r>
  <r>
    <s v="Brand ABC TDM"/>
    <x v="2"/>
    <x v="2"/>
    <s v="Shorts"/>
    <s v="A4A8K-PBVT"/>
    <s v="Power"/>
    <s v="XL"/>
    <x v="3"/>
    <d v="2024-10-28T00:00:00"/>
    <d v="2024-10-28T00:00:00"/>
    <n v="0"/>
    <n v="0"/>
    <n v="0"/>
    <n v="2"/>
    <n v="123.17400000000001"/>
    <n v="2"/>
  </r>
  <r>
    <s v="Brand ABC TDM"/>
    <x v="2"/>
    <x v="2"/>
    <s v="Shorts"/>
    <s v="A4A8K-PBVT"/>
    <s v="Power"/>
    <s v="XS"/>
    <x v="3"/>
    <d v="2024-10-28T00:00:00"/>
    <d v="2024-10-28T00:00:00"/>
    <n v="0"/>
    <n v="0"/>
    <n v="0"/>
    <n v="1"/>
    <n v="61.587000000000003"/>
    <n v="1"/>
  </r>
  <r>
    <s v="Brand ABC TDM"/>
    <x v="2"/>
    <x v="2"/>
    <s v="Shorts"/>
    <s v="A4A8K-UCMS"/>
    <s v="Power"/>
    <s v="L"/>
    <x v="0"/>
    <d v="2024-10-26T00:00:00"/>
    <d v="2024-11-15T00:00:00"/>
    <n v="8"/>
    <n v="492.69600000000003"/>
    <n v="1383.54"/>
    <n v="0"/>
    <n v="0"/>
    <n v="8"/>
  </r>
  <r>
    <s v="Brand ABC TDM"/>
    <x v="2"/>
    <x v="2"/>
    <s v="Shorts"/>
    <s v="A4A8K-UCMS"/>
    <s v="Power"/>
    <s v="M"/>
    <x v="0"/>
    <d v="2024-10-26T00:00:00"/>
    <d v="2024-11-14T00:00:00"/>
    <n v="8"/>
    <n v="492.69600000000003"/>
    <n v="1383.56"/>
    <n v="1"/>
    <n v="61.587000000000003"/>
    <n v="9"/>
  </r>
  <r>
    <s v="Brand ABC TDM"/>
    <x v="2"/>
    <x v="2"/>
    <s v="Shorts"/>
    <s v="A4A8K-UCMS"/>
    <s v="Power"/>
    <s v="S"/>
    <x v="0"/>
    <d v="2024-10-26T00:00:00"/>
    <d v="2024-11-12T00:00:00"/>
    <n v="5"/>
    <n v="307.935"/>
    <n v="852.86"/>
    <n v="0"/>
    <n v="0"/>
    <n v="5"/>
  </r>
  <r>
    <s v="Brand ABC TDM"/>
    <x v="2"/>
    <x v="2"/>
    <s v="Shorts"/>
    <s v="A4A8K-UCMS"/>
    <s v="Power"/>
    <s v="XL"/>
    <x v="0"/>
    <d v="2024-10-26T00:00:00"/>
    <d v="2024-11-13T00:00:00"/>
    <n v="5"/>
    <n v="307.935"/>
    <n v="852.85"/>
    <n v="0"/>
    <n v="0"/>
    <n v="5"/>
  </r>
  <r>
    <s v="Brand ABC TDM"/>
    <x v="2"/>
    <x v="2"/>
    <s v="Shorts"/>
    <s v="A4A8K-UCMS"/>
    <s v="Power"/>
    <s v="XS"/>
    <x v="0"/>
    <d v="2024-10-25T00:00:00"/>
    <d v="2024-10-25T00:00:00"/>
    <n v="1"/>
    <n v="61.587000000000003"/>
    <n v="170.57"/>
    <n v="0"/>
    <n v="0"/>
    <n v="1"/>
  </r>
  <r>
    <s v="Brand ABC TDM"/>
    <x v="2"/>
    <x v="2"/>
    <s v="Shorts"/>
    <s v="A5A6C-ECJF"/>
    <s v="Apex"/>
    <s v="M"/>
    <x v="0"/>
    <d v="2024-10-25T00:00:00"/>
    <d v="2024-11-21T00:00:00"/>
    <n v="1"/>
    <n v="76.983800000000002"/>
    <n v="204.86"/>
    <n v="0"/>
    <n v="0"/>
    <n v="1"/>
  </r>
  <r>
    <s v="Brand ABC TDM"/>
    <x v="2"/>
    <x v="2"/>
    <s v="Shorts"/>
    <s v="A5A6C-ECJF"/>
    <s v="Apex"/>
    <s v="XL"/>
    <x v="0"/>
    <d v="2024-10-25T00:00:00"/>
    <d v="2024-10-25T00:00:00"/>
    <n v="1"/>
    <n v="76.983800000000002"/>
    <n v="227.62"/>
    <n v="0"/>
    <n v="0"/>
    <n v="1"/>
  </r>
  <r>
    <s v="Brand ABC TDM"/>
    <x v="2"/>
    <x v="2"/>
    <s v="Shorts"/>
    <s v="A5A6C-ECJF"/>
    <s v="Apex"/>
    <s v="XS"/>
    <x v="0"/>
    <d v="2024-10-25T00:00:00"/>
    <d v="2024-10-25T00:00:00"/>
    <n v="1"/>
    <n v="76.983800000000002"/>
    <n v="204.86"/>
    <n v="0"/>
    <n v="0"/>
    <n v="1"/>
  </r>
  <r>
    <s v="Brand ABC TDM"/>
    <x v="2"/>
    <x v="2"/>
    <s v="Shorts"/>
    <s v="A5A6Q-BB2J"/>
    <s v="Apex"/>
    <s v="L"/>
    <x v="0"/>
    <d v="2024-05-20T00:00:00"/>
    <d v="2024-10-25T00:00:00"/>
    <n v="0"/>
    <n v="0"/>
    <n v="0"/>
    <n v="6"/>
    <n v="461.90280000000001"/>
    <n v="6"/>
  </r>
  <r>
    <s v="Brand ABC TDM"/>
    <x v="2"/>
    <x v="2"/>
    <s v="Shorts"/>
    <s v="A5A6Q-BB2J"/>
    <s v="Apex"/>
    <s v="M"/>
    <x v="0"/>
    <d v="2024-05-20T00:00:00"/>
    <d v="2024-10-25T00:00:00"/>
    <n v="0"/>
    <n v="0"/>
    <n v="0"/>
    <n v="6"/>
    <n v="461.90280000000001"/>
    <n v="6"/>
  </r>
  <r>
    <s v="Brand ABC TDM"/>
    <x v="2"/>
    <x v="2"/>
    <s v="Shorts"/>
    <s v="A5A6Q-BB2J"/>
    <s v="Apex"/>
    <s v="S"/>
    <x v="0"/>
    <d v="2024-05-20T00:00:00"/>
    <d v="2024-10-25T00:00:00"/>
    <n v="0"/>
    <n v="0"/>
    <n v="0"/>
    <n v="5"/>
    <n v="384.91899999999998"/>
    <n v="5"/>
  </r>
  <r>
    <s v="Brand ABC TDM"/>
    <x v="2"/>
    <x v="2"/>
    <s v="Shorts"/>
    <s v="A5A6Q-BB2J"/>
    <s v="Apex"/>
    <s v="XL"/>
    <x v="0"/>
    <d v="2024-05-20T00:00:00"/>
    <d v="2024-10-25T00:00:00"/>
    <n v="0"/>
    <n v="0"/>
    <n v="0"/>
    <n v="3"/>
    <n v="230.95140000000001"/>
    <n v="3"/>
  </r>
  <r>
    <s v="Brand ABC TDM"/>
    <x v="2"/>
    <x v="2"/>
    <s v="Shorts"/>
    <s v="A5A6Q-BB2J"/>
    <s v="Apex"/>
    <s v="XS"/>
    <x v="0"/>
    <d v="2024-05-20T00:00:00"/>
    <d v="2024-10-25T00:00:00"/>
    <n v="0"/>
    <n v="0"/>
    <n v="0"/>
    <n v="3"/>
    <n v="230.95140000000001"/>
    <n v="3"/>
  </r>
  <r>
    <s v="Brand ABC TDM"/>
    <x v="2"/>
    <x v="2"/>
    <s v="Shorts"/>
    <s v="A5A7V-WCDL"/>
    <s v="Sport"/>
    <s v="XL"/>
    <x v="3"/>
    <d v="2024-10-25T00:00:00"/>
    <d v="2024-10-25T00:00:00"/>
    <n v="0"/>
    <n v="0"/>
    <n v="0"/>
    <n v="1"/>
    <n v="54.797899999999998"/>
    <n v="1"/>
  </r>
  <r>
    <s v="Brand ABC TDM"/>
    <x v="2"/>
    <x v="2"/>
    <s v="Shorts"/>
    <s v="A5A9S-BB2J"/>
    <s v="Crest"/>
    <s v="L"/>
    <x v="0"/>
    <d v="2024-10-28T00:00:00"/>
    <d v="2024-12-20T00:00:00"/>
    <n v="8"/>
    <n v="419.64280000000002"/>
    <n v="1142.76"/>
    <n v="6"/>
    <n v="320.22480000000002"/>
    <n v="14"/>
  </r>
  <r>
    <s v="Brand ABC TDM"/>
    <x v="2"/>
    <x v="2"/>
    <s v="Shorts"/>
    <s v="A5A9S-BB2J"/>
    <s v="Crest"/>
    <s v="M"/>
    <x v="0"/>
    <d v="2024-10-28T00:00:00"/>
    <d v="2024-12-20T00:00:00"/>
    <n v="13"/>
    <n v="684.71929999999998"/>
    <n v="1899.25"/>
    <n v="6"/>
    <n v="322.43700000000001"/>
    <n v="19"/>
  </r>
  <r>
    <s v="Brand ABC TDM"/>
    <x v="2"/>
    <x v="2"/>
    <s v="Shorts"/>
    <s v="A5A9S-BB2J"/>
    <s v="Crest"/>
    <s v="S"/>
    <x v="0"/>
    <d v="2024-10-28T00:00:00"/>
    <d v="2024-12-20T00:00:00"/>
    <n v="10"/>
    <n v="527.61959999999999"/>
    <n v="1512.98"/>
    <n v="5"/>
    <n v="268.90800000000002"/>
    <n v="15"/>
  </r>
  <r>
    <s v="Brand ABC TDM"/>
    <x v="2"/>
    <x v="2"/>
    <s v="Shorts"/>
    <s v="A5A9S-BB2J"/>
    <s v="Crest"/>
    <s v="XS"/>
    <x v="0"/>
    <d v="2024-10-28T00:00:00"/>
    <d v="2024-12-18T00:00:00"/>
    <n v="1"/>
    <n v="51.322600000000001"/>
    <n v="160.94999999999999"/>
    <n v="3"/>
    <n v="156.63659999999999"/>
    <n v="4"/>
  </r>
  <r>
    <s v="Brand ABC TDM"/>
    <x v="2"/>
    <x v="2"/>
    <s v="Shorts"/>
    <s v="A5A9S-NCCZ"/>
    <s v="Crest"/>
    <s v="L"/>
    <x v="1"/>
    <d v="2024-10-28T00:00:00"/>
    <d v="2024-12-17T00:00:00"/>
    <n v="5"/>
    <n v="260.37950000000001"/>
    <n v="740.37"/>
    <n v="5"/>
    <n v="263.52199999999999"/>
    <n v="10"/>
  </r>
  <r>
    <s v="Brand ABC TDM"/>
    <x v="2"/>
    <x v="2"/>
    <s v="Shorts"/>
    <s v="A5A9S-NCCZ"/>
    <s v="Crest"/>
    <s v="M"/>
    <x v="1"/>
    <d v="2024-10-28T00:00:00"/>
    <d v="2024-12-10T00:00:00"/>
    <n v="3"/>
    <n v="155.05719999999999"/>
    <n v="434.58"/>
    <n v="7"/>
    <n v="366.17559999999997"/>
    <n v="10"/>
  </r>
  <r>
    <s v="Brand ABC TDM"/>
    <x v="2"/>
    <x v="2"/>
    <s v="Shorts"/>
    <s v="A5A9S-NCCZ"/>
    <s v="Crest"/>
    <s v="S"/>
    <x v="1"/>
    <d v="2024-10-28T00:00:00"/>
    <d v="2024-12-10T00:00:00"/>
    <n v="1"/>
    <n v="51.322600000000001"/>
    <n v="144.86000000000001"/>
    <n v="5"/>
    <n v="259.28199999999998"/>
    <n v="6"/>
  </r>
  <r>
    <s v="Brand ABC TDM"/>
    <x v="2"/>
    <x v="2"/>
    <s v="Shorts"/>
    <s v="A5A9S-NCCZ"/>
    <s v="Crest"/>
    <s v="XL"/>
    <x v="1"/>
    <d v="2024-10-28T00:00:00"/>
    <d v="2024-10-28T00:00:00"/>
    <n v="1"/>
    <n v="51.322600000000001"/>
    <n v="144.86000000000001"/>
    <n v="1"/>
    <n v="51.322600000000001"/>
    <n v="2"/>
  </r>
  <r>
    <s v="Brand ABC TDM"/>
    <x v="2"/>
    <x v="2"/>
    <s v="Shorts"/>
    <s v="A5A9S-NCCZ"/>
    <s v="Crest"/>
    <s v="XS"/>
    <x v="1"/>
    <d v="2024-10-28T00:00:00"/>
    <d v="2024-10-28T00:00:00"/>
    <n v="0"/>
    <n v="0"/>
    <n v="0"/>
    <n v="3"/>
    <n v="153.96780000000001"/>
    <n v="3"/>
  </r>
  <r>
    <s v="Brand ABC TDM"/>
    <x v="2"/>
    <x v="2"/>
    <s v="Shorts"/>
    <s v="A6A5V-BB2J"/>
    <s v="Impact"/>
    <s v="L"/>
    <x v="0"/>
    <d v="2024-10-26T00:00:00"/>
    <d v="2024-11-21T00:00:00"/>
    <n v="18"/>
    <n v="983.04570000000001"/>
    <n v="2639.61"/>
    <n v="3"/>
    <n v="172.0461"/>
    <n v="21"/>
  </r>
  <r>
    <s v="Brand ABC TDM"/>
    <x v="2"/>
    <x v="2"/>
    <s v="Shorts"/>
    <s v="A6A5V-BB2J"/>
    <s v="Impact"/>
    <s v="M"/>
    <x v="0"/>
    <d v="2024-10-26T00:00:00"/>
    <d v="2024-11-21T00:00:00"/>
    <n v="18"/>
    <n v="985.63679999999999"/>
    <n v="2615.5300000000002"/>
    <n v="1"/>
    <n v="57.386000000000003"/>
    <n v="19"/>
  </r>
  <r>
    <s v="Brand ABC TDM"/>
    <x v="2"/>
    <x v="2"/>
    <s v="Shorts"/>
    <s v="A6A5V-BB2J"/>
    <s v="Impact"/>
    <s v="S"/>
    <x v="0"/>
    <d v="2024-10-26T00:00:00"/>
    <d v="2024-11-21T00:00:00"/>
    <n v="8"/>
    <n v="438.06079999999997"/>
    <n v="1174.97"/>
    <n v="9"/>
    <n v="518.44500000000005"/>
    <n v="17"/>
  </r>
  <r>
    <s v="Brand ABC TDM"/>
    <x v="2"/>
    <x v="2"/>
    <s v="Shorts"/>
    <s v="A6A5V-BB2J"/>
    <s v="Impact"/>
    <s v="XL"/>
    <x v="0"/>
    <d v="2024-10-25T00:00:00"/>
    <d v="2024-11-13T00:00:00"/>
    <n v="6"/>
    <n v="328.54559999999998"/>
    <n v="869.16"/>
    <n v="0"/>
    <n v="0"/>
    <n v="6"/>
  </r>
  <r>
    <s v="Brand ABC TDM"/>
    <x v="2"/>
    <x v="2"/>
    <s v="Shorts"/>
    <s v="A6A5V-GB7N"/>
    <s v="Impact"/>
    <s v="L"/>
    <x v="1"/>
    <d v="2024-10-26T00:00:00"/>
    <d v="2024-11-21T00:00:00"/>
    <n v="0"/>
    <n v="0"/>
    <n v="0"/>
    <n v="6"/>
    <n v="345.63"/>
    <n v="6"/>
  </r>
  <r>
    <s v="Brand ABC TDM"/>
    <x v="2"/>
    <x v="2"/>
    <s v="Shorts"/>
    <s v="A6A5V-GB7N"/>
    <s v="Impact"/>
    <s v="M"/>
    <x v="1"/>
    <d v="2024-10-26T00:00:00"/>
    <d v="2024-11-21T00:00:00"/>
    <n v="0"/>
    <n v="0"/>
    <n v="0"/>
    <n v="7"/>
    <n v="403.23500000000001"/>
    <n v="7"/>
  </r>
  <r>
    <s v="Brand ABC TDM"/>
    <x v="2"/>
    <x v="2"/>
    <s v="Shorts"/>
    <s v="A6A5V-GB7N"/>
    <s v="Impact"/>
    <s v="XS"/>
    <x v="1"/>
    <d v="2024-10-26T00:00:00"/>
    <d v="2024-11-21T00:00:00"/>
    <n v="0"/>
    <n v="0"/>
    <n v="0"/>
    <n v="1"/>
    <n v="56.655900000000003"/>
    <n v="1"/>
  </r>
  <r>
    <s v="Brand ABC TDM"/>
    <x v="2"/>
    <x v="2"/>
    <s v="Shorts"/>
    <s v="A6A5V-UCTM"/>
    <s v="Impact"/>
    <s v="L"/>
    <x v="1"/>
    <d v="2024-10-26T00:00:00"/>
    <d v="2024-11-14T00:00:00"/>
    <n v="3"/>
    <n v="164.27279999999999"/>
    <n v="434.58"/>
    <n v="0"/>
    <n v="0"/>
    <n v="3"/>
  </r>
  <r>
    <s v="Brand ABC TDM"/>
    <x v="2"/>
    <x v="2"/>
    <s v="Shorts"/>
    <s v="A6A5V-UCTM"/>
    <s v="Impact"/>
    <s v="M"/>
    <x v="1"/>
    <d v="2024-10-26T00:00:00"/>
    <d v="2024-11-14T00:00:00"/>
    <n v="6"/>
    <n v="328.54559999999998"/>
    <n v="869.15"/>
    <n v="1"/>
    <n v="54.757599999999996"/>
    <n v="7"/>
  </r>
  <r>
    <s v="Brand ABC TDM"/>
    <x v="2"/>
    <x v="2"/>
    <s v="Shorts"/>
    <s v="A6A5V-UCTM"/>
    <s v="Impact"/>
    <s v="S"/>
    <x v="1"/>
    <d v="2024-10-25T00:00:00"/>
    <d v="2024-11-12T00:00:00"/>
    <n v="3"/>
    <n v="164.27279999999999"/>
    <n v="450.66"/>
    <n v="0"/>
    <n v="0"/>
    <n v="3"/>
  </r>
  <r>
    <s v="Brand ABC TDM"/>
    <x v="2"/>
    <x v="2"/>
    <s v="Shorts"/>
    <s v="A6A5V-UCTM"/>
    <s v="Impact"/>
    <s v="XL"/>
    <x v="1"/>
    <d v="2024-10-26T00:00:00"/>
    <d v="2024-10-26T00:00:00"/>
    <n v="3"/>
    <n v="164.27279999999999"/>
    <n v="434.57"/>
    <n v="0"/>
    <n v="0"/>
    <n v="3"/>
  </r>
  <r>
    <s v="Brand ABC TDM"/>
    <x v="2"/>
    <x v="2"/>
    <s v="Shorts"/>
    <s v="A6A5V-UCTM"/>
    <s v="Impact"/>
    <s v="XS"/>
    <x v="1"/>
    <d v="2024-10-25T00:00:00"/>
    <d v="2024-10-25T00:00:00"/>
    <n v="1"/>
    <n v="54.757599999999996"/>
    <n v="144.86000000000001"/>
    <n v="0"/>
    <n v="0"/>
    <n v="1"/>
  </r>
  <r>
    <s v="Brand ABC TDM"/>
    <x v="2"/>
    <x v="2"/>
    <s v="Shorts"/>
    <s v="A6A7A-BB67"/>
    <s v="Premium Legacy"/>
    <s v="L"/>
    <x v="0"/>
    <d v="2024-12-12T00:00:00"/>
    <d v="2024-12-21T00:00:00"/>
    <n v="0"/>
    <n v="0"/>
    <n v="0"/>
    <n v="6"/>
    <n v="485.92200000000003"/>
    <n v="6"/>
  </r>
  <r>
    <s v="Brand ABC TDM"/>
    <x v="2"/>
    <x v="2"/>
    <s v="Shorts"/>
    <s v="A6A7A-BB67"/>
    <s v="Premium Legacy"/>
    <s v="M"/>
    <x v="0"/>
    <d v="2024-12-12T00:00:00"/>
    <d v="2024-12-21T00:00:00"/>
    <n v="0"/>
    <n v="0"/>
    <n v="0"/>
    <n v="7"/>
    <n v="566.90899999999999"/>
    <n v="7"/>
  </r>
  <r>
    <s v="Brand ABC TDM"/>
    <x v="2"/>
    <x v="2"/>
    <s v="Shorts"/>
    <s v="A6A7A-BB67"/>
    <s v="Premium Legacy"/>
    <s v="S"/>
    <x v="0"/>
    <d v="2024-12-12T00:00:00"/>
    <d v="2024-12-21T00:00:00"/>
    <n v="0"/>
    <n v="0"/>
    <n v="0"/>
    <n v="5"/>
    <n v="404.935"/>
    <n v="5"/>
  </r>
  <r>
    <s v="Brand ABC TDM"/>
    <x v="2"/>
    <x v="2"/>
    <s v="Shorts"/>
    <s v="A6A7A-BB67"/>
    <s v="Premium Legacy"/>
    <s v="XL"/>
    <x v="0"/>
    <d v="2024-12-12T00:00:00"/>
    <d v="2024-12-18T00:00:00"/>
    <n v="0"/>
    <n v="0"/>
    <n v="0"/>
    <n v="3"/>
    <n v="242.96100000000001"/>
    <n v="3"/>
  </r>
  <r>
    <s v="Brand ABC TDM"/>
    <x v="2"/>
    <x v="2"/>
    <s v="Shorts"/>
    <s v="A6A7A-BB67"/>
    <s v="Premium Legacy"/>
    <s v="XS"/>
    <x v="0"/>
    <d v="2024-12-12T00:00:00"/>
    <d v="2024-12-18T00:00:00"/>
    <n v="0"/>
    <n v="0"/>
    <n v="0"/>
    <n v="3"/>
    <n v="242.96100000000001"/>
    <n v="3"/>
  </r>
  <r>
    <s v="Brand ABC TDM"/>
    <x v="2"/>
    <x v="2"/>
    <s v="Shorts"/>
    <s v="A6A7A-NB4S"/>
    <s v="Premium Legacy"/>
    <s v="L"/>
    <x v="1"/>
    <d v="2024-12-12T00:00:00"/>
    <d v="2024-12-21T00:00:00"/>
    <n v="0"/>
    <n v="0"/>
    <n v="0"/>
    <n v="6"/>
    <n v="485.92200000000003"/>
    <n v="6"/>
  </r>
  <r>
    <s v="Brand ABC TDM"/>
    <x v="2"/>
    <x v="2"/>
    <s v="Shorts"/>
    <s v="A6A7A-NB4S"/>
    <s v="Premium Legacy"/>
    <s v="M"/>
    <x v="1"/>
    <d v="2024-12-12T00:00:00"/>
    <d v="2024-12-19T00:00:00"/>
    <n v="0"/>
    <n v="0"/>
    <n v="0"/>
    <n v="7"/>
    <n v="566.90899999999999"/>
    <n v="7"/>
  </r>
  <r>
    <s v="Brand ABC TDM"/>
    <x v="2"/>
    <x v="2"/>
    <s v="Shorts"/>
    <s v="A6A7A-NB4S"/>
    <s v="Premium Legacy"/>
    <s v="S"/>
    <x v="1"/>
    <d v="2024-12-12T00:00:00"/>
    <d v="2024-12-21T00:00:00"/>
    <n v="0"/>
    <n v="0"/>
    <n v="0"/>
    <n v="5"/>
    <n v="404.935"/>
    <n v="5"/>
  </r>
  <r>
    <s v="Brand ABC TDM"/>
    <x v="2"/>
    <x v="2"/>
    <s v="Shorts"/>
    <s v="A6A7A-NB4S"/>
    <s v="Premium Legacy"/>
    <s v="XL"/>
    <x v="1"/>
    <d v="2024-12-12T00:00:00"/>
    <d v="2024-12-12T00:00:00"/>
    <n v="0"/>
    <n v="0"/>
    <n v="0"/>
    <n v="3"/>
    <n v="242.96100000000001"/>
    <n v="3"/>
  </r>
  <r>
    <s v="Brand ABC TDM"/>
    <x v="2"/>
    <x v="2"/>
    <s v="Shorts"/>
    <s v="A6A7A-NB4S"/>
    <s v="Premium Legacy"/>
    <s v="XS"/>
    <x v="1"/>
    <d v="2024-12-12T00:00:00"/>
    <d v="2024-12-19T00:00:00"/>
    <n v="0"/>
    <n v="0"/>
    <n v="0"/>
    <n v="3"/>
    <n v="242.96100000000001"/>
    <n v="3"/>
  </r>
  <r>
    <s v="Brand ABC TDM"/>
    <x v="2"/>
    <x v="2"/>
    <s v="Shorts"/>
    <s v="A6A7A-UCZQ"/>
    <s v="Premium Legacy"/>
    <s v="L"/>
    <x v="1"/>
    <d v="2024-12-07T00:00:00"/>
    <d v="2024-12-17T00:00:00"/>
    <n v="4"/>
    <n v="323.94799999999998"/>
    <n v="819.44"/>
    <n v="5"/>
    <n v="404.935"/>
    <n v="9"/>
  </r>
  <r>
    <s v="Brand ABC TDM"/>
    <x v="2"/>
    <x v="2"/>
    <s v="Shorts"/>
    <s v="A6A7A-UCZQ"/>
    <s v="Premium Legacy"/>
    <s v="M"/>
    <x v="1"/>
    <d v="2024-12-09T00:00:00"/>
    <d v="2024-12-17T00:00:00"/>
    <n v="4"/>
    <n v="323.94799999999998"/>
    <n v="864.96"/>
    <n v="6"/>
    <n v="485.92200000000003"/>
    <n v="10"/>
  </r>
  <r>
    <s v="Brand ABC TDM"/>
    <x v="2"/>
    <x v="2"/>
    <s v="Shorts"/>
    <s v="A6A7A-UCZQ"/>
    <s v="Premium Legacy"/>
    <s v="S"/>
    <x v="1"/>
    <d v="2024-12-07T00:00:00"/>
    <d v="2024-12-21T00:00:00"/>
    <n v="1"/>
    <n v="80.986999999999995"/>
    <n v="204.86"/>
    <n v="5"/>
    <n v="404.935"/>
    <n v="6"/>
  </r>
  <r>
    <s v="Brand ABC TDM"/>
    <x v="2"/>
    <x v="2"/>
    <s v="Shorts"/>
    <s v="A6A7A-UCZQ"/>
    <s v="Premium Legacy"/>
    <s v="XL"/>
    <x v="1"/>
    <d v="2024-12-07T00:00:00"/>
    <d v="2024-12-07T00:00:00"/>
    <n v="0"/>
    <n v="0"/>
    <n v="0"/>
    <n v="3"/>
    <n v="242.96100000000001"/>
    <n v="3"/>
  </r>
  <r>
    <s v="Brand ABC TDM"/>
    <x v="2"/>
    <x v="2"/>
    <s v="Shorts"/>
    <s v="A6A7A-UCZQ"/>
    <s v="Premium Legacy"/>
    <s v="XS"/>
    <x v="1"/>
    <d v="2024-12-07T00:00:00"/>
    <d v="2024-12-12T00:00:00"/>
    <n v="1"/>
    <n v="80.986999999999995"/>
    <n v="227.62"/>
    <n v="3"/>
    <n v="242.96100000000001"/>
    <n v="4"/>
  </r>
  <r>
    <s v="Brand ABC TDM"/>
    <x v="2"/>
    <x v="2"/>
    <s v="Shorts"/>
    <s v="A6A8A-BB2J"/>
    <s v="Nexus"/>
    <s v="M"/>
    <x v="2"/>
    <d v="2024-10-26T00:00:00"/>
    <d v="2024-11-30T00:00:00"/>
    <n v="0"/>
    <n v="0"/>
    <n v="0"/>
    <n v="3"/>
    <n v="301.26209999999998"/>
    <n v="3"/>
  </r>
  <r>
    <s v="Brand ABC TDM"/>
    <x v="2"/>
    <x v="2"/>
    <s v="Shorts"/>
    <s v="A6A8A-UCVL"/>
    <s v="Nexus"/>
    <s v="L"/>
    <x v="1"/>
    <d v="2024-10-26T00:00:00"/>
    <d v="2024-11-30T00:00:00"/>
    <n v="4"/>
    <n v="376.47320000000002"/>
    <n v="1053.6099999999999"/>
    <n v="3"/>
    <n v="301.7901"/>
    <n v="7"/>
  </r>
  <r>
    <s v="Brand ABC TDM"/>
    <x v="2"/>
    <x v="2"/>
    <s v="Shorts"/>
    <s v="A6A8A-UCVL"/>
    <s v="Nexus"/>
    <s v="M"/>
    <x v="1"/>
    <d v="2024-10-26T00:00:00"/>
    <d v="2024-11-25T00:00:00"/>
    <n v="3"/>
    <n v="284.3526"/>
    <n v="768.86"/>
    <n v="0"/>
    <n v="0"/>
    <n v="3"/>
  </r>
  <r>
    <s v="Brand ABC TDM"/>
    <x v="2"/>
    <x v="2"/>
    <s v="Shorts"/>
    <s v="A6A8A-UCVL"/>
    <s v="Nexus"/>
    <s v="XS"/>
    <x v="1"/>
    <d v="2024-10-26T00:00:00"/>
    <d v="2024-11-23T00:00:00"/>
    <n v="2"/>
    <n v="189.86799999999999"/>
    <n v="512.57000000000005"/>
    <n v="0"/>
    <n v="0"/>
    <n v="2"/>
  </r>
  <r>
    <s v="Brand ABC TDM"/>
    <x v="2"/>
    <x v="2"/>
    <s v="Pants"/>
    <s v="A1B3K-BB2J"/>
    <s v="Sport"/>
    <s v="L"/>
    <x v="2"/>
    <d v="2024-10-28T00:00:00"/>
    <d v="2024-12-21T00:00:00"/>
    <n v="0"/>
    <n v="0"/>
    <n v="0"/>
    <n v="6"/>
    <n v="375.92700000000002"/>
    <n v="6"/>
  </r>
  <r>
    <s v="Brand ABC TDM"/>
    <x v="2"/>
    <x v="2"/>
    <s v="Pants"/>
    <s v="A1B3K-BB2J"/>
    <s v="Sport"/>
    <s v="M"/>
    <x v="2"/>
    <d v="2024-10-28T00:00:00"/>
    <d v="2024-12-18T00:00:00"/>
    <n v="0"/>
    <n v="0"/>
    <n v="0"/>
    <n v="6"/>
    <n v="384.61860000000001"/>
    <n v="6"/>
  </r>
  <r>
    <s v="Brand ABC TDM"/>
    <x v="2"/>
    <x v="2"/>
    <s v="Pants"/>
    <s v="A1B3K-BB2J"/>
    <s v="Sport"/>
    <s v="S"/>
    <x v="2"/>
    <d v="2024-10-28T00:00:00"/>
    <d v="2024-12-21T00:00:00"/>
    <n v="0"/>
    <n v="0"/>
    <n v="0"/>
    <n v="4"/>
    <n v="251.95240000000001"/>
    <n v="4"/>
  </r>
  <r>
    <s v="Brand ABC TDM"/>
    <x v="2"/>
    <x v="2"/>
    <s v="Pants"/>
    <s v="A1B3K-BB2J"/>
    <s v="Sport"/>
    <s v="XS"/>
    <x v="2"/>
    <d v="2024-10-28T00:00:00"/>
    <d v="2024-12-19T00:00:00"/>
    <n v="0"/>
    <n v="0"/>
    <n v="0"/>
    <n v="2"/>
    <n v="123.17400000000001"/>
    <n v="2"/>
  </r>
  <r>
    <s v="Brand ABC TDM"/>
    <x v="2"/>
    <x v="2"/>
    <s v="Pants"/>
    <s v="A1B3K-GB7H"/>
    <s v="Sport"/>
    <s v="L"/>
    <x v="2"/>
    <d v="2024-10-28T00:00:00"/>
    <d v="2024-12-18T00:00:00"/>
    <n v="0"/>
    <n v="0"/>
    <n v="0"/>
    <n v="6"/>
    <n v="372.72480000000002"/>
    <n v="6"/>
  </r>
  <r>
    <s v="Brand ABC TDM"/>
    <x v="2"/>
    <x v="2"/>
    <s v="Pants"/>
    <s v="A1B3K-GB7H"/>
    <s v="Sport"/>
    <s v="M"/>
    <x v="2"/>
    <d v="2024-10-28T00:00:00"/>
    <d v="2024-12-18T00:00:00"/>
    <n v="1"/>
    <n v="63.306899999999999"/>
    <n v="189.52"/>
    <n v="6"/>
    <n v="381.32400000000001"/>
    <n v="7"/>
  </r>
  <r>
    <s v="Brand ABC TDM"/>
    <x v="2"/>
    <x v="2"/>
    <s v="Pants"/>
    <s v="A1B3K-GB7H"/>
    <s v="Sport"/>
    <s v="S"/>
    <x v="2"/>
    <d v="2024-10-28T00:00:00"/>
    <d v="2024-12-14T00:00:00"/>
    <n v="2"/>
    <n v="124.7752"/>
    <n v="360.09"/>
    <n v="4"/>
    <n v="254.3544"/>
    <n v="6"/>
  </r>
  <r>
    <s v="Brand ABC TDM"/>
    <x v="2"/>
    <x v="2"/>
    <s v="Pants"/>
    <s v="A1B3K-GB7H"/>
    <s v="Sport"/>
    <s v="XS"/>
    <x v="2"/>
    <d v="2024-10-28T00:00:00"/>
    <d v="2024-10-28T00:00:00"/>
    <n v="0"/>
    <n v="0"/>
    <n v="0"/>
    <n v="2"/>
    <n v="123.17400000000001"/>
    <n v="2"/>
  </r>
  <r>
    <s v="Brand ABC TDM"/>
    <x v="2"/>
    <x v="2"/>
    <s v="Pants"/>
    <s v="A2A1N-BBBB"/>
    <s v="Arrival"/>
    <s v="L"/>
    <x v="0"/>
    <d v="2024-10-28T00:00:00"/>
    <d v="2024-11-30T00:00:00"/>
    <n v="4"/>
    <n v="220.5283"/>
    <n v="579.44000000000005"/>
    <n v="2"/>
    <n v="113.88760000000001"/>
    <n v="6"/>
  </r>
  <r>
    <s v="Brand ABC TDM"/>
    <x v="2"/>
    <x v="2"/>
    <s v="Pants"/>
    <s v="A2A1N-BBBB"/>
    <s v="Arrival"/>
    <s v="M"/>
    <x v="0"/>
    <d v="2024-10-28T00:00:00"/>
    <d v="2024-11-29T00:00:00"/>
    <n v="3"/>
    <n v="164.86859999999999"/>
    <n v="434.58"/>
    <n v="0"/>
    <n v="0"/>
    <n v="3"/>
  </r>
  <r>
    <s v="Brand ABC TDM"/>
    <x v="2"/>
    <x v="2"/>
    <s v="Pants"/>
    <s v="A2A1N-BBBB"/>
    <s v="Arrival"/>
    <s v="XL"/>
    <x v="0"/>
    <d v="2024-10-28T00:00:00"/>
    <d v="2024-11-29T00:00:00"/>
    <n v="2"/>
    <n v="111.0206"/>
    <n v="289.72000000000003"/>
    <n v="0"/>
    <n v="0"/>
    <n v="2"/>
  </r>
  <r>
    <s v="Brand ABC TDM"/>
    <x v="2"/>
    <x v="2"/>
    <s v="Pants"/>
    <s v="A2A1N-GBP4"/>
    <s v="Arrival"/>
    <s v="L"/>
    <x v="0"/>
    <d v="2024-10-28T00:00:00"/>
    <d v="2024-11-30T00:00:00"/>
    <n v="2"/>
    <n v="110.0707"/>
    <n v="289.70999999999998"/>
    <n v="1"/>
    <n v="55.668599999999998"/>
    <n v="3"/>
  </r>
  <r>
    <s v="Brand ABC TDM"/>
    <x v="2"/>
    <x v="2"/>
    <s v="Pants"/>
    <s v="A2A1N-GBP4"/>
    <s v="Arrival"/>
    <s v="M"/>
    <x v="0"/>
    <d v="2024-10-28T00:00:00"/>
    <d v="2024-11-29T00:00:00"/>
    <n v="1"/>
    <n v="54.797899999999998"/>
    <n v="144.86000000000001"/>
    <n v="0"/>
    <n v="0"/>
    <n v="1"/>
  </r>
  <r>
    <s v="Brand ABC TDM"/>
    <x v="2"/>
    <x v="2"/>
    <s v="Pants"/>
    <s v="A2A1N-GBP4"/>
    <s v="Arrival"/>
    <s v="S"/>
    <x v="0"/>
    <d v="2024-10-28T00:00:00"/>
    <d v="2024-11-28T00:00:00"/>
    <n v="1"/>
    <n v="54.797899999999998"/>
    <n v="144.86000000000001"/>
    <n v="0"/>
    <n v="0"/>
    <n v="1"/>
  </r>
  <r>
    <s v="Brand ABC TDM"/>
    <x v="2"/>
    <x v="2"/>
    <s v="Pants"/>
    <s v="A2A4H-BBBB"/>
    <s v="Crest"/>
    <s v="L"/>
    <x v="0"/>
    <d v="2024-10-28T00:00:00"/>
    <d v="2024-12-21T00:00:00"/>
    <n v="3"/>
    <n v="186.27340000000001"/>
    <n v="530.67999999999995"/>
    <n v="6"/>
    <n v="377.61779999999999"/>
    <n v="9"/>
  </r>
  <r>
    <s v="Brand ABC TDM"/>
    <x v="2"/>
    <x v="2"/>
    <s v="Pants"/>
    <s v="A2A4H-BBBB"/>
    <s v="Crest"/>
    <s v="M"/>
    <x v="0"/>
    <d v="2024-10-28T00:00:00"/>
    <d v="2024-12-17T00:00:00"/>
    <n v="12"/>
    <n v="760.54750000000001"/>
    <n v="2084.75"/>
    <n v="6"/>
    <n v="386.44920000000002"/>
    <n v="18"/>
  </r>
  <r>
    <s v="Brand ABC TDM"/>
    <x v="2"/>
    <x v="2"/>
    <s v="Pants"/>
    <s v="A2A4H-BBBB"/>
    <s v="Crest"/>
    <s v="S"/>
    <x v="0"/>
    <d v="2024-10-28T00:00:00"/>
    <d v="2024-12-04T00:00:00"/>
    <n v="3"/>
    <n v="186.6249"/>
    <n v="511.71"/>
    <n v="5"/>
    <n v="318.88150000000002"/>
    <n v="8"/>
  </r>
  <r>
    <s v="Brand ABC TDM"/>
    <x v="2"/>
    <x v="2"/>
    <s v="Pants"/>
    <s v="A2A4H-BBBB"/>
    <s v="Crest"/>
    <s v="XL"/>
    <x v="0"/>
    <d v="2024-10-28T00:00:00"/>
    <d v="2024-11-27T00:00:00"/>
    <n v="1"/>
    <n v="61.587000000000003"/>
    <n v="170.57"/>
    <n v="2"/>
    <n v="126.3766"/>
    <n v="3"/>
  </r>
  <r>
    <s v="Brand ABC TDM"/>
    <x v="2"/>
    <x v="2"/>
    <s v="Pants"/>
    <s v="A2A4H-BBBB"/>
    <s v="Crest"/>
    <s v="XS"/>
    <x v="0"/>
    <d v="2024-10-28T00:00:00"/>
    <d v="2024-10-28T00:00:00"/>
    <n v="0"/>
    <n v="0"/>
    <n v="0"/>
    <n v="2"/>
    <n v="123.17400000000001"/>
    <n v="2"/>
  </r>
  <r>
    <s v="Brand ABC TDM"/>
    <x v="2"/>
    <x v="2"/>
    <s v="Pants"/>
    <s v="A2A4H-EBF1"/>
    <s v="Crest"/>
    <s v="L"/>
    <x v="0"/>
    <d v="2024-12-07T00:00:00"/>
    <d v="2024-12-07T00:00:00"/>
    <n v="0"/>
    <n v="0"/>
    <n v="0"/>
    <n v="6"/>
    <n v="388.73700000000002"/>
    <n v="6"/>
  </r>
  <r>
    <s v="Brand ABC TDM"/>
    <x v="2"/>
    <x v="2"/>
    <s v="Pants"/>
    <s v="A2A4H-EBF1"/>
    <s v="Crest"/>
    <s v="M"/>
    <x v="0"/>
    <d v="2024-12-07T00:00:00"/>
    <d v="2024-12-07T00:00:00"/>
    <n v="0"/>
    <n v="0"/>
    <n v="0"/>
    <n v="6"/>
    <n v="388.73700000000002"/>
    <n v="6"/>
  </r>
  <r>
    <s v="Brand ABC TDM"/>
    <x v="2"/>
    <x v="2"/>
    <s v="Pants"/>
    <s v="A2A4H-EBF1"/>
    <s v="Crest"/>
    <s v="S"/>
    <x v="0"/>
    <d v="2024-12-07T00:00:00"/>
    <d v="2024-12-07T00:00:00"/>
    <n v="0"/>
    <n v="0"/>
    <n v="0"/>
    <n v="4"/>
    <n v="259.15800000000002"/>
    <n v="4"/>
  </r>
  <r>
    <s v="Brand ABC TDM"/>
    <x v="2"/>
    <x v="2"/>
    <s v="Pants"/>
    <s v="A2A4H-EBF1"/>
    <s v="Crest"/>
    <s v="XL"/>
    <x v="0"/>
    <d v="2024-12-10T00:00:00"/>
    <d v="2024-12-10T00:00:00"/>
    <n v="0"/>
    <n v="0"/>
    <n v="0"/>
    <n v="2"/>
    <n v="129.57900000000001"/>
    <n v="2"/>
  </r>
  <r>
    <s v="Brand ABC TDM"/>
    <x v="2"/>
    <x v="2"/>
    <s v="Pants"/>
    <s v="A2A4H-EBF1"/>
    <s v="Crest"/>
    <s v="XS"/>
    <x v="0"/>
    <d v="2024-12-07T00:00:00"/>
    <d v="2024-12-07T00:00:00"/>
    <n v="0"/>
    <n v="0"/>
    <n v="0"/>
    <n v="2"/>
    <n v="129.57900000000001"/>
    <n v="2"/>
  </r>
  <r>
    <s v="Brand ABC TDM"/>
    <x v="2"/>
    <x v="2"/>
    <s v="Pants"/>
    <s v="A2A4H-UBCY"/>
    <s v="Crest"/>
    <s v="S"/>
    <x v="0"/>
    <d v="2024-12-11T00:00:00"/>
    <d v="2024-12-11T00:00:00"/>
    <n v="0"/>
    <n v="0"/>
    <n v="0"/>
    <n v="1"/>
    <n v="64.789500000000004"/>
    <n v="1"/>
  </r>
  <r>
    <s v="Brand ABC TDM"/>
    <x v="2"/>
    <x v="2"/>
    <s v="Pants"/>
    <s v="A3A9K-BBBB"/>
    <s v="Rest Day Essentials"/>
    <s v="L"/>
    <x v="0"/>
    <d v="2024-05-20T00:00:00"/>
    <d v="2024-11-13T00:00:00"/>
    <n v="3"/>
    <n v="256.66199999999998"/>
    <n v="691.71"/>
    <n v="0"/>
    <n v="0"/>
    <n v="3"/>
  </r>
  <r>
    <s v="Brand ABC TDM"/>
    <x v="2"/>
    <x v="2"/>
    <s v="Pants"/>
    <s v="A3A9K-BBBB"/>
    <s v="Rest Day Essentials"/>
    <s v="M"/>
    <x v="0"/>
    <d v="2024-05-20T00:00:00"/>
    <d v="2024-11-19T00:00:00"/>
    <n v="7"/>
    <n v="598.89340000000004"/>
    <n v="1614"/>
    <n v="0"/>
    <n v="0"/>
    <n v="7"/>
  </r>
  <r>
    <s v="Brand ABC TDM"/>
    <x v="2"/>
    <x v="2"/>
    <s v="Pants"/>
    <s v="A3A9K-BBBB"/>
    <s v="Rest Day Essentials"/>
    <s v="S"/>
    <x v="0"/>
    <d v="2024-05-20T00:00:00"/>
    <d v="2024-11-19T00:00:00"/>
    <n v="4"/>
    <n v="342.22800000000001"/>
    <n v="922.29"/>
    <n v="0"/>
    <n v="0"/>
    <n v="4"/>
  </r>
  <r>
    <s v="Brand ABC TDM"/>
    <x v="2"/>
    <x v="2"/>
    <s v="Pants"/>
    <s v="A3A9K-BBBB"/>
    <s v="Rest Day Essentials"/>
    <s v="XS"/>
    <x v="0"/>
    <d v="2024-10-26T00:00:00"/>
    <d v="2024-10-26T00:00:00"/>
    <n v="1"/>
    <n v="85.551100000000005"/>
    <n v="230.57"/>
    <n v="0"/>
    <n v="0"/>
    <n v="1"/>
  </r>
  <r>
    <s v="Brand ABC TDM"/>
    <x v="2"/>
    <x v="2"/>
    <s v="Pants"/>
    <s v="A3A9K-UCTN"/>
    <s v="Rest Day Essentials"/>
    <s v="M"/>
    <x v="1"/>
    <d v="2024-10-26T00:00:00"/>
    <d v="2024-11-13T00:00:00"/>
    <n v="3"/>
    <n v="256.6533"/>
    <n v="717.33"/>
    <n v="0"/>
    <n v="0"/>
    <n v="3"/>
  </r>
  <r>
    <s v="Brand ABC TDM"/>
    <x v="2"/>
    <x v="2"/>
    <s v="Pants"/>
    <s v="A3A9K-UCTN"/>
    <s v="Rest Day Essentials"/>
    <s v="S"/>
    <x v="1"/>
    <d v="2024-10-26T00:00:00"/>
    <d v="2024-11-12T00:00:00"/>
    <n v="1"/>
    <n v="85.551100000000005"/>
    <n v="230.57"/>
    <n v="0"/>
    <n v="0"/>
    <n v="1"/>
  </r>
  <r>
    <s v="Brand ABC TDM"/>
    <x v="2"/>
    <x v="2"/>
    <s v="Pants"/>
    <s v="A3A9K-UCTN"/>
    <s v="Rest Day Essentials"/>
    <s v="XS"/>
    <x v="1"/>
    <d v="2024-10-26T00:00:00"/>
    <d v="2024-10-26T00:00:00"/>
    <n v="2"/>
    <n v="171.10220000000001"/>
    <n v="461.15"/>
    <n v="0"/>
    <n v="0"/>
    <n v="2"/>
  </r>
  <r>
    <s v="Brand ABC TDM"/>
    <x v="2"/>
    <x v="2"/>
    <s v="Pants"/>
    <s v="A4A7V-GB8N"/>
    <s v="Power"/>
    <s v="L"/>
    <x v="0"/>
    <d v="2024-10-26T00:00:00"/>
    <d v="2024-11-13T00:00:00"/>
    <n v="7"/>
    <n v="598.85770000000002"/>
    <n v="1562.77"/>
    <n v="0"/>
    <n v="0"/>
    <n v="7"/>
  </r>
  <r>
    <s v="Brand ABC TDM"/>
    <x v="2"/>
    <x v="2"/>
    <s v="Pants"/>
    <s v="A4A7V-GB8N"/>
    <s v="Power"/>
    <s v="M"/>
    <x v="0"/>
    <d v="2024-10-26T00:00:00"/>
    <d v="2024-11-15T00:00:00"/>
    <n v="12"/>
    <n v="1026.6132"/>
    <n v="2766.86"/>
    <n v="0"/>
    <n v="0"/>
    <n v="12"/>
  </r>
  <r>
    <s v="Brand ABC TDM"/>
    <x v="2"/>
    <x v="2"/>
    <s v="Pants"/>
    <s v="A4A7V-GB8N"/>
    <s v="Power"/>
    <s v="S"/>
    <x v="0"/>
    <d v="2024-10-26T00:00:00"/>
    <d v="2024-11-13T00:00:00"/>
    <n v="5"/>
    <n v="427.76049999999998"/>
    <n v="1152.8699999999999"/>
    <n v="0"/>
    <n v="0"/>
    <n v="5"/>
  </r>
  <r>
    <s v="Brand ABC TDM"/>
    <x v="2"/>
    <x v="2"/>
    <s v="Pants"/>
    <s v="A4A7V-GB8N"/>
    <s v="Power"/>
    <s v="XL"/>
    <x v="0"/>
    <d v="2024-10-26T00:00:00"/>
    <d v="2024-10-26T00:00:00"/>
    <n v="2"/>
    <n v="171.10220000000001"/>
    <n v="461.14"/>
    <n v="0"/>
    <n v="0"/>
    <n v="2"/>
  </r>
  <r>
    <s v="Brand ABC TDM"/>
    <x v="2"/>
    <x v="2"/>
    <s v="Pants"/>
    <s v="A4A7V-GB8N"/>
    <s v="Power"/>
    <s v="XS"/>
    <x v="0"/>
    <d v="2024-10-26T00:00:00"/>
    <d v="2024-11-13T00:00:00"/>
    <n v="1"/>
    <n v="85.551100000000005"/>
    <n v="256.27999999999997"/>
    <n v="1"/>
    <n v="85.551100000000005"/>
    <n v="2"/>
  </r>
  <r>
    <s v="Brand ABC TDM"/>
    <x v="2"/>
    <x v="2"/>
    <s v="Pants"/>
    <s v="A4A7V-GCWD"/>
    <s v="Heritage"/>
    <s v="L"/>
    <x v="1"/>
    <d v="2024-10-25T00:00:00"/>
    <d v="2024-11-09T00:00:00"/>
    <n v="3"/>
    <n v="256.6533"/>
    <n v="691.71"/>
    <n v="0"/>
    <n v="0"/>
    <n v="3"/>
  </r>
  <r>
    <s v="Brand ABC TDM"/>
    <x v="2"/>
    <x v="2"/>
    <s v="Pants"/>
    <s v="A4A7V-GCWD"/>
    <s v="Heritage"/>
    <s v="M"/>
    <x v="1"/>
    <d v="2024-10-25T00:00:00"/>
    <d v="2024-11-09T00:00:00"/>
    <n v="4"/>
    <n v="342.20440000000002"/>
    <n v="922.28"/>
    <n v="0"/>
    <n v="0"/>
    <n v="4"/>
  </r>
  <r>
    <s v="Brand ABC TDM"/>
    <x v="2"/>
    <x v="2"/>
    <s v="Pants"/>
    <s v="A4A7V-GCWD"/>
    <s v="Heritage"/>
    <s v="S"/>
    <x v="1"/>
    <d v="2024-10-26T00:00:00"/>
    <d v="2024-11-09T00:00:00"/>
    <n v="1"/>
    <n v="85.551100000000005"/>
    <n v="230.58"/>
    <n v="0"/>
    <n v="0"/>
    <n v="1"/>
  </r>
  <r>
    <s v="Brand ABC TDM"/>
    <x v="2"/>
    <x v="2"/>
    <s v="Pants"/>
    <s v="A4A7V-GCWD"/>
    <s v="Heritage"/>
    <s v="XL"/>
    <x v="1"/>
    <d v="2024-10-25T00:00:00"/>
    <d v="2024-10-25T00:00:00"/>
    <n v="1"/>
    <n v="85.551100000000005"/>
    <n v="230.57"/>
    <n v="0"/>
    <n v="0"/>
    <n v="1"/>
  </r>
  <r>
    <s v="Brand ABC TDM"/>
    <x v="2"/>
    <x v="2"/>
    <s v="Pants"/>
    <s v="A5A1O-BBBB"/>
    <s v="Crest"/>
    <s v="L"/>
    <x v="0"/>
    <d v="2024-05-20T00:00:00"/>
    <d v="2024-12-16T00:00:00"/>
    <n v="23"/>
    <n v="1609.1489999999999"/>
    <n v="4421.7"/>
    <n v="5"/>
    <n v="358.77949999999998"/>
    <n v="28"/>
  </r>
  <r>
    <s v="Brand ABC TDM"/>
    <x v="2"/>
    <x v="2"/>
    <s v="Pants"/>
    <s v="A5A1O-BBBB"/>
    <s v="Crest"/>
    <s v="M"/>
    <x v="0"/>
    <d v="2024-05-20T00:00:00"/>
    <d v="2024-12-14T00:00:00"/>
    <n v="28"/>
    <n v="1954.1714999999999"/>
    <n v="5318.54"/>
    <n v="11"/>
    <n v="788.65269999999998"/>
    <n v="39"/>
  </r>
  <r>
    <s v="Brand ABC TDM"/>
    <x v="2"/>
    <x v="2"/>
    <s v="Pants"/>
    <s v="A5A1O-BBBB"/>
    <s v="Crest"/>
    <s v="S"/>
    <x v="0"/>
    <d v="2024-05-20T00:00:00"/>
    <d v="2024-12-11T00:00:00"/>
    <n v="21"/>
    <n v="1472.1139000000001"/>
    <n v="3983.69"/>
    <n v="1"/>
    <n v="71.521699999999996"/>
    <n v="22"/>
  </r>
  <r>
    <s v="Brand ABC TDM"/>
    <x v="2"/>
    <x v="2"/>
    <s v="Pants"/>
    <s v="A5A1O-BBBB"/>
    <s v="Crest"/>
    <s v="XL"/>
    <x v="0"/>
    <d v="2024-05-20T00:00:00"/>
    <d v="2024-12-21T00:00:00"/>
    <n v="4"/>
    <n v="280.95940000000002"/>
    <n v="792.57"/>
    <n v="1"/>
    <n v="72.016900000000007"/>
    <n v="5"/>
  </r>
  <r>
    <s v="Brand ABC TDM"/>
    <x v="2"/>
    <x v="2"/>
    <s v="Pants"/>
    <s v="A5A1O-BBBB"/>
    <s v="Crest"/>
    <s v="XS"/>
    <x v="0"/>
    <d v="2024-10-28T00:00:00"/>
    <d v="2024-12-03T00:00:00"/>
    <n v="7"/>
    <n v="489.8793"/>
    <n v="1355.7"/>
    <n v="0"/>
    <n v="0"/>
    <n v="7"/>
  </r>
  <r>
    <s v="Brand ABC TDM"/>
    <x v="2"/>
    <x v="2"/>
    <s v="Pants"/>
    <s v="A5A1O-GBCN"/>
    <s v="Crest"/>
    <s v="L"/>
    <x v="0"/>
    <d v="2024-11-12T00:00:00"/>
    <d v="2024-12-17T00:00:00"/>
    <n v="15"/>
    <n v="1052.9467"/>
    <n v="2857.4"/>
    <n v="4"/>
    <n v="286.8956"/>
    <n v="19"/>
  </r>
  <r>
    <s v="Brand ABC TDM"/>
    <x v="2"/>
    <x v="2"/>
    <s v="Pants"/>
    <s v="A5A1O-GBCN"/>
    <s v="Crest"/>
    <s v="M"/>
    <x v="0"/>
    <d v="2024-11-12T00:00:00"/>
    <d v="2024-12-10T00:00:00"/>
    <n v="27"/>
    <n v="1898.5156999999999"/>
    <n v="5109.95"/>
    <n v="6"/>
    <n v="431.78460000000001"/>
    <n v="33"/>
  </r>
  <r>
    <s v="Brand ABC TDM"/>
    <x v="2"/>
    <x v="2"/>
    <s v="Pants"/>
    <s v="A5A1O-GBCN"/>
    <s v="Crest"/>
    <s v="S"/>
    <x v="0"/>
    <d v="2024-11-12T00:00:00"/>
    <d v="2024-12-21T00:00:00"/>
    <n v="10"/>
    <n v="700.52670000000001"/>
    <n v="1877.13"/>
    <n v="4"/>
    <n v="286.35120000000001"/>
    <n v="14"/>
  </r>
  <r>
    <s v="Brand ABC TDM"/>
    <x v="2"/>
    <x v="2"/>
    <s v="Pants"/>
    <s v="A5A1O-GBCN"/>
    <s v="Crest"/>
    <s v="XL"/>
    <x v="0"/>
    <d v="2024-11-12T00:00:00"/>
    <d v="2024-12-16T00:00:00"/>
    <n v="6"/>
    <n v="415.19479999999999"/>
    <n v="1147.1400000000001"/>
    <n v="2"/>
    <n v="143.14599999999999"/>
    <n v="8"/>
  </r>
  <r>
    <s v="Brand ABC TDM"/>
    <x v="2"/>
    <x v="2"/>
    <s v="Pants"/>
    <s v="A5A1O-GBCN"/>
    <s v="Crest"/>
    <s v="XS"/>
    <x v="0"/>
    <d v="2024-11-12T00:00:00"/>
    <d v="2024-12-19T00:00:00"/>
    <n v="6"/>
    <n v="424.98180000000002"/>
    <n v="1126.3800000000001"/>
    <n v="2"/>
    <n v="144.03380000000001"/>
    <n v="8"/>
  </r>
  <r>
    <s v="Brand ABC TDM"/>
    <x v="2"/>
    <x v="2"/>
    <s v="Pants"/>
    <s v="A5A1O-NCCZ"/>
    <s v="Crest"/>
    <s v="L"/>
    <x v="1"/>
    <d v="2024-10-28T00:00:00"/>
    <d v="2024-12-13T00:00:00"/>
    <n v="6"/>
    <n v="417.60939999999999"/>
    <n v="1147.1400000000001"/>
    <n v="6"/>
    <n v="425.23439999999999"/>
    <n v="12"/>
  </r>
  <r>
    <s v="Brand ABC TDM"/>
    <x v="2"/>
    <x v="2"/>
    <s v="Pants"/>
    <s v="A5A1O-NCCZ"/>
    <s v="Crest"/>
    <s v="M"/>
    <x v="1"/>
    <d v="2024-10-28T00:00:00"/>
    <d v="2024-12-09T00:00:00"/>
    <n v="13"/>
    <n v="916.87159999999994"/>
    <n v="2419.39"/>
    <n v="2"/>
    <n v="143.2098"/>
    <n v="15"/>
  </r>
  <r>
    <s v="Brand ABC TDM"/>
    <x v="2"/>
    <x v="2"/>
    <s v="Pants"/>
    <s v="A5A1O-NCCZ"/>
    <s v="Crest"/>
    <s v="S"/>
    <x v="1"/>
    <d v="2024-10-28T00:00:00"/>
    <d v="2024-12-03T00:00:00"/>
    <n v="9"/>
    <n v="633.9135"/>
    <n v="1731.13"/>
    <n v="0"/>
    <n v="0"/>
    <n v="9"/>
  </r>
  <r>
    <s v="Brand ABC TDM"/>
    <x v="2"/>
    <x v="2"/>
    <s v="Pants"/>
    <s v="A5A1O-NCCZ"/>
    <s v="Crest"/>
    <s v="XS"/>
    <x v="1"/>
    <d v="2024-10-28T00:00:00"/>
    <d v="2024-10-28T00:00:00"/>
    <n v="2"/>
    <n v="136.91419999999999"/>
    <n v="375.42"/>
    <n v="0"/>
    <n v="0"/>
    <n v="2"/>
  </r>
  <r>
    <s v="Brand ABC TDM"/>
    <x v="2"/>
    <x v="2"/>
    <s v="Pants"/>
    <s v="A5A8Y-BB2J"/>
    <s v="Crest"/>
    <s v="S"/>
    <x v="0"/>
    <d v="2024-12-11T00:00:00"/>
    <d v="2024-12-18T00:00:00"/>
    <n v="0"/>
    <n v="0"/>
    <n v="0"/>
    <n v="1"/>
    <n v="72.016900000000007"/>
    <n v="1"/>
  </r>
  <r>
    <s v="Brand ABC TDM"/>
    <x v="2"/>
    <x v="2"/>
    <s v="Pants"/>
    <s v="A5A8Y-GBCN"/>
    <s v="Crest"/>
    <s v="S"/>
    <x v="0"/>
    <d v="2024-12-11T00:00:00"/>
    <d v="2024-12-11T00:00:00"/>
    <n v="0"/>
    <n v="0"/>
    <n v="0"/>
    <n v="1"/>
    <n v="72.018799999999999"/>
    <n v="1"/>
  </r>
  <r>
    <s v="Brand ABC TDM"/>
    <x v="2"/>
    <x v="2"/>
    <s v="Pants"/>
    <s v="A6A2G-BB2J"/>
    <s v="Rest Day Essentials"/>
    <s v="M"/>
    <x v="0"/>
    <d v="2024-10-25T00:00:00"/>
    <d v="2024-11-19T00:00:00"/>
    <n v="2"/>
    <n v="188.2466"/>
    <n v="512.57000000000005"/>
    <n v="0"/>
    <n v="0"/>
    <n v="2"/>
  </r>
  <r>
    <s v="Brand ABC TDM"/>
    <x v="2"/>
    <x v="2"/>
    <s v="Pants"/>
    <s v="A6A2G-BB2J"/>
    <s v="Rest Day Essentials"/>
    <s v="S"/>
    <x v="0"/>
    <d v="2024-10-25T00:00:00"/>
    <d v="2024-11-19T00:00:00"/>
    <n v="2"/>
    <n v="188.25280000000001"/>
    <n v="512.57000000000005"/>
    <n v="2"/>
    <n v="188.25280000000001"/>
    <n v="4"/>
  </r>
  <r>
    <s v="Brand ABC TDM"/>
    <x v="2"/>
    <x v="2"/>
    <s v="Pants"/>
    <s v="A6A2G-BB2J"/>
    <s v="Rest Day Essentials"/>
    <s v="XS"/>
    <x v="0"/>
    <d v="2024-10-25T00:00:00"/>
    <d v="2024-11-19T00:00:00"/>
    <n v="2"/>
    <n v="188.2561"/>
    <n v="512.57000000000005"/>
    <n v="0"/>
    <n v="0"/>
    <n v="2"/>
  </r>
  <r>
    <s v="Brand ABC TDM"/>
    <x v="2"/>
    <x v="2"/>
    <s v="Pants"/>
    <s v="A6A2G-NBZS"/>
    <s v="Rest Day Essentials"/>
    <s v="L"/>
    <x v="1"/>
    <d v="2024-10-26T00:00:00"/>
    <d v="2024-11-18T00:00:00"/>
    <n v="1"/>
    <n v="94.118300000000005"/>
    <n v="256.29000000000002"/>
    <n v="0"/>
    <n v="0"/>
    <n v="1"/>
  </r>
  <r>
    <s v="Brand ABC TDM"/>
    <x v="2"/>
    <x v="2"/>
    <s v="Pants"/>
    <s v="A6A2G-NBZS"/>
    <s v="Rest Day Essentials"/>
    <s v="M"/>
    <x v="1"/>
    <d v="2024-10-26T00:00:00"/>
    <d v="2024-11-14T00:00:00"/>
    <n v="3"/>
    <n v="282.35849999999999"/>
    <n v="768.87"/>
    <n v="0"/>
    <n v="0"/>
    <n v="3"/>
  </r>
  <r>
    <s v="Brand ABC TDM"/>
    <x v="2"/>
    <x v="2"/>
    <s v="Pants"/>
    <s v="A6A2G-NBZS"/>
    <s v="Rest Day Essentials"/>
    <s v="S"/>
    <x v="1"/>
    <d v="2024-10-26T00:00:00"/>
    <d v="2024-11-19T00:00:00"/>
    <n v="2"/>
    <n v="188.23660000000001"/>
    <n v="512.57000000000005"/>
    <n v="0"/>
    <n v="0"/>
    <n v="2"/>
  </r>
  <r>
    <s v="Brand ABC TDM"/>
    <x v="2"/>
    <x v="2"/>
    <s v="Pants"/>
    <s v="A6A3Q-BB67"/>
    <s v="Premium Legacy"/>
    <s v="L"/>
    <x v="0"/>
    <d v="2024-10-28T00:00:00"/>
    <d v="2024-12-21T00:00:00"/>
    <n v="6"/>
    <n v="573.20690000000002"/>
    <n v="1566.2"/>
    <n v="5"/>
    <n v="486.56599999999997"/>
    <n v="11"/>
  </r>
  <r>
    <s v="Brand ABC TDM"/>
    <x v="2"/>
    <x v="2"/>
    <s v="Pants"/>
    <s v="A6A3Q-BB67"/>
    <s v="Premium Legacy"/>
    <s v="M"/>
    <x v="0"/>
    <d v="2024-10-28T00:00:00"/>
    <d v="2024-12-19T00:00:00"/>
    <n v="15"/>
    <n v="1456.9418000000001"/>
    <n v="3986.69"/>
    <n v="5"/>
    <n v="493.94400000000002"/>
    <n v="20"/>
  </r>
  <r>
    <s v="Brand ABC TDM"/>
    <x v="2"/>
    <x v="2"/>
    <s v="Pants"/>
    <s v="A6A3Q-BB67"/>
    <s v="Premium Legacy"/>
    <s v="S"/>
    <x v="0"/>
    <d v="2024-10-28T00:00:00"/>
    <d v="2024-12-12T00:00:00"/>
    <n v="8"/>
    <n v="774.07169999999996"/>
    <n v="2050.3000000000002"/>
    <n v="4"/>
    <n v="394.5016"/>
    <n v="12"/>
  </r>
  <r>
    <s v="Brand ABC TDM"/>
    <x v="2"/>
    <x v="2"/>
    <s v="Pants"/>
    <s v="A6A3Q-BB67"/>
    <s v="Premium Legacy"/>
    <s v="XL"/>
    <x v="0"/>
    <d v="2024-10-28T00:00:00"/>
    <d v="2024-12-21T00:00:00"/>
    <n v="0"/>
    <n v="0"/>
    <n v="0"/>
    <n v="2"/>
    <n v="188.23660000000001"/>
    <n v="2"/>
  </r>
  <r>
    <s v="Brand ABC TDM"/>
    <x v="2"/>
    <x v="2"/>
    <s v="Pants"/>
    <s v="A6A3Q-BB67"/>
    <s v="Premium Legacy"/>
    <s v="XS"/>
    <x v="0"/>
    <d v="2024-10-28T00:00:00"/>
    <d v="2024-12-18T00:00:00"/>
    <n v="1"/>
    <n v="94.118300000000005"/>
    <n v="284.76"/>
    <n v="2"/>
    <n v="193.13079999999999"/>
    <n v="3"/>
  </r>
  <r>
    <s v="Brand ABC TDM"/>
    <x v="2"/>
    <x v="2"/>
    <s v="Pants"/>
    <s v="A6A3Q-NB4S"/>
    <s v="Premium Legacy"/>
    <s v="L"/>
    <x v="1"/>
    <d v="2024-12-12T00:00:00"/>
    <d v="2024-12-21T00:00:00"/>
    <n v="0"/>
    <n v="0"/>
    <n v="0"/>
    <n v="6"/>
    <n v="594.07500000000005"/>
    <n v="6"/>
  </r>
  <r>
    <s v="Brand ABC TDM"/>
    <x v="2"/>
    <x v="2"/>
    <s v="Pants"/>
    <s v="A6A3Q-NB4S"/>
    <s v="Premium Legacy"/>
    <s v="M"/>
    <x v="1"/>
    <d v="2024-12-12T00:00:00"/>
    <d v="2024-12-20T00:00:00"/>
    <n v="0"/>
    <n v="0"/>
    <n v="0"/>
    <n v="6"/>
    <n v="594.07500000000005"/>
    <n v="6"/>
  </r>
  <r>
    <s v="Brand ABC TDM"/>
    <x v="2"/>
    <x v="2"/>
    <s v="Pants"/>
    <s v="A6A3Q-NB4S"/>
    <s v="Premium Legacy"/>
    <s v="S"/>
    <x v="1"/>
    <d v="2024-12-12T00:00:00"/>
    <d v="2024-12-21T00:00:00"/>
    <n v="0"/>
    <n v="0"/>
    <n v="0"/>
    <n v="4"/>
    <n v="396.05"/>
    <n v="4"/>
  </r>
  <r>
    <s v="Brand ABC TDM"/>
    <x v="2"/>
    <x v="2"/>
    <s v="Pants"/>
    <s v="A6A3Q-NB4S"/>
    <s v="Premium Legacy"/>
    <s v="XL"/>
    <x v="1"/>
    <d v="2024-12-12T00:00:00"/>
    <d v="2024-12-21T00:00:00"/>
    <n v="0"/>
    <n v="0"/>
    <n v="0"/>
    <n v="2"/>
    <n v="198.02500000000001"/>
    <n v="2"/>
  </r>
  <r>
    <s v="Brand ABC TDM"/>
    <x v="2"/>
    <x v="2"/>
    <s v="Pants"/>
    <s v="A6A3Q-NB4S"/>
    <s v="Premium Legacy"/>
    <s v="XS"/>
    <x v="1"/>
    <d v="2024-12-12T00:00:00"/>
    <d v="2024-12-18T00:00:00"/>
    <n v="0"/>
    <n v="0"/>
    <n v="0"/>
    <n v="2"/>
    <n v="198.02500000000001"/>
    <n v="2"/>
  </r>
  <r>
    <s v="Brand ABC TDM"/>
    <x v="2"/>
    <x v="2"/>
    <s v="Pants"/>
    <s v="A6A3Q-UCZQ"/>
    <s v="Premium Legacy"/>
    <s v="L"/>
    <x v="1"/>
    <d v="2024-10-28T00:00:00"/>
    <d v="2024-12-18T00:00:00"/>
    <n v="1"/>
    <n v="94.118300000000005"/>
    <n v="256.29000000000002"/>
    <n v="6"/>
    <n v="569.60400000000004"/>
    <n v="7"/>
  </r>
  <r>
    <s v="Brand ABC TDM"/>
    <x v="2"/>
    <x v="2"/>
    <s v="Pants"/>
    <s v="A6A3Q-UCZQ"/>
    <s v="Premium Legacy"/>
    <s v="M"/>
    <x v="1"/>
    <d v="2024-10-28T00:00:00"/>
    <d v="2024-12-21T00:00:00"/>
    <n v="5"/>
    <n v="477.49869999999999"/>
    <n v="1309.9100000000001"/>
    <n v="5"/>
    <n v="483.26150000000001"/>
    <n v="10"/>
  </r>
  <r>
    <s v="Brand ABC TDM"/>
    <x v="2"/>
    <x v="2"/>
    <s v="Pants"/>
    <s v="A6A3Q-UCZQ"/>
    <s v="Premium Legacy"/>
    <s v="S"/>
    <x v="1"/>
    <d v="2024-10-28T00:00:00"/>
    <d v="2024-12-18T00:00:00"/>
    <n v="2"/>
    <n v="189.46019999999999"/>
    <n v="512.58000000000004"/>
    <n v="4"/>
    <n v="385.03840000000002"/>
    <n v="6"/>
  </r>
  <r>
    <s v="Brand ABC TDM"/>
    <x v="2"/>
    <x v="2"/>
    <s v="Pants"/>
    <s v="A6A3Q-UCZQ"/>
    <s v="Premium Legacy"/>
    <s v="XS"/>
    <x v="1"/>
    <d v="2024-10-28T00:00:00"/>
    <d v="2024-10-28T00:00:00"/>
    <n v="0"/>
    <n v="0"/>
    <n v="0"/>
    <n v="2"/>
    <n v="188.23660000000001"/>
    <n v="2"/>
  </r>
  <r>
    <s v="Brand ABC TDM"/>
    <x v="2"/>
    <x v="2"/>
    <s v="Pants"/>
    <s v="A6A5W-BB2J"/>
    <s v="Impact"/>
    <s v="L"/>
    <x v="0"/>
    <d v="2024-10-26T00:00:00"/>
    <d v="2024-11-21T00:00:00"/>
    <n v="8"/>
    <n v="547.65679999999998"/>
    <n v="1501.7"/>
    <n v="0"/>
    <n v="0"/>
    <n v="8"/>
  </r>
  <r>
    <s v="Brand ABC TDM"/>
    <x v="2"/>
    <x v="2"/>
    <s v="Pants"/>
    <s v="A6A5W-BB2J"/>
    <s v="Impact"/>
    <s v="M"/>
    <x v="0"/>
    <d v="2024-10-26T00:00:00"/>
    <d v="2024-11-20T00:00:00"/>
    <n v="11"/>
    <n v="752.6721"/>
    <n v="2064.87"/>
    <n v="0"/>
    <n v="0"/>
    <n v="11"/>
  </r>
  <r>
    <s v="Brand ABC TDM"/>
    <x v="2"/>
    <x v="2"/>
    <s v="Pants"/>
    <s v="A6A5W-BB2J"/>
    <s v="Impact"/>
    <s v="S"/>
    <x v="0"/>
    <d v="2024-10-26T00:00:00"/>
    <d v="2024-12-04T00:00:00"/>
    <n v="10"/>
    <n v="684.57100000000003"/>
    <n v="1856.28"/>
    <n v="0"/>
    <n v="0"/>
    <n v="10"/>
  </r>
  <r>
    <s v="Brand ABC TDM"/>
    <x v="2"/>
    <x v="2"/>
    <s v="Pants"/>
    <s v="A6A5W-BB2J"/>
    <s v="Impact"/>
    <s v="XL"/>
    <x v="0"/>
    <d v="2024-10-26T00:00:00"/>
    <d v="2024-10-26T00:00:00"/>
    <n v="1"/>
    <n v="68.457099999999997"/>
    <n v="187.72"/>
    <n v="1"/>
    <n v="68.457099999999997"/>
    <n v="2"/>
  </r>
  <r>
    <s v="Brand ABC TDM"/>
    <x v="2"/>
    <x v="2"/>
    <s v="Pants"/>
    <s v="A6A5W-BB2J"/>
    <s v="Impact"/>
    <s v="XS"/>
    <x v="0"/>
    <d v="2024-10-26T00:00:00"/>
    <d v="2024-11-12T00:00:00"/>
    <n v="3"/>
    <n v="205.37129999999999"/>
    <n v="563.14"/>
    <n v="0"/>
    <n v="0"/>
    <n v="3"/>
  </r>
  <r>
    <s v="Brand ABC TDM"/>
    <x v="2"/>
    <x v="2"/>
    <s v="Pants"/>
    <s v="A6A5W-GB7N"/>
    <s v="Impact"/>
    <s v="L"/>
    <x v="1"/>
    <d v="2024-10-26T00:00:00"/>
    <d v="2024-10-26T00:00:00"/>
    <n v="1"/>
    <n v="68.457099999999997"/>
    <n v="187.71"/>
    <n v="0"/>
    <n v="0"/>
    <n v="1"/>
  </r>
  <r>
    <s v="Brand ABC TDM"/>
    <x v="2"/>
    <x v="2"/>
    <s v="Pants"/>
    <s v="A6A5W-GB7N"/>
    <s v="Impact"/>
    <s v="M"/>
    <x v="1"/>
    <d v="2024-10-26T00:00:00"/>
    <d v="2024-11-13T00:00:00"/>
    <n v="6"/>
    <n v="410.74259999999998"/>
    <n v="1084.56"/>
    <n v="0"/>
    <n v="0"/>
    <n v="6"/>
  </r>
  <r>
    <s v="Brand ABC TDM"/>
    <x v="2"/>
    <x v="2"/>
    <s v="Pants"/>
    <s v="A6A5W-GB7N"/>
    <s v="Impact"/>
    <s v="S"/>
    <x v="1"/>
    <d v="2024-10-26T00:00:00"/>
    <d v="2024-10-26T00:00:00"/>
    <n v="1"/>
    <n v="68.457099999999997"/>
    <n v="187.71"/>
    <n v="0"/>
    <n v="0"/>
    <n v="1"/>
  </r>
  <r>
    <s v="Brand ABC TDM"/>
    <x v="2"/>
    <x v="2"/>
    <s v="Pants"/>
    <s v="A6A6B-BB2J"/>
    <s v="Power"/>
    <s v="L"/>
    <x v="0"/>
    <d v="2024-10-26T00:00:00"/>
    <d v="2024-12-21T00:00:00"/>
    <n v="0"/>
    <n v="0"/>
    <n v="0"/>
    <n v="6"/>
    <n v="465.18959999999998"/>
    <n v="6"/>
  </r>
  <r>
    <s v="Brand ABC TDM"/>
    <x v="2"/>
    <x v="2"/>
    <s v="Pants"/>
    <s v="A6A6B-BB2J"/>
    <s v="Power"/>
    <s v="M"/>
    <x v="0"/>
    <d v="2024-10-26T00:00:00"/>
    <d v="2024-12-21T00:00:00"/>
    <n v="0"/>
    <n v="0"/>
    <n v="0"/>
    <n v="6"/>
    <n v="453.5274"/>
    <n v="6"/>
  </r>
  <r>
    <s v="Brand ABC TDM"/>
    <x v="2"/>
    <x v="2"/>
    <s v="Pants"/>
    <s v="A6A6B-BB2J"/>
    <s v="Power"/>
    <s v="S"/>
    <x v="0"/>
    <d v="2024-10-26T00:00:00"/>
    <d v="2024-12-21T00:00:00"/>
    <n v="0"/>
    <n v="0"/>
    <n v="0"/>
    <n v="4"/>
    <n v="302.35160000000002"/>
    <n v="4"/>
  </r>
  <r>
    <s v="Brand ABC TDM"/>
    <x v="2"/>
    <x v="2"/>
    <s v="Pants"/>
    <s v="A6A6B-BB2J"/>
    <s v="Power"/>
    <s v="XL"/>
    <x v="0"/>
    <d v="2024-12-12T00:00:00"/>
    <d v="2024-12-12T00:00:00"/>
    <n v="0"/>
    <n v="0"/>
    <n v="0"/>
    <n v="2"/>
    <n v="151.17580000000001"/>
    <n v="2"/>
  </r>
  <r>
    <s v="Brand ABC TDM"/>
    <x v="2"/>
    <x v="2"/>
    <s v="Pants"/>
    <s v="A6A6B-BB2J"/>
    <s v="Power"/>
    <s v="XS"/>
    <x v="0"/>
    <d v="2024-12-12T00:00:00"/>
    <d v="2024-12-12T00:00:00"/>
    <n v="0"/>
    <n v="0"/>
    <n v="0"/>
    <n v="2"/>
    <n v="151.17580000000001"/>
    <n v="2"/>
  </r>
  <r>
    <s v="Brand ABC TDM"/>
    <x v="2"/>
    <x v="2"/>
    <s v="Pants"/>
    <s v="A6A9A-BB2J"/>
    <s v="Shark Attack V2"/>
    <s v="L"/>
    <x v="1"/>
    <d v="2024-12-04T00:00:00"/>
    <d v="2024-12-20T00:00:00"/>
    <n v="2"/>
    <n v="287.98219999999998"/>
    <n v="794.39"/>
    <n v="5"/>
    <n v="719.95550000000003"/>
    <n v="7"/>
  </r>
  <r>
    <s v="Brand ABC TDM"/>
    <x v="2"/>
    <x v="2"/>
    <s v="Pants"/>
    <s v="A6A9A-BB2J"/>
    <s v="Shark Attack V2"/>
    <s v="M"/>
    <x v="1"/>
    <d v="2024-12-04T00:00:00"/>
    <d v="2024-12-17T00:00:00"/>
    <n v="2"/>
    <n v="287.98219999999998"/>
    <n v="752.57"/>
    <n v="5"/>
    <n v="719.95550000000003"/>
    <n v="7"/>
  </r>
  <r>
    <s v="Brand ABC TDM"/>
    <x v="2"/>
    <x v="2"/>
    <s v="Pants"/>
    <s v="A6A9A-BB2J"/>
    <s v="Shark Attack V2"/>
    <s v="S"/>
    <x v="1"/>
    <d v="2024-12-04T00:00:00"/>
    <d v="2024-12-16T00:00:00"/>
    <n v="2"/>
    <n v="287.98219999999998"/>
    <n v="752.57"/>
    <n v="4"/>
    <n v="575.96439999999996"/>
    <n v="6"/>
  </r>
  <r>
    <s v="Brand ABC TDM"/>
    <x v="2"/>
    <x v="2"/>
    <s v="Pants"/>
    <s v="A6A9A-BB2J"/>
    <s v="Shark Attack V2"/>
    <s v="XL"/>
    <x v="1"/>
    <d v="2024-12-04T00:00:00"/>
    <d v="2024-12-16T00:00:00"/>
    <n v="1"/>
    <n v="143.99109999999999"/>
    <n v="418.1"/>
    <n v="2"/>
    <n v="287.98219999999998"/>
    <n v="3"/>
  </r>
  <r>
    <s v="Brand ABC TDM"/>
    <x v="2"/>
    <x v="2"/>
    <s v="Pants"/>
    <s v="A6A9U-BB2J"/>
    <s v="Nexus"/>
    <s v="L"/>
    <x v="2"/>
    <d v="2024-10-26T00:00:00"/>
    <d v="2024-11-30T00:00:00"/>
    <n v="0"/>
    <n v="0"/>
    <n v="0"/>
    <n v="3"/>
    <n v="355.18680000000001"/>
    <n v="3"/>
  </r>
  <r>
    <s v="Brand ABC TDM"/>
    <x v="2"/>
    <x v="2"/>
    <s v="Pants"/>
    <s v="A6A9U-BB2J"/>
    <s v="Nexus"/>
    <s v="M"/>
    <x v="2"/>
    <d v="2024-10-26T00:00:00"/>
    <d v="2024-11-30T00:00:00"/>
    <n v="0"/>
    <n v="0"/>
    <n v="0"/>
    <n v="3"/>
    <n v="355.33139999999997"/>
    <n v="3"/>
  </r>
  <r>
    <s v="Brand ABC TDM"/>
    <x v="2"/>
    <x v="2"/>
    <s v="Pullovers"/>
    <s v="A1B5F-UC32"/>
    <s v="Heavyweight Ribbed"/>
    <s v="L"/>
    <x v="2"/>
    <d v="2024-11-12T00:00:00"/>
    <d v="2024-12-21T00:00:00"/>
    <n v="0"/>
    <n v="0"/>
    <n v="0"/>
    <n v="6"/>
    <n v="539.35559999999998"/>
    <n v="6"/>
  </r>
  <r>
    <s v="Brand ABC TDM"/>
    <x v="2"/>
    <x v="2"/>
    <s v="Pullovers"/>
    <s v="A1B5F-UC32"/>
    <s v="Heavyweight Ribbed"/>
    <s v="M"/>
    <x v="2"/>
    <d v="2024-11-12T00:00:00"/>
    <d v="2024-12-21T00:00:00"/>
    <n v="0"/>
    <n v="0"/>
    <n v="0"/>
    <n v="6"/>
    <n v="539.89980000000003"/>
    <n v="6"/>
  </r>
  <r>
    <s v="Brand ABC TDM"/>
    <x v="2"/>
    <x v="2"/>
    <s v="Pullovers"/>
    <s v="A1B5F-UC32"/>
    <s v="Heavyweight Ribbed"/>
    <s v="S"/>
    <x v="2"/>
    <d v="2024-11-12T00:00:00"/>
    <d v="2024-12-21T00:00:00"/>
    <n v="0"/>
    <n v="0"/>
    <n v="0"/>
    <n v="4"/>
    <n v="358.74799999999999"/>
    <n v="4"/>
  </r>
  <r>
    <s v="Brand ABC TDM"/>
    <x v="2"/>
    <x v="2"/>
    <s v="Pullovers"/>
    <s v="A1B5F-UC32"/>
    <s v="Heavyweight Ribbed"/>
    <s v="XS"/>
    <x v="2"/>
    <d v="2024-11-12T00:00:00"/>
    <d v="2024-12-14T00:00:00"/>
    <n v="0"/>
    <n v="0"/>
    <n v="0"/>
    <n v="2"/>
    <n v="189.3596"/>
    <n v="2"/>
  </r>
  <r>
    <s v="Brand ABC TDM"/>
    <x v="2"/>
    <x v="2"/>
    <s v="Pullovers"/>
    <s v="A1B5L-BB2J"/>
    <s v="Legacy"/>
    <s v="L"/>
    <x v="2"/>
    <d v="2024-12-07T00:00:00"/>
    <d v="2024-12-12T00:00:00"/>
    <n v="4"/>
    <n v="288.06760000000003"/>
    <n v="750.85"/>
    <n v="4"/>
    <n v="288.06760000000003"/>
    <n v="8"/>
  </r>
  <r>
    <s v="Brand ABC TDM"/>
    <x v="2"/>
    <x v="2"/>
    <s v="Pullovers"/>
    <s v="A1B5L-BB2J"/>
    <s v="Legacy"/>
    <s v="M"/>
    <x v="2"/>
    <d v="2024-12-07T00:00:00"/>
    <d v="2024-12-12T00:00:00"/>
    <n v="1"/>
    <n v="72.016900000000007"/>
    <n v="208.57"/>
    <n v="6"/>
    <n v="432.10140000000001"/>
    <n v="7"/>
  </r>
  <r>
    <s v="Brand ABC TDM"/>
    <x v="2"/>
    <x v="2"/>
    <s v="Pullovers"/>
    <s v="A1B5L-BB2J"/>
    <s v="Legacy"/>
    <s v="S"/>
    <x v="2"/>
    <d v="2024-12-07T00:00:00"/>
    <d v="2024-12-07T00:00:00"/>
    <n v="2"/>
    <n v="144.03380000000001"/>
    <n v="396.28"/>
    <n v="2"/>
    <n v="144.03380000000001"/>
    <n v="4"/>
  </r>
  <r>
    <s v="Brand ABC TDM"/>
    <x v="2"/>
    <x v="2"/>
    <s v="Pullovers"/>
    <s v="A1B5L-BB2J"/>
    <s v="Legacy"/>
    <s v="XS"/>
    <x v="2"/>
    <d v="2024-12-07T00:00:00"/>
    <d v="2024-12-07T00:00:00"/>
    <n v="0"/>
    <n v="0"/>
    <n v="0"/>
    <n v="2"/>
    <n v="144.03380000000001"/>
    <n v="2"/>
  </r>
  <r>
    <s v="Brand ABC TDM"/>
    <x v="2"/>
    <x v="2"/>
    <s v="Pullovers"/>
    <s v="A1B5L-ECH1"/>
    <s v="Legacy"/>
    <s v="L"/>
    <x v="1"/>
    <d v="2024-12-07T00:00:00"/>
    <d v="2024-12-07T00:00:00"/>
    <n v="2"/>
    <n v="144.03380000000001"/>
    <n v="396.29"/>
    <n v="2"/>
    <n v="144.03380000000001"/>
    <n v="4"/>
  </r>
  <r>
    <s v="Brand ABC TDM"/>
    <x v="2"/>
    <x v="2"/>
    <s v="Pullovers"/>
    <s v="A1B5L-ECH1"/>
    <s v="Legacy"/>
    <s v="M"/>
    <x v="1"/>
    <d v="2024-12-07T00:00:00"/>
    <d v="2024-12-07T00:00:00"/>
    <n v="0"/>
    <n v="0"/>
    <n v="0"/>
    <n v="6"/>
    <n v="432.10140000000001"/>
    <n v="6"/>
  </r>
  <r>
    <s v="Brand ABC TDM"/>
    <x v="2"/>
    <x v="2"/>
    <s v="Pullovers"/>
    <s v="A1B5L-ECH1"/>
    <s v="Legacy"/>
    <s v="S"/>
    <x v="1"/>
    <d v="2024-12-07T00:00:00"/>
    <d v="2024-12-07T00:00:00"/>
    <n v="0"/>
    <n v="0"/>
    <n v="0"/>
    <n v="4"/>
    <n v="288.06760000000003"/>
    <n v="4"/>
  </r>
  <r>
    <s v="Brand ABC TDM"/>
    <x v="2"/>
    <x v="2"/>
    <s v="Pullovers"/>
    <s v="A1B5L-ECH1"/>
    <s v="Legacy"/>
    <s v="XS"/>
    <x v="1"/>
    <d v="2024-12-07T00:00:00"/>
    <d v="2024-12-07T00:00:00"/>
    <n v="0"/>
    <n v="0"/>
    <n v="0"/>
    <n v="2"/>
    <n v="144.03380000000001"/>
    <n v="2"/>
  </r>
  <r>
    <s v="Brand ABC TDM"/>
    <x v="2"/>
    <x v="2"/>
    <s v="Pullovers"/>
    <s v="A1B5L-GBCN"/>
    <s v="Legacy"/>
    <s v="L"/>
    <x v="1"/>
    <d v="2024-12-07T00:00:00"/>
    <d v="2024-12-14T00:00:00"/>
    <n v="2"/>
    <n v="144.03380000000001"/>
    <n v="417.14"/>
    <n v="6"/>
    <n v="432.10140000000001"/>
    <n v="8"/>
  </r>
  <r>
    <s v="Brand ABC TDM"/>
    <x v="2"/>
    <x v="2"/>
    <s v="Pullovers"/>
    <s v="A1B5L-GBCN"/>
    <s v="Legacy"/>
    <s v="M"/>
    <x v="1"/>
    <d v="2024-12-07T00:00:00"/>
    <d v="2024-12-14T00:00:00"/>
    <n v="1"/>
    <n v="72.016900000000007"/>
    <n v="208.57"/>
    <n v="6"/>
    <n v="432.10140000000001"/>
    <n v="7"/>
  </r>
  <r>
    <s v="Brand ABC TDM"/>
    <x v="2"/>
    <x v="2"/>
    <s v="Pullovers"/>
    <s v="A1B5L-GBCN"/>
    <s v="Legacy"/>
    <s v="S"/>
    <x v="1"/>
    <d v="2024-12-07T00:00:00"/>
    <d v="2024-12-07T00:00:00"/>
    <n v="1"/>
    <n v="72.016900000000007"/>
    <n v="187.71"/>
    <n v="4"/>
    <n v="288.06760000000003"/>
    <n v="5"/>
  </r>
  <r>
    <s v="Brand ABC TDM"/>
    <x v="2"/>
    <x v="2"/>
    <s v="Pullovers"/>
    <s v="A1B5L-GBCN"/>
    <s v="Legacy"/>
    <s v="XS"/>
    <x v="1"/>
    <d v="2024-12-07T00:00:00"/>
    <d v="2024-12-07T00:00:00"/>
    <n v="0"/>
    <n v="0"/>
    <n v="0"/>
    <n v="2"/>
    <n v="144.03380000000001"/>
    <n v="2"/>
  </r>
  <r>
    <s v="Brand ABC TDM"/>
    <x v="2"/>
    <x v="2"/>
    <s v="Pullovers"/>
    <s v="A1B5N-GC02"/>
    <s v="Heavyweight Ribbed"/>
    <s v="L"/>
    <x v="2"/>
    <d v="2024-11-13T00:00:00"/>
    <d v="2024-12-14T00:00:00"/>
    <n v="0"/>
    <n v="0"/>
    <n v="0"/>
    <n v="1"/>
    <n v="131.29660000000001"/>
    <n v="1"/>
  </r>
  <r>
    <s v="Brand ABC TDM"/>
    <x v="2"/>
    <x v="2"/>
    <s v="Pullovers"/>
    <s v="A1B5N-GC02"/>
    <s v="Heavyweight Ribbed"/>
    <s v="M"/>
    <x v="2"/>
    <d v="2024-11-13T00:00:00"/>
    <d v="2024-12-14T00:00:00"/>
    <n v="0"/>
    <n v="0"/>
    <n v="0"/>
    <n v="4"/>
    <n v="529.89120000000003"/>
    <n v="4"/>
  </r>
  <r>
    <s v="Brand ABC TDM"/>
    <x v="2"/>
    <x v="2"/>
    <s v="Pullovers"/>
    <s v="A1B5N-GC02"/>
    <s v="Heavyweight Ribbed"/>
    <s v="S"/>
    <x v="2"/>
    <d v="2024-11-13T00:00:00"/>
    <d v="2024-11-26T00:00:00"/>
    <n v="0"/>
    <n v="0"/>
    <n v="0"/>
    <n v="1"/>
    <n v="124.2564"/>
    <n v="1"/>
  </r>
  <r>
    <s v="Brand ABC TDM"/>
    <x v="2"/>
    <x v="2"/>
    <s v="Pullovers"/>
    <s v="A2A1U-GBFG"/>
    <s v="Crest"/>
    <s v="L"/>
    <x v="0"/>
    <d v="2024-11-09T00:00:00"/>
    <d v="2024-12-13T00:00:00"/>
    <n v="6"/>
    <n v="416.40429999999998"/>
    <n v="1126.28"/>
    <n v="8"/>
    <n v="563.35440000000006"/>
    <n v="14"/>
  </r>
  <r>
    <s v="Brand ABC TDM"/>
    <x v="2"/>
    <x v="2"/>
    <s v="Pullovers"/>
    <s v="A2A1U-GBFG"/>
    <s v="Crest"/>
    <s v="M"/>
    <x v="0"/>
    <d v="2024-11-09T00:00:00"/>
    <d v="2024-12-07T00:00:00"/>
    <n v="6"/>
    <n v="416.14330000000001"/>
    <n v="1147.1500000000001"/>
    <n v="8"/>
    <n v="563.61519999999996"/>
    <n v="14"/>
  </r>
  <r>
    <s v="Brand ABC TDM"/>
    <x v="2"/>
    <x v="2"/>
    <s v="Pullovers"/>
    <s v="A2A1U-GBFG"/>
    <s v="Crest"/>
    <s v="S"/>
    <x v="0"/>
    <d v="2024-11-09T00:00:00"/>
    <d v="2024-11-25T00:00:00"/>
    <n v="3"/>
    <n v="205.76679999999999"/>
    <n v="563.14"/>
    <n v="9"/>
    <n v="622.83780000000002"/>
    <n v="12"/>
  </r>
  <r>
    <s v="Brand ABC TDM"/>
    <x v="2"/>
    <x v="2"/>
    <s v="Pullovers"/>
    <s v="A2A1U-GBFG"/>
    <s v="Crest"/>
    <s v="XS"/>
    <x v="0"/>
    <d v="2024-11-09T00:00:00"/>
    <d v="2024-11-09T00:00:00"/>
    <n v="1"/>
    <n v="68.457099999999997"/>
    <n v="187.72"/>
    <n v="2"/>
    <n v="136.91419999999999"/>
    <n v="3"/>
  </r>
  <r>
    <s v="Brand ABC TDM"/>
    <x v="2"/>
    <x v="2"/>
    <s v="Pullovers"/>
    <s v="A2A8C-BB7Q"/>
    <s v="Power"/>
    <s v="L"/>
    <x v="1"/>
    <d v="2024-10-28T00:00:00"/>
    <d v="2024-12-10T00:00:00"/>
    <n v="6"/>
    <n v="519.48559999999998"/>
    <n v="1409.05"/>
    <n v="6"/>
    <n v="533.82060000000001"/>
    <n v="12"/>
  </r>
  <r>
    <s v="Brand ABC TDM"/>
    <x v="2"/>
    <x v="2"/>
    <s v="Pullovers"/>
    <s v="A2A8C-BB7Q"/>
    <s v="Power"/>
    <s v="M"/>
    <x v="1"/>
    <d v="2024-10-28T00:00:00"/>
    <d v="2024-12-10T00:00:00"/>
    <n v="11"/>
    <n v="966.46910000000003"/>
    <n v="2561.91"/>
    <n v="6"/>
    <n v="537.62580000000003"/>
    <n v="17"/>
  </r>
  <r>
    <s v="Brand ABC TDM"/>
    <x v="2"/>
    <x v="2"/>
    <s v="Pullovers"/>
    <s v="A2A8C-BB7Q"/>
    <s v="Power"/>
    <s v="S"/>
    <x v="1"/>
    <d v="2024-10-28T00:00:00"/>
    <d v="2024-12-04T00:00:00"/>
    <n v="5"/>
    <n v="436.20819999999998"/>
    <n v="1152.8699999999999"/>
    <n v="4"/>
    <n v="355.99560000000002"/>
    <n v="9"/>
  </r>
  <r>
    <s v="Brand ABC TDM"/>
    <x v="2"/>
    <x v="2"/>
    <s v="Pullovers"/>
    <s v="A2A8C-BB7Q"/>
    <s v="Power"/>
    <s v="XL"/>
    <x v="1"/>
    <d v="2024-10-28T00:00:00"/>
    <d v="2024-10-28T00:00:00"/>
    <n v="0"/>
    <n v="0"/>
    <n v="0"/>
    <n v="2"/>
    <n v="171.10220000000001"/>
    <n v="2"/>
  </r>
  <r>
    <s v="Brand ABC TDM"/>
    <x v="2"/>
    <x v="2"/>
    <s v="Pullovers"/>
    <s v="A2A8C-BB7Q"/>
    <s v="Power"/>
    <s v="XS"/>
    <x v="1"/>
    <d v="2024-10-28T00:00:00"/>
    <d v="2024-10-28T00:00:00"/>
    <n v="0"/>
    <n v="0"/>
    <n v="0"/>
    <n v="2"/>
    <n v="171.10220000000001"/>
    <n v="2"/>
  </r>
  <r>
    <s v="Brand ABC TDM"/>
    <x v="2"/>
    <x v="2"/>
    <s v="Pullovers"/>
    <s v="A2A8C-NB43"/>
    <s v="Power"/>
    <s v="L"/>
    <x v="0"/>
    <d v="2024-10-28T00:00:00"/>
    <d v="2024-12-06T00:00:00"/>
    <n v="4"/>
    <n v="345.66460000000001"/>
    <n v="922.29"/>
    <n v="6"/>
    <n v="527.64120000000003"/>
    <n v="10"/>
  </r>
  <r>
    <s v="Brand ABC TDM"/>
    <x v="2"/>
    <x v="2"/>
    <s v="Pullovers"/>
    <s v="A2A8C-NB43"/>
    <s v="Power"/>
    <s v="M"/>
    <x v="0"/>
    <d v="2024-10-28T00:00:00"/>
    <d v="2024-12-10T00:00:00"/>
    <n v="10"/>
    <n v="876.30930000000001"/>
    <n v="2305.6999999999998"/>
    <n v="7"/>
    <n v="626.99490000000003"/>
    <n v="17"/>
  </r>
  <r>
    <s v="Brand ABC TDM"/>
    <x v="2"/>
    <x v="2"/>
    <s v="Pullovers"/>
    <s v="A2A8C-NB43"/>
    <s v="Power"/>
    <s v="S"/>
    <x v="0"/>
    <d v="2024-10-28T00:00:00"/>
    <d v="2024-12-14T00:00:00"/>
    <n v="3"/>
    <n v="259.71179999999998"/>
    <n v="691.72"/>
    <n v="4"/>
    <n v="352.49200000000002"/>
    <n v="7"/>
  </r>
  <r>
    <s v="Brand ABC TDM"/>
    <x v="2"/>
    <x v="2"/>
    <s v="Pullovers"/>
    <s v="A2A8C-NB43"/>
    <s v="Power"/>
    <s v="XL"/>
    <x v="0"/>
    <d v="2024-10-28T00:00:00"/>
    <d v="2024-10-28T00:00:00"/>
    <n v="2"/>
    <n v="171.10220000000001"/>
    <n v="461.14"/>
    <n v="0"/>
    <n v="0"/>
    <n v="2"/>
  </r>
  <r>
    <s v="Brand ABC TDM"/>
    <x v="2"/>
    <x v="2"/>
    <s v="Pullovers"/>
    <s v="A2A8C-NB43"/>
    <s v="Power"/>
    <s v="XS"/>
    <x v="0"/>
    <d v="2024-10-28T00:00:00"/>
    <d v="2024-12-10T00:00:00"/>
    <n v="1"/>
    <n v="85.551100000000005"/>
    <n v="256.19"/>
    <n v="2"/>
    <n v="175.55099999999999"/>
    <n v="3"/>
  </r>
  <r>
    <s v="Brand ABC TDM"/>
    <x v="2"/>
    <x v="2"/>
    <s v="Pullovers"/>
    <s v="A3A1S-UB9P"/>
    <s v="Arrival"/>
    <s v="M"/>
    <x v="0"/>
    <d v="2024-12-11T00:00:00"/>
    <d v="2024-12-11T00:00:00"/>
    <n v="0"/>
    <n v="0"/>
    <n v="0"/>
    <n v="1"/>
    <n v="57.608499999999999"/>
    <n v="1"/>
  </r>
  <r>
    <s v="Brand ABC TDM"/>
    <x v="2"/>
    <x v="2"/>
    <s v="Pullovers"/>
    <s v="A3A4P-BBMW"/>
    <s v="Vital"/>
    <s v="L"/>
    <x v="0"/>
    <d v="2024-10-26T00:00:00"/>
    <d v="2024-11-30T00:00:00"/>
    <n v="17"/>
    <n v="1202.3353"/>
    <n v="3191.11"/>
    <n v="0"/>
    <n v="0"/>
    <n v="17"/>
  </r>
  <r>
    <s v="Brand ABC TDM"/>
    <x v="2"/>
    <x v="2"/>
    <s v="Pullovers"/>
    <s v="A3A4P-BBMW"/>
    <s v="Vital"/>
    <s v="M"/>
    <x v="0"/>
    <d v="2024-10-26T00:00:00"/>
    <d v="2024-12-17T00:00:00"/>
    <n v="16"/>
    <n v="1131.2551000000001"/>
    <n v="3024.25"/>
    <n v="4"/>
    <n v="287.7244"/>
    <n v="20"/>
  </r>
  <r>
    <s v="Brand ABC TDM"/>
    <x v="2"/>
    <x v="2"/>
    <s v="Pullovers"/>
    <s v="A3A4P-BBMW"/>
    <s v="Vital"/>
    <s v="S"/>
    <x v="0"/>
    <d v="2024-10-26T00:00:00"/>
    <d v="2024-12-17T00:00:00"/>
    <n v="8"/>
    <n v="565.41099999999994"/>
    <n v="1501.71"/>
    <n v="4"/>
    <n v="287.22320000000002"/>
    <n v="12"/>
  </r>
  <r>
    <s v="Brand ABC TDM"/>
    <x v="2"/>
    <x v="2"/>
    <s v="Pullovers"/>
    <s v="A3A4P-BBMW"/>
    <s v="Vital"/>
    <s v="XS"/>
    <x v="0"/>
    <d v="2024-10-26T00:00:00"/>
    <d v="2024-12-04T00:00:00"/>
    <n v="2"/>
    <n v="138.69409999999999"/>
    <n v="375.42"/>
    <n v="2"/>
    <n v="142.25399999999999"/>
    <n v="4"/>
  </r>
  <r>
    <s v="Brand ABC TDM"/>
    <x v="2"/>
    <x v="2"/>
    <s v="Pullovers"/>
    <s v="A3A4P-GB8V"/>
    <s v="Vital"/>
    <s v="L"/>
    <x v="0"/>
    <d v="2024-10-26T00:00:00"/>
    <d v="2024-11-21T00:00:00"/>
    <n v="6"/>
    <n v="414.30259999999998"/>
    <n v="1126.27"/>
    <n v="1"/>
    <n v="69.347099999999998"/>
    <n v="7"/>
  </r>
  <r>
    <s v="Brand ABC TDM"/>
    <x v="2"/>
    <x v="2"/>
    <s v="Pullovers"/>
    <s v="A3A4P-GB8V"/>
    <s v="Vital"/>
    <s v="M"/>
    <x v="0"/>
    <d v="2024-10-26T00:00:00"/>
    <d v="2024-11-28T00:00:00"/>
    <n v="18"/>
    <n v="1274.866"/>
    <n v="3378.84"/>
    <n v="0"/>
    <n v="0"/>
    <n v="18"/>
  </r>
  <r>
    <s v="Brand ABC TDM"/>
    <x v="2"/>
    <x v="2"/>
    <s v="Pullovers"/>
    <s v="A3A4P-GB8V"/>
    <s v="Vital"/>
    <s v="S"/>
    <x v="0"/>
    <d v="2024-10-26T00:00:00"/>
    <d v="2024-12-17T00:00:00"/>
    <n v="7"/>
    <n v="490.88040000000001"/>
    <n v="1334.87"/>
    <n v="4"/>
    <n v="287.06639999999999"/>
    <n v="11"/>
  </r>
  <r>
    <s v="Brand ABC TDM"/>
    <x v="2"/>
    <x v="2"/>
    <s v="Pullovers"/>
    <s v="A3A4P-GB8V"/>
    <s v="Vital"/>
    <s v="XS"/>
    <x v="0"/>
    <d v="2024-10-26T00:00:00"/>
    <d v="2024-11-18T00:00:00"/>
    <n v="1"/>
    <n v="68.457099999999997"/>
    <n v="187.71"/>
    <n v="2"/>
    <n v="136.91419999999999"/>
    <n v="3"/>
  </r>
  <r>
    <s v="Brand ABC TDM"/>
    <x v="2"/>
    <x v="2"/>
    <s v="Pullovers"/>
    <s v="A4A3S-BBBB"/>
    <s v="Power"/>
    <s v="L"/>
    <x v="0"/>
    <d v="2024-10-28T00:00:00"/>
    <d v="2024-12-21T00:00:00"/>
    <n v="4"/>
    <n v="311.04880000000003"/>
    <n v="842.2"/>
    <n v="6"/>
    <n v="474.80220000000003"/>
    <n v="10"/>
  </r>
  <r>
    <s v="Brand ABC TDM"/>
    <x v="2"/>
    <x v="2"/>
    <s v="Pullovers"/>
    <s v="A4A3S-BBBB"/>
    <s v="Power"/>
    <s v="M"/>
    <x v="0"/>
    <d v="2024-10-28T00:00:00"/>
    <d v="2024-12-20T00:00:00"/>
    <n v="9"/>
    <n v="708.46749999999997"/>
    <n v="1866.47"/>
    <n v="7"/>
    <n v="563.30539999999996"/>
    <n v="16"/>
  </r>
  <r>
    <s v="Brand ABC TDM"/>
    <x v="2"/>
    <x v="2"/>
    <s v="Pullovers"/>
    <s v="A4A3S-BBBB"/>
    <s v="Power"/>
    <s v="S"/>
    <x v="0"/>
    <d v="2024-10-28T00:00:00"/>
    <d v="2024-12-20T00:00:00"/>
    <n v="4"/>
    <n v="312.43880000000001"/>
    <n v="819.43"/>
    <n v="4"/>
    <n v="319.44439999999997"/>
    <n v="8"/>
  </r>
  <r>
    <s v="Brand ABC TDM"/>
    <x v="2"/>
    <x v="2"/>
    <s v="Pullovers"/>
    <s v="A4A3S-BBBB"/>
    <s v="Power"/>
    <s v="XL"/>
    <x v="0"/>
    <d v="2024-10-28T00:00:00"/>
    <d v="2024-12-12T00:00:00"/>
    <n v="3"/>
    <n v="234.9546"/>
    <n v="614.57000000000005"/>
    <n v="2"/>
    <n v="161.97399999999999"/>
    <n v="5"/>
  </r>
  <r>
    <s v="Brand ABC TDM"/>
    <x v="2"/>
    <x v="2"/>
    <s v="Pullovers"/>
    <s v="A4A3S-BBBB"/>
    <s v="Power"/>
    <s v="XS"/>
    <x v="0"/>
    <d v="2024-10-28T00:00:00"/>
    <d v="2024-12-18T00:00:00"/>
    <n v="1"/>
    <n v="76.983800000000002"/>
    <n v="204.86"/>
    <n v="2"/>
    <n v="157.9708"/>
    <n v="3"/>
  </r>
  <r>
    <s v="Brand ABC TDM"/>
    <x v="2"/>
    <x v="2"/>
    <s v="Pullovers"/>
    <s v="A4A3S-NBRP"/>
    <s v="Power"/>
    <s v="L"/>
    <x v="1"/>
    <d v="2024-10-28T00:00:00"/>
    <d v="2024-12-21T00:00:00"/>
    <n v="7"/>
    <n v="547.5231"/>
    <n v="1479.53"/>
    <n v="6"/>
    <n v="481.28879999999998"/>
    <n v="13"/>
  </r>
  <r>
    <s v="Brand ABC TDM"/>
    <x v="2"/>
    <x v="2"/>
    <s v="Pullovers"/>
    <s v="A4A3S-NBRP"/>
    <s v="Power"/>
    <s v="M"/>
    <x v="1"/>
    <d v="2024-10-28T00:00:00"/>
    <d v="2024-12-21T00:00:00"/>
    <n v="13"/>
    <n v="1030.2419"/>
    <n v="2663.17"/>
    <n v="5"/>
    <n v="403.505"/>
    <n v="18"/>
  </r>
  <r>
    <s v="Brand ABC TDM"/>
    <x v="2"/>
    <x v="2"/>
    <s v="Pullovers"/>
    <s v="A4A3S-NBRP"/>
    <s v="Power"/>
    <s v="S"/>
    <x v="1"/>
    <d v="2024-10-28T00:00:00"/>
    <d v="2024-12-21T00:00:00"/>
    <n v="5"/>
    <n v="392.3"/>
    <n v="1024.27"/>
    <n v="4"/>
    <n v="320.57040000000001"/>
    <n v="9"/>
  </r>
  <r>
    <s v="Brand ABC TDM"/>
    <x v="2"/>
    <x v="2"/>
    <s v="Pullovers"/>
    <s v="A4A3S-NBRP"/>
    <s v="Power"/>
    <s v="XS"/>
    <x v="1"/>
    <d v="2024-10-28T00:00:00"/>
    <d v="2024-12-21T00:00:00"/>
    <n v="0"/>
    <n v="0"/>
    <n v="0"/>
    <n v="2"/>
    <n v="153.9676"/>
    <n v="2"/>
  </r>
  <r>
    <s v="Brand ABC TDM"/>
    <x v="2"/>
    <x v="2"/>
    <s v="Pullovers"/>
    <s v="A4A7J-GB8N"/>
    <s v="Heritage"/>
    <s v="L"/>
    <x v="0"/>
    <d v="2024-10-26T00:00:00"/>
    <d v="2024-11-21T00:00:00"/>
    <n v="16"/>
    <n v="1582.7088000000001"/>
    <n v="4418"/>
    <n v="3"/>
    <n v="312.1893"/>
    <n v="19"/>
  </r>
  <r>
    <s v="Brand ABC TDM"/>
    <x v="2"/>
    <x v="2"/>
    <s v="Pullovers"/>
    <s v="A4A7J-GB8N"/>
    <s v="Heritage"/>
    <s v="M"/>
    <x v="0"/>
    <d v="2024-10-26T00:00:00"/>
    <d v="2024-11-19T00:00:00"/>
    <n v="11"/>
    <n v="1119.4392"/>
    <n v="3102"/>
    <n v="0"/>
    <n v="0"/>
    <n v="11"/>
  </r>
  <r>
    <s v="Brand ABC TDM"/>
    <x v="2"/>
    <x v="2"/>
    <s v="Pullovers"/>
    <s v="A4A7J-GB8N"/>
    <s v="Heritage"/>
    <s v="S"/>
    <x v="0"/>
    <d v="2024-10-26T00:00:00"/>
    <d v="2024-11-13T00:00:00"/>
    <n v="8"/>
    <n v="800.27120000000002"/>
    <n v="2256"/>
    <n v="0"/>
    <n v="0"/>
    <n v="8"/>
  </r>
  <r>
    <s v="Brand ABC TDM"/>
    <x v="2"/>
    <x v="2"/>
    <s v="Pullovers"/>
    <s v="A4A7J-GB8N"/>
    <s v="Heritage"/>
    <s v="XL"/>
    <x v="0"/>
    <d v="2024-10-26T00:00:00"/>
    <d v="2024-10-26T00:00:00"/>
    <n v="2"/>
    <n v="193.97499999999999"/>
    <n v="564"/>
    <n v="0"/>
    <n v="0"/>
    <n v="2"/>
  </r>
  <r>
    <s v="Brand ABC TDM"/>
    <x v="2"/>
    <x v="2"/>
    <s v="Pullovers"/>
    <s v="A4A7J-GB8N"/>
    <s v="Heritage"/>
    <s v="XS"/>
    <x v="0"/>
    <d v="2024-10-25T00:00:00"/>
    <d v="2024-11-12T00:00:00"/>
    <n v="4"/>
    <n v="393.60759999999999"/>
    <n v="1128"/>
    <n v="0"/>
    <n v="0"/>
    <n v="4"/>
  </r>
  <r>
    <s v="Brand ABC TDM"/>
    <x v="2"/>
    <x v="2"/>
    <s v="Pullovers"/>
    <s v="A4A8F-GB8N"/>
    <s v="Heritage"/>
    <s v="L"/>
    <x v="0"/>
    <d v="2024-10-25T00:00:00"/>
    <d v="2024-11-21T00:00:00"/>
    <n v="17"/>
    <n v="1587.5589"/>
    <n v="4385.37"/>
    <n v="2"/>
    <n v="195.3254"/>
    <n v="19"/>
  </r>
  <r>
    <s v="Brand ABC TDM"/>
    <x v="2"/>
    <x v="2"/>
    <s v="Pullovers"/>
    <s v="A4A8F-GB8N"/>
    <s v="Heritage"/>
    <s v="M"/>
    <x v="0"/>
    <d v="2024-10-25T00:00:00"/>
    <d v="2024-11-21T00:00:00"/>
    <n v="10"/>
    <n v="948.77869999999996"/>
    <n v="2562.88"/>
    <n v="3"/>
    <n v="289.02300000000002"/>
    <n v="13"/>
  </r>
  <r>
    <s v="Brand ABC TDM"/>
    <x v="2"/>
    <x v="2"/>
    <s v="Pullovers"/>
    <s v="A4A8F-GB8N"/>
    <s v="Heritage"/>
    <s v="S"/>
    <x v="0"/>
    <d v="2024-10-25T00:00:00"/>
    <d v="2024-11-19T00:00:00"/>
    <n v="10"/>
    <n v="937.12300000000005"/>
    <n v="2591.36"/>
    <n v="0"/>
    <n v="0"/>
    <n v="10"/>
  </r>
  <r>
    <s v="Brand ABC TDM"/>
    <x v="2"/>
    <x v="2"/>
    <s v="Pullovers"/>
    <s v="A4A8F-GB8N"/>
    <s v="Heritage"/>
    <s v="XL"/>
    <x v="0"/>
    <d v="2024-10-26T00:00:00"/>
    <d v="2024-11-13T00:00:00"/>
    <n v="7"/>
    <n v="608.32240000000002"/>
    <n v="1794"/>
    <n v="0"/>
    <n v="0"/>
    <n v="7"/>
  </r>
  <r>
    <s v="Brand ABC TDM"/>
    <x v="2"/>
    <x v="2"/>
    <s v="Pullovers"/>
    <s v="A4A8F-UCMS"/>
    <s v="Heritage"/>
    <s v="L"/>
    <x v="1"/>
    <d v="2024-10-25T00:00:00"/>
    <d v="2024-11-15T00:00:00"/>
    <n v="10"/>
    <n v="941.18299999999999"/>
    <n v="2562.88"/>
    <n v="1"/>
    <n v="94.118300000000005"/>
    <n v="11"/>
  </r>
  <r>
    <s v="Brand ABC TDM"/>
    <x v="2"/>
    <x v="2"/>
    <s v="Pullovers"/>
    <s v="A4A8F-UCMS"/>
    <s v="Heritage"/>
    <s v="M"/>
    <x v="1"/>
    <d v="2024-10-26T00:00:00"/>
    <d v="2024-11-14T00:00:00"/>
    <n v="9"/>
    <n v="847.06470000000002"/>
    <n v="2306.58"/>
    <n v="0"/>
    <n v="0"/>
    <n v="9"/>
  </r>
  <r>
    <s v="Brand ABC TDM"/>
    <x v="2"/>
    <x v="2"/>
    <s v="Pullovers"/>
    <s v="A4A8F-UCMS"/>
    <s v="Heritage"/>
    <s v="S"/>
    <x v="1"/>
    <d v="2024-10-26T00:00:00"/>
    <d v="2024-11-13T00:00:00"/>
    <n v="11"/>
    <n v="1035.3013000000001"/>
    <n v="2847.63"/>
    <n v="1"/>
    <n v="94.118300000000005"/>
    <n v="12"/>
  </r>
  <r>
    <s v="Brand ABC TDM"/>
    <x v="2"/>
    <x v="2"/>
    <s v="Pullovers"/>
    <s v="A4A8F-UCMS"/>
    <s v="Heritage"/>
    <s v="XL"/>
    <x v="1"/>
    <d v="2024-10-25T00:00:00"/>
    <d v="2024-10-25T00:00:00"/>
    <n v="2"/>
    <n v="188.23660000000001"/>
    <n v="512.57000000000005"/>
    <n v="0"/>
    <n v="0"/>
    <n v="2"/>
  </r>
  <r>
    <s v="Brand ABC TDM"/>
    <x v="2"/>
    <x v="2"/>
    <s v="Pullovers"/>
    <s v="A4A8F-UCMS"/>
    <s v="Heritage"/>
    <s v="XS"/>
    <x v="1"/>
    <d v="2024-10-26T00:00:00"/>
    <d v="2024-10-26T00:00:00"/>
    <n v="2"/>
    <n v="188.23660000000001"/>
    <n v="512.57000000000005"/>
    <n v="0"/>
    <n v="0"/>
    <n v="2"/>
  </r>
  <r>
    <s v="Brand ABC TDM"/>
    <x v="2"/>
    <x v="2"/>
    <s v="Pullovers"/>
    <s v="A5A4V-BB3K"/>
    <s v="Apex"/>
    <s v="L"/>
    <x v="1"/>
    <d v="2024-10-25T00:00:00"/>
    <d v="2024-11-21T00:00:00"/>
    <n v="18"/>
    <n v="1544.3688"/>
    <n v="4090.19"/>
    <n v="0"/>
    <n v="0"/>
    <n v="18"/>
  </r>
  <r>
    <s v="Brand ABC TDM"/>
    <x v="2"/>
    <x v="2"/>
    <s v="Pullovers"/>
    <s v="A5A4V-BB3K"/>
    <s v="Apex"/>
    <s v="M"/>
    <x v="1"/>
    <d v="2024-10-25T00:00:00"/>
    <d v="2024-11-28T00:00:00"/>
    <n v="16"/>
    <n v="1376.0469000000001"/>
    <n v="3701.89"/>
    <n v="8"/>
    <n v="708.32079999999996"/>
    <n v="24"/>
  </r>
  <r>
    <s v="Brand ABC TDM"/>
    <x v="2"/>
    <x v="2"/>
    <s v="Pullovers"/>
    <s v="A5A4V-BB3K"/>
    <s v="Apex"/>
    <s v="S"/>
    <x v="1"/>
    <d v="2024-10-26T00:00:00"/>
    <d v="2024-11-13T00:00:00"/>
    <n v="11"/>
    <n v="941.06209999999999"/>
    <n v="2415.41"/>
    <n v="0"/>
    <n v="0"/>
    <n v="11"/>
  </r>
  <r>
    <s v="Brand ABC TDM"/>
    <x v="2"/>
    <x v="2"/>
    <s v="Pullovers"/>
    <s v="A5A4V-BB3K"/>
    <s v="Apex"/>
    <s v="XL"/>
    <x v="1"/>
    <d v="2024-10-26T00:00:00"/>
    <d v="2024-10-26T00:00:00"/>
    <n v="2"/>
    <n v="171.10220000000001"/>
    <n v="461.14"/>
    <n v="0"/>
    <n v="0"/>
    <n v="2"/>
  </r>
  <r>
    <s v="Brand ABC TDM"/>
    <x v="2"/>
    <x v="2"/>
    <s v="Pullovers"/>
    <s v="A5A4V-BB3K"/>
    <s v="Apex"/>
    <s v="XS"/>
    <x v="1"/>
    <d v="2024-10-26T00:00:00"/>
    <d v="2024-10-26T00:00:00"/>
    <n v="2"/>
    <n v="171.10220000000001"/>
    <n v="461.14"/>
    <n v="0"/>
    <n v="0"/>
    <n v="2"/>
  </r>
  <r>
    <s v="Brand ABC TDM"/>
    <x v="2"/>
    <x v="2"/>
    <s v="Pullovers"/>
    <s v="A5A8O-BB2J"/>
    <s v="Crest"/>
    <s v="L"/>
    <x v="0"/>
    <d v="2024-10-28T00:00:00"/>
    <d v="2024-12-04T00:00:00"/>
    <n v="12"/>
    <n v="885.93510000000003"/>
    <n v="2333.61"/>
    <n v="2"/>
    <n v="149.87860000000001"/>
    <n v="14"/>
  </r>
  <r>
    <s v="Brand ABC TDM"/>
    <x v="2"/>
    <x v="2"/>
    <s v="Pullovers"/>
    <s v="A5A8O-BB2J"/>
    <s v="Crest"/>
    <s v="M"/>
    <x v="0"/>
    <d v="2024-10-28T00:00:00"/>
    <d v="2024-12-17T00:00:00"/>
    <n v="7"/>
    <n v="512.61310000000003"/>
    <n v="1374.02"/>
    <n v="6"/>
    <n v="448.85700000000003"/>
    <n v="13"/>
  </r>
  <r>
    <s v="Brand ABC TDM"/>
    <x v="2"/>
    <x v="2"/>
    <s v="Pullovers"/>
    <s v="A5A8O-BB2J"/>
    <s v="Crest"/>
    <s v="S"/>
    <x v="0"/>
    <d v="2024-10-28T00:00:00"/>
    <d v="2024-12-04T00:00:00"/>
    <n v="9"/>
    <n v="666.2799"/>
    <n v="1766.58"/>
    <n v="2"/>
    <n v="150.7088"/>
    <n v="11"/>
  </r>
  <r>
    <s v="Brand ABC TDM"/>
    <x v="2"/>
    <x v="2"/>
    <s v="Pullovers"/>
    <s v="A5A8O-BB2J"/>
    <s v="Crest"/>
    <s v="XS"/>
    <x v="0"/>
    <d v="2024-10-28T00:00:00"/>
    <d v="2024-12-04T00:00:00"/>
    <n v="3"/>
    <n v="220.2253"/>
    <n v="588.86"/>
    <n v="1"/>
    <n v="74.653899999999993"/>
    <n v="4"/>
  </r>
  <r>
    <s v="Brand ABC TDM"/>
    <x v="2"/>
    <x v="2"/>
    <s v="Pullovers"/>
    <s v="A5A8O-NCCZ"/>
    <s v="Crest"/>
    <s v="L"/>
    <x v="0"/>
    <d v="2024-10-28T00:00:00"/>
    <d v="2024-12-04T00:00:00"/>
    <n v="11"/>
    <n v="813.35990000000004"/>
    <n v="2180.9"/>
    <n v="1"/>
    <n v="75.014099999999999"/>
    <n v="12"/>
  </r>
  <r>
    <s v="Brand ABC TDM"/>
    <x v="2"/>
    <x v="2"/>
    <s v="Pullovers"/>
    <s v="A5A8O-NCCZ"/>
    <s v="Crest"/>
    <s v="M"/>
    <x v="0"/>
    <d v="2024-10-28T00:00:00"/>
    <d v="2024-11-30T00:00:00"/>
    <n v="13"/>
    <n v="964.40940000000001"/>
    <n v="2573.5500000000002"/>
    <n v="1"/>
    <n v="75.139499999999998"/>
    <n v="14"/>
  </r>
  <r>
    <s v="Brand ABC TDM"/>
    <x v="2"/>
    <x v="2"/>
    <s v="Pullovers"/>
    <s v="A5A8O-NCCZ"/>
    <s v="Crest"/>
    <s v="S"/>
    <x v="0"/>
    <d v="2024-10-28T00:00:00"/>
    <d v="2024-12-05T00:00:00"/>
    <n v="8"/>
    <n v="591.31489999999997"/>
    <n v="1592.03"/>
    <n v="0"/>
    <n v="0"/>
    <n v="8"/>
  </r>
  <r>
    <s v="Brand ABC TDM"/>
    <x v="2"/>
    <x v="2"/>
    <s v="Pullovers"/>
    <s v="A5A8O-NCCZ"/>
    <s v="Crest"/>
    <s v="XS"/>
    <x v="0"/>
    <d v="2024-10-28T00:00:00"/>
    <d v="2024-10-28T00:00:00"/>
    <n v="2"/>
    <n v="143.70320000000001"/>
    <n v="392.58"/>
    <n v="0"/>
    <n v="0"/>
    <n v="2"/>
  </r>
  <r>
    <s v="Brand ABC TDM"/>
    <x v="2"/>
    <x v="2"/>
    <s v="Pullovers"/>
    <s v="A6A6Z-NB4S"/>
    <s v="Premium Legacy"/>
    <s v="L"/>
    <x v="1"/>
    <d v="2024-12-12T00:00:00"/>
    <d v="2024-12-12T00:00:00"/>
    <n v="0"/>
    <n v="0"/>
    <n v="0"/>
    <n v="6"/>
    <n v="756.04859999999996"/>
    <n v="6"/>
  </r>
  <r>
    <s v="Brand ABC TDM"/>
    <x v="2"/>
    <x v="2"/>
    <s v="Pullovers"/>
    <s v="A6A6Z-NB4S"/>
    <s v="Premium Legacy"/>
    <s v="M"/>
    <x v="1"/>
    <d v="2024-12-12T00:00:00"/>
    <d v="2024-12-12T00:00:00"/>
    <n v="0"/>
    <n v="0"/>
    <n v="0"/>
    <n v="6"/>
    <n v="756.04859999999996"/>
    <n v="6"/>
  </r>
  <r>
    <s v="Brand ABC TDM"/>
    <x v="2"/>
    <x v="2"/>
    <s v="Pullovers"/>
    <s v="A6A6Z-NB4S"/>
    <s v="Premium Legacy"/>
    <s v="S"/>
    <x v="1"/>
    <d v="2024-12-12T00:00:00"/>
    <d v="2024-12-12T00:00:00"/>
    <n v="0"/>
    <n v="0"/>
    <n v="0"/>
    <n v="4"/>
    <n v="504.0324"/>
    <n v="4"/>
  </r>
  <r>
    <s v="Brand ABC TDM"/>
    <x v="2"/>
    <x v="2"/>
    <s v="Pullovers"/>
    <s v="A6A6Z-NB4S"/>
    <s v="Premium Legacy"/>
    <s v="XS"/>
    <x v="1"/>
    <d v="2024-12-12T00:00:00"/>
    <d v="2024-12-12T00:00:00"/>
    <n v="0"/>
    <n v="0"/>
    <n v="0"/>
    <n v="2"/>
    <n v="252.0162"/>
    <n v="2"/>
  </r>
  <r>
    <s v="Brand ABC TDM"/>
    <x v="2"/>
    <x v="2"/>
    <s v="Pullovers"/>
    <s v="A6A7J-BCPH"/>
    <s v="Heavyweight Sweats"/>
    <s v="L"/>
    <x v="1"/>
    <d v="2024-11-29T00:00:00"/>
    <d v="2024-12-17T00:00:00"/>
    <n v="8"/>
    <n v="1079.8263999999999"/>
    <n v="2882.46"/>
    <n v="3"/>
    <n v="404.93490000000003"/>
    <n v="11"/>
  </r>
  <r>
    <s v="Brand ABC TDM"/>
    <x v="2"/>
    <x v="2"/>
    <s v="Pullovers"/>
    <s v="A6A7J-BCPH"/>
    <s v="Heavyweight Sweats"/>
    <s v="M"/>
    <x v="1"/>
    <d v="2024-11-29T00:00:00"/>
    <d v="2024-12-21T00:00:00"/>
    <n v="6"/>
    <n v="809.86980000000005"/>
    <n v="2142.37"/>
    <n v="4"/>
    <n v="539.91319999999996"/>
    <n v="10"/>
  </r>
  <r>
    <s v="Brand ABC TDM"/>
    <x v="2"/>
    <x v="2"/>
    <s v="Pullovers"/>
    <s v="A6A7J-BCPH"/>
    <s v="Heavyweight Sweats"/>
    <s v="S"/>
    <x v="1"/>
    <d v="2024-11-29T00:00:00"/>
    <d v="2024-12-20T00:00:00"/>
    <n v="3"/>
    <n v="404.93490000000003"/>
    <n v="1051.71"/>
    <n v="4"/>
    <n v="539.91319999999996"/>
    <n v="7"/>
  </r>
  <r>
    <s v="Brand ABC TDM"/>
    <x v="2"/>
    <x v="2"/>
    <s v="Pullovers"/>
    <s v="A6A7J-BCPH"/>
    <s v="Heavyweight Sweats"/>
    <s v="XS"/>
    <x v="1"/>
    <d v="2024-11-29T00:00:00"/>
    <d v="2024-12-17T00:00:00"/>
    <n v="1"/>
    <n v="134.97829999999999"/>
    <n v="389.52"/>
    <n v="3"/>
    <n v="404.93490000000003"/>
    <n v="4"/>
  </r>
  <r>
    <s v="Brand ABC TDM"/>
    <x v="2"/>
    <x v="2"/>
    <s v="Pullovers"/>
    <s v="A6A7J-GCV5"/>
    <s v="Heavyweight Sweats"/>
    <s v="L"/>
    <x v="1"/>
    <d v="2024-11-29T00:00:00"/>
    <d v="2024-12-13T00:00:00"/>
    <n v="3"/>
    <n v="404.93490000000003"/>
    <n v="1090.67"/>
    <n v="4"/>
    <n v="539.91319999999996"/>
    <n v="7"/>
  </r>
  <r>
    <s v="Brand ABC TDM"/>
    <x v="2"/>
    <x v="2"/>
    <s v="Pullovers"/>
    <s v="A6A7J-GCV5"/>
    <s v="Heavyweight Sweats"/>
    <s v="M"/>
    <x v="1"/>
    <d v="2024-11-29T00:00:00"/>
    <d v="2024-12-12T00:00:00"/>
    <n v="5"/>
    <n v="674.89149999999995"/>
    <n v="1830.76"/>
    <n v="4"/>
    <n v="539.91319999999996"/>
    <n v="9"/>
  </r>
  <r>
    <s v="Brand ABC TDM"/>
    <x v="2"/>
    <x v="2"/>
    <s v="Pullovers"/>
    <s v="A6A7J-GCV5"/>
    <s v="Heavyweight Sweats"/>
    <s v="S"/>
    <x v="1"/>
    <d v="2024-11-29T00:00:00"/>
    <d v="2024-12-13T00:00:00"/>
    <n v="4"/>
    <n v="539.91319999999996"/>
    <n v="1402.28"/>
    <n v="4"/>
    <n v="539.91319999999996"/>
    <n v="8"/>
  </r>
  <r>
    <s v="Brand ABC TDM"/>
    <x v="2"/>
    <x v="2"/>
    <s v="Pullovers"/>
    <s v="A6A7J-GCV5"/>
    <s v="Heavyweight Sweats"/>
    <s v="XS"/>
    <x v="1"/>
    <d v="2024-11-29T00:00:00"/>
    <d v="2024-11-29T00:00:00"/>
    <n v="1"/>
    <n v="134.97829999999999"/>
    <n v="350.57"/>
    <n v="1"/>
    <n v="134.97829999999999"/>
    <n v="2"/>
  </r>
  <r>
    <s v="Brand ABC TDM"/>
    <x v="2"/>
    <x v="2"/>
    <s v="Pullovers"/>
    <s v="A7A1J-BB2J"/>
    <s v="Shark Attack V2"/>
    <s v="L"/>
    <x v="1"/>
    <d v="2024-12-04T00:00:00"/>
    <d v="2024-12-04T00:00:00"/>
    <n v="2"/>
    <n v="269.95659999999998"/>
    <n v="740.09"/>
    <n v="4"/>
    <n v="539.91319999999996"/>
    <n v="6"/>
  </r>
  <r>
    <s v="Brand ABC TDM"/>
    <x v="2"/>
    <x v="2"/>
    <s v="Pullovers"/>
    <s v="A7A1J-BB2J"/>
    <s v="Shark Attack V2"/>
    <s v="M"/>
    <x v="1"/>
    <d v="2024-12-04T00:00:00"/>
    <d v="2024-12-11T00:00:00"/>
    <n v="3"/>
    <n v="404.93490000000003"/>
    <n v="1129.6099999999999"/>
    <n v="4"/>
    <n v="539.91319999999996"/>
    <n v="7"/>
  </r>
  <r>
    <s v="Brand ABC TDM"/>
    <x v="2"/>
    <x v="2"/>
    <s v="Pullovers"/>
    <s v="A7A3M-BB67"/>
    <s v="Premium Legacy"/>
    <s v="L"/>
    <x v="0"/>
    <d v="2024-10-28T00:00:00"/>
    <d v="2024-12-12T00:00:00"/>
    <n v="13"/>
    <n v="1488.1004"/>
    <n v="4034.47"/>
    <n v="4"/>
    <n v="466.12240000000003"/>
    <n v="17"/>
  </r>
  <r>
    <s v="Brand ABC TDM"/>
    <x v="2"/>
    <x v="2"/>
    <s v="Pullovers"/>
    <s v="A7A3M-BB67"/>
    <s v="Premium Legacy"/>
    <s v="M"/>
    <x v="0"/>
    <d v="2024-10-28T00:00:00"/>
    <d v="2024-12-13T00:00:00"/>
    <n v="12"/>
    <n v="1373.5767000000001"/>
    <n v="3863.49"/>
    <n v="6"/>
    <n v="699.18359999999996"/>
    <n v="18"/>
  </r>
  <r>
    <s v="Brand ABC TDM"/>
    <x v="2"/>
    <x v="2"/>
    <s v="Pullovers"/>
    <s v="A7A3M-BB67"/>
    <s v="Premium Legacy"/>
    <s v="S"/>
    <x v="0"/>
    <d v="2024-10-28T00:00:00"/>
    <d v="2024-12-12T00:00:00"/>
    <n v="7"/>
    <n v="801.13620000000003"/>
    <n v="2154.02"/>
    <n v="4"/>
    <n v="466.53559999999999"/>
    <n v="11"/>
  </r>
  <r>
    <s v="Brand ABC TDM"/>
    <x v="2"/>
    <x v="2"/>
    <s v="Pullovers"/>
    <s v="A7A3M-BB67"/>
    <s v="Premium Legacy"/>
    <s v="XS"/>
    <x v="0"/>
    <d v="2024-10-28T00:00:00"/>
    <d v="2024-10-28T00:00:00"/>
    <n v="1"/>
    <n v="111.2123"/>
    <n v="307.70999999999998"/>
    <n v="1"/>
    <n v="111.2123"/>
    <n v="2"/>
  </r>
  <r>
    <s v="Brand ABC TDM"/>
    <x v="2"/>
    <x v="2"/>
    <s v="Sleeveless Tops"/>
    <s v="A1B5T-BB2J"/>
    <s v="Element"/>
    <s v="L"/>
    <x v="1"/>
    <d v="2024-10-26T00:00:00"/>
    <d v="2024-11-26T00:00:00"/>
    <n v="12"/>
    <n v="337.33609999999999"/>
    <n v="915.47"/>
    <n v="0"/>
    <n v="0"/>
    <n v="12"/>
  </r>
  <r>
    <s v="Brand ABC TDM"/>
    <x v="2"/>
    <x v="2"/>
    <s v="Sleeveless Tops"/>
    <s v="A1B5T-BB2J"/>
    <s v="Element"/>
    <s v="M"/>
    <x v="1"/>
    <d v="2024-10-26T00:00:00"/>
    <d v="2024-12-07T00:00:00"/>
    <n v="9"/>
    <n v="252.43559999999999"/>
    <n v="686.56"/>
    <n v="6"/>
    <n v="171.37200000000001"/>
    <n v="15"/>
  </r>
  <r>
    <s v="Brand ABC TDM"/>
    <x v="2"/>
    <x v="2"/>
    <s v="Sleeveless Tops"/>
    <s v="A1B5T-BB2J"/>
    <s v="Element"/>
    <s v="S"/>
    <x v="1"/>
    <d v="2024-10-26T00:00:00"/>
    <d v="2024-12-13T00:00:00"/>
    <n v="5"/>
    <n v="139.62200000000001"/>
    <n v="389.91"/>
    <n v="4"/>
    <n v="114.0932"/>
    <n v="9"/>
  </r>
  <r>
    <s v="Brand ABC TDM"/>
    <x v="2"/>
    <x v="2"/>
    <s v="Sleeveless Tops"/>
    <s v="A1B5T-BB2J"/>
    <s v="Element"/>
    <s v="XS"/>
    <x v="1"/>
    <d v="2024-10-26T00:00:00"/>
    <d v="2024-12-10T00:00:00"/>
    <n v="4"/>
    <n v="112.6237"/>
    <n v="322.10000000000002"/>
    <n v="2"/>
    <n v="57.4694"/>
    <n v="6"/>
  </r>
  <r>
    <s v="Brand ABC TDM"/>
    <x v="2"/>
    <x v="2"/>
    <s v="Sleeveless Tops"/>
    <s v="A1B5T-WB57"/>
    <s v="Element"/>
    <s v="L"/>
    <x v="1"/>
    <d v="2024-10-26T00:00:00"/>
    <d v="2024-12-12T00:00:00"/>
    <n v="9"/>
    <n v="252.3306"/>
    <n v="686.57"/>
    <n v="4"/>
    <n v="113.8288"/>
    <n v="13"/>
  </r>
  <r>
    <s v="Brand ABC TDM"/>
    <x v="2"/>
    <x v="2"/>
    <s v="Sleeveless Tops"/>
    <s v="A1B5T-WB57"/>
    <s v="Element"/>
    <s v="M"/>
    <x v="1"/>
    <d v="2024-10-26T00:00:00"/>
    <d v="2024-12-10T00:00:00"/>
    <n v="3"/>
    <n v="82.320300000000003"/>
    <n v="228.87"/>
    <n v="8"/>
    <n v="226.19280000000001"/>
    <n v="11"/>
  </r>
  <r>
    <s v="Brand ABC TDM"/>
    <x v="2"/>
    <x v="2"/>
    <s v="Sleeveless Tops"/>
    <s v="A1B5T-WB57"/>
    <s v="Element"/>
    <s v="S"/>
    <x v="1"/>
    <d v="2024-10-26T00:00:00"/>
    <d v="2024-12-10T00:00:00"/>
    <n v="3"/>
    <n v="83.176500000000004"/>
    <n v="228.86"/>
    <n v="4"/>
    <n v="112.8908"/>
    <n v="7"/>
  </r>
  <r>
    <s v="Brand ABC TDM"/>
    <x v="2"/>
    <x v="2"/>
    <s v="Sleeveless Tops"/>
    <s v="A1B5T-WB57"/>
    <s v="Element"/>
    <s v="XS"/>
    <x v="1"/>
    <d v="2024-10-26T00:00:00"/>
    <d v="2024-12-07T00:00:00"/>
    <n v="2"/>
    <n v="55.510399999999997"/>
    <n v="152.58000000000001"/>
    <n v="2"/>
    <n v="56.935200000000002"/>
    <n v="4"/>
  </r>
  <r>
    <s v="Brand ABC TDM"/>
    <x v="2"/>
    <x v="2"/>
    <s v="Sleeveless Tops"/>
    <s v="A2A1O-GB7P"/>
    <s v="Arrival"/>
    <s v="L"/>
    <x v="1"/>
    <d v="2024-10-28T00:00:00"/>
    <d v="2024-12-14T00:00:00"/>
    <n v="22"/>
    <n v="703.19039999999995"/>
    <n v="1895.07"/>
    <n v="4"/>
    <n v="129.46639999999999"/>
    <n v="26"/>
  </r>
  <r>
    <s v="Brand ABC TDM"/>
    <x v="2"/>
    <x v="2"/>
    <s v="Sleeveless Tops"/>
    <s v="A2A1O-GB7P"/>
    <s v="Arrival"/>
    <s v="M"/>
    <x v="1"/>
    <d v="2024-10-28T00:00:00"/>
    <d v="2024-12-14T00:00:00"/>
    <n v="16"/>
    <n v="509.09050000000002"/>
    <n v="1367.17"/>
    <n v="4"/>
    <n v="129.19800000000001"/>
    <n v="20"/>
  </r>
  <r>
    <s v="Brand ABC TDM"/>
    <x v="2"/>
    <x v="2"/>
    <s v="Sleeveless Tops"/>
    <s v="A2A1O-GB7P"/>
    <s v="Arrival"/>
    <s v="S"/>
    <x v="1"/>
    <d v="2024-10-28T00:00:00"/>
    <d v="2024-12-13T00:00:00"/>
    <n v="7"/>
    <n v="221.0343"/>
    <n v="603.42999999999995"/>
    <n v="4"/>
    <n v="128.904"/>
    <n v="11"/>
  </r>
  <r>
    <s v="Brand ABC TDM"/>
    <x v="2"/>
    <x v="2"/>
    <s v="Sleeveless Tops"/>
    <s v="A2A1O-GB7P"/>
    <s v="Arrival"/>
    <s v="XL"/>
    <x v="1"/>
    <d v="2024-10-28T00:00:00"/>
    <d v="2024-10-28T00:00:00"/>
    <n v="2"/>
    <n v="61.587000000000003"/>
    <n v="169.72"/>
    <n v="0"/>
    <n v="0"/>
    <n v="2"/>
  </r>
  <r>
    <s v="Brand ABC TDM"/>
    <x v="2"/>
    <x v="2"/>
    <s v="Sleeveless Tops"/>
    <s v="A2A1O-GB7P"/>
    <s v="Arrival"/>
    <s v="XS"/>
    <x v="1"/>
    <d v="2024-10-28T00:00:00"/>
    <d v="2024-11-28T00:00:00"/>
    <n v="0"/>
    <n v="-0.80069999999999897"/>
    <n v="0"/>
    <n v="3"/>
    <n v="94.782600000000002"/>
    <n v="3"/>
  </r>
  <r>
    <s v="Brand ABC TDM"/>
    <x v="2"/>
    <x v="2"/>
    <s v="Sleeveless Tops"/>
    <s v="A2A1O-OBRS"/>
    <s v="Arrival"/>
    <s v="L"/>
    <x v="1"/>
    <d v="2024-10-28T00:00:00"/>
    <d v="2024-10-28T00:00:00"/>
    <n v="0"/>
    <n v="0"/>
    <n v="0"/>
    <n v="6"/>
    <n v="184.761"/>
    <n v="6"/>
  </r>
  <r>
    <s v="Brand ABC TDM"/>
    <x v="2"/>
    <x v="2"/>
    <s v="Sleeveless Tops"/>
    <s v="A2A1O-OBRS"/>
    <s v="Arrival"/>
    <s v="M"/>
    <x v="1"/>
    <d v="2024-10-28T00:00:00"/>
    <d v="2024-10-28T00:00:00"/>
    <n v="0"/>
    <n v="0"/>
    <n v="0"/>
    <n v="6"/>
    <n v="184.761"/>
    <n v="6"/>
  </r>
  <r>
    <s v="Brand ABC TDM"/>
    <x v="2"/>
    <x v="2"/>
    <s v="Sleeveless Tops"/>
    <s v="A2A1O-OBRS"/>
    <s v="Arrival"/>
    <s v="S"/>
    <x v="1"/>
    <d v="2024-10-28T00:00:00"/>
    <d v="2024-11-28T00:00:00"/>
    <n v="1"/>
    <n v="30.793500000000002"/>
    <n v="84.85"/>
    <n v="4"/>
    <n v="124.7752"/>
    <n v="5"/>
  </r>
  <r>
    <s v="Brand ABC TDM"/>
    <x v="2"/>
    <x v="2"/>
    <s v="Sleeveless Tops"/>
    <s v="A2A1O-OBRS"/>
    <s v="Arrival"/>
    <s v="XS"/>
    <x v="1"/>
    <d v="2024-10-28T00:00:00"/>
    <d v="2024-10-28T00:00:00"/>
    <n v="0"/>
    <n v="0"/>
    <n v="0"/>
    <n v="2"/>
    <n v="61.587000000000003"/>
    <n v="2"/>
  </r>
  <r>
    <s v="Brand ABC TDM"/>
    <x v="2"/>
    <x v="2"/>
    <s v="Sleeveless Tops"/>
    <s v="A3A7Q-BBBB"/>
    <s v="Crest"/>
    <s v="L"/>
    <x v="0"/>
    <d v="2024-05-20T00:00:00"/>
    <d v="2024-12-04T00:00:00"/>
    <n v="5"/>
    <n v="173.2835"/>
    <n v="467.15"/>
    <n v="6"/>
    <n v="212.85300000000001"/>
    <n v="11"/>
  </r>
  <r>
    <s v="Brand ABC TDM"/>
    <x v="2"/>
    <x v="2"/>
    <s v="Sleeveless Tops"/>
    <s v="A3A7Q-BBBB"/>
    <s v="Crest"/>
    <s v="M"/>
    <x v="0"/>
    <d v="2024-05-20T00:00:00"/>
    <d v="2024-12-11T00:00:00"/>
    <n v="6"/>
    <n v="208.9513"/>
    <n v="560.58000000000004"/>
    <n v="6"/>
    <n v="213.23580000000001"/>
    <n v="12"/>
  </r>
  <r>
    <s v="Brand ABC TDM"/>
    <x v="2"/>
    <x v="2"/>
    <s v="Sleeveless Tops"/>
    <s v="A3A7Q-BBBB"/>
    <s v="Crest"/>
    <s v="S"/>
    <x v="0"/>
    <d v="2024-05-20T00:00:00"/>
    <d v="2024-12-05T00:00:00"/>
    <n v="3"/>
    <n v="103.9177"/>
    <n v="280.29000000000002"/>
    <n v="4"/>
    <n v="141.04159999999999"/>
    <n v="7"/>
  </r>
  <r>
    <s v="Brand ABC TDM"/>
    <x v="2"/>
    <x v="2"/>
    <s v="Sleeveless Tops"/>
    <s v="A3A7Q-BBBB"/>
    <s v="Crest"/>
    <s v="XL"/>
    <x v="0"/>
    <d v="2024-05-20T00:00:00"/>
    <d v="2024-12-04T00:00:00"/>
    <n v="2"/>
    <n v="69.387900000000002"/>
    <n v="186.86"/>
    <n v="2"/>
    <n v="71.168800000000005"/>
    <n v="4"/>
  </r>
  <r>
    <s v="Brand ABC TDM"/>
    <x v="2"/>
    <x v="2"/>
    <s v="Sleeveless Tops"/>
    <s v="A3A7Q-BBBB"/>
    <s v="Crest"/>
    <s v="XS"/>
    <x v="0"/>
    <d v="2024-05-20T00:00:00"/>
    <d v="2024-11-30T00:00:00"/>
    <n v="2"/>
    <n v="67.596999999999994"/>
    <n v="166.1"/>
    <n v="2"/>
    <n v="71.111999999999995"/>
    <n v="4"/>
  </r>
  <r>
    <s v="Brand ABC TDM"/>
    <x v="2"/>
    <x v="2"/>
    <s v="Sleeveless Tops"/>
    <s v="A3A7Q-WBBM"/>
    <s v="Crest"/>
    <s v="L"/>
    <x v="0"/>
    <d v="2024-10-28T00:00:00"/>
    <d v="2024-12-04T00:00:00"/>
    <n v="2"/>
    <n v="68.754300000000001"/>
    <n v="186.86"/>
    <n v="6"/>
    <n v="208.6362"/>
    <n v="8"/>
  </r>
  <r>
    <s v="Brand ABC TDM"/>
    <x v="2"/>
    <x v="2"/>
    <s v="Sleeveless Tops"/>
    <s v="A3A7Q-WBBM"/>
    <s v="Crest"/>
    <s v="M"/>
    <x v="0"/>
    <d v="2024-10-28T00:00:00"/>
    <d v="2024-12-11T00:00:00"/>
    <n v="3"/>
    <n v="103.5261"/>
    <n v="290.66000000000003"/>
    <n v="6"/>
    <n v="210.9084"/>
    <n v="9"/>
  </r>
  <r>
    <s v="Brand ABC TDM"/>
    <x v="2"/>
    <x v="2"/>
    <s v="Sleeveless Tops"/>
    <s v="A3A7Q-WBBM"/>
    <s v="Crest"/>
    <s v="S"/>
    <x v="0"/>
    <d v="2024-10-28T00:00:00"/>
    <d v="2024-12-04T00:00:00"/>
    <n v="1"/>
    <n v="34.228499999999997"/>
    <n v="93.43"/>
    <n v="4"/>
    <n v="138.69399999999999"/>
    <n v="5"/>
  </r>
  <r>
    <s v="Brand ABC TDM"/>
    <x v="2"/>
    <x v="2"/>
    <s v="Sleeveless Tops"/>
    <s v="A3A7Q-WBBM"/>
    <s v="Crest"/>
    <s v="XL"/>
    <x v="0"/>
    <d v="2024-10-28T00:00:00"/>
    <d v="2024-12-04T00:00:00"/>
    <n v="1"/>
    <n v="34.250700000000002"/>
    <n v="93.43"/>
    <n v="2"/>
    <n v="70.282399999999996"/>
    <n v="3"/>
  </r>
  <r>
    <s v="Brand ABC TDM"/>
    <x v="2"/>
    <x v="2"/>
    <s v="Sleeveless Tops"/>
    <s v="A3A7Q-WBBM"/>
    <s v="Crest"/>
    <s v="XS"/>
    <x v="0"/>
    <d v="2024-10-28T00:00:00"/>
    <d v="2024-11-30T00:00:00"/>
    <n v="1"/>
    <n v="34.231699999999996"/>
    <n v="93.43"/>
    <n v="2"/>
    <n v="70.243399999999994"/>
    <n v="3"/>
  </r>
  <r>
    <s v="Brand ABC TDM"/>
    <x v="2"/>
    <x v="2"/>
    <s v="Sleeveless Tops"/>
    <s v="A4A8U-GB8N"/>
    <s v="Heritage"/>
    <s v="L"/>
    <x v="0"/>
    <d v="2024-10-26T00:00:00"/>
    <d v="2024-11-15T00:00:00"/>
    <n v="15"/>
    <n v="768.72149999999999"/>
    <n v="2237.2199999999998"/>
    <n v="2"/>
    <n v="102.4962"/>
    <n v="17"/>
  </r>
  <r>
    <s v="Brand ABC TDM"/>
    <x v="2"/>
    <x v="2"/>
    <s v="Sleeveless Tops"/>
    <s v="A4A8U-GB8N"/>
    <s v="Heritage"/>
    <s v="M"/>
    <x v="0"/>
    <d v="2024-10-25T00:00:00"/>
    <d v="2024-11-15T00:00:00"/>
    <n v="7"/>
    <n v="359.25819999999999"/>
    <n v="1014"/>
    <n v="0"/>
    <n v="0"/>
    <n v="7"/>
  </r>
  <r>
    <s v="Brand ABC TDM"/>
    <x v="2"/>
    <x v="2"/>
    <s v="Sleeveless Tops"/>
    <s v="A4A8U-GB8N"/>
    <s v="Heritage"/>
    <s v="S"/>
    <x v="0"/>
    <d v="2024-10-26T00:00:00"/>
    <d v="2024-11-15T00:00:00"/>
    <n v="3"/>
    <n v="153.78809999999999"/>
    <n v="434.57"/>
    <n v="1"/>
    <n v="51.262700000000002"/>
    <n v="4"/>
  </r>
  <r>
    <s v="Brand ABC TDM"/>
    <x v="2"/>
    <x v="2"/>
    <s v="Sleeveless Tops"/>
    <s v="A4A8U-GB8N"/>
    <s v="Heritage"/>
    <s v="XL"/>
    <x v="0"/>
    <d v="2024-10-25T00:00:00"/>
    <d v="2024-10-25T00:00:00"/>
    <n v="2"/>
    <n v="98.811800000000005"/>
    <n v="289.72000000000003"/>
    <n v="0"/>
    <n v="0"/>
    <n v="2"/>
  </r>
  <r>
    <s v="Brand ABC TDM"/>
    <x v="2"/>
    <x v="2"/>
    <s v="Sleeveless Tops"/>
    <s v="A4A8U-GB8N"/>
    <s v="Heritage"/>
    <s v="XS"/>
    <x v="0"/>
    <d v="2024-10-26T00:00:00"/>
    <d v="2024-11-09T00:00:00"/>
    <n v="3"/>
    <n v="153.96780000000001"/>
    <n v="434.67"/>
    <n v="0"/>
    <n v="0"/>
    <n v="3"/>
  </r>
  <r>
    <s v="Brand ABC TDM"/>
    <x v="2"/>
    <x v="2"/>
    <s v="Sleeveless Tops"/>
    <s v="A4A8U-GCWD"/>
    <s v="Heritage"/>
    <s v="L"/>
    <x v="1"/>
    <d v="2024-10-26T00:00:00"/>
    <d v="2024-11-14T00:00:00"/>
    <n v="3"/>
    <n v="153.96780000000001"/>
    <n v="434.56"/>
    <n v="0"/>
    <n v="0"/>
    <n v="3"/>
  </r>
  <r>
    <s v="Brand ABC TDM"/>
    <x v="2"/>
    <x v="2"/>
    <s v="Sleeveless Tops"/>
    <s v="A4A8U-GCWD"/>
    <s v="Heritage"/>
    <s v="M"/>
    <x v="1"/>
    <d v="2024-10-25T00:00:00"/>
    <d v="2024-11-15T00:00:00"/>
    <n v="5"/>
    <n v="256.613"/>
    <n v="724.3"/>
    <n v="1"/>
    <n v="51.322600000000001"/>
    <n v="6"/>
  </r>
  <r>
    <s v="Brand ABC TDM"/>
    <x v="2"/>
    <x v="2"/>
    <s v="Sleeveless Tops"/>
    <s v="A4A8U-GCWD"/>
    <s v="Heritage"/>
    <s v="S"/>
    <x v="1"/>
    <d v="2024-10-26T00:00:00"/>
    <d v="2024-11-09T00:00:00"/>
    <n v="2"/>
    <n v="102.6452"/>
    <n v="273.62"/>
    <n v="0"/>
    <n v="0"/>
    <n v="2"/>
  </r>
  <r>
    <s v="Brand ABC TDM"/>
    <x v="2"/>
    <x v="2"/>
    <s v="Sleeveless Tops"/>
    <s v="A4A8U-GCWD"/>
    <s v="Heritage"/>
    <s v="XL"/>
    <x v="1"/>
    <d v="2024-10-26T00:00:00"/>
    <d v="2024-10-26T00:00:00"/>
    <n v="2"/>
    <n v="102.6452"/>
    <n v="289.72000000000003"/>
    <n v="0"/>
    <n v="0"/>
    <n v="2"/>
  </r>
  <r>
    <s v="Brand ABC TDM"/>
    <x v="2"/>
    <x v="2"/>
    <s v="Sleeveless Tops"/>
    <s v="A4A8U-GCWD"/>
    <s v="Heritage"/>
    <s v="XS"/>
    <x v="1"/>
    <d v="2024-10-26T00:00:00"/>
    <d v="2024-11-12T00:00:00"/>
    <n v="2"/>
    <n v="102.6452"/>
    <n v="305.81"/>
    <n v="0"/>
    <n v="0"/>
    <n v="2"/>
  </r>
  <r>
    <s v="Brand ABC TDM"/>
    <x v="2"/>
    <x v="2"/>
    <s v="Sleeveless Tops"/>
    <s v="A4A8U-UCMS"/>
    <s v="Heritage"/>
    <s v="L"/>
    <x v="0"/>
    <d v="2024-10-26T00:00:00"/>
    <d v="2024-11-12T00:00:00"/>
    <n v="2"/>
    <n v="102.6452"/>
    <n v="289.72000000000003"/>
    <n v="0"/>
    <n v="0"/>
    <n v="2"/>
  </r>
  <r>
    <s v="Brand ABC TDM"/>
    <x v="2"/>
    <x v="2"/>
    <s v="Sleeveless Tops"/>
    <s v="A4A8U-UCMS"/>
    <s v="Heritage"/>
    <s v="M"/>
    <x v="0"/>
    <d v="2024-10-26T00:00:00"/>
    <d v="2024-11-15T00:00:00"/>
    <n v="4"/>
    <n v="205.29040000000001"/>
    <n v="595.52"/>
    <n v="1"/>
    <n v="51.322600000000001"/>
    <n v="5"/>
  </r>
  <r>
    <s v="Brand ABC TDM"/>
    <x v="2"/>
    <x v="2"/>
    <s v="Sleeveless Tops"/>
    <s v="A4A8U-UCMS"/>
    <s v="Heritage"/>
    <s v="S"/>
    <x v="0"/>
    <d v="2024-10-26T00:00:00"/>
    <d v="2024-11-13T00:00:00"/>
    <n v="3"/>
    <n v="153.96780000000001"/>
    <n v="434.58"/>
    <n v="0"/>
    <n v="0"/>
    <n v="3"/>
  </r>
  <r>
    <s v="Brand ABC TDM"/>
    <x v="2"/>
    <x v="2"/>
    <s v="Sleeveless Tops"/>
    <s v="A4A8U-UCMS"/>
    <s v="Heritage"/>
    <s v="XL"/>
    <x v="0"/>
    <d v="2024-10-25T00:00:00"/>
    <d v="2024-10-25T00:00:00"/>
    <n v="2"/>
    <n v="102.6452"/>
    <n v="305.81"/>
    <n v="0"/>
    <n v="0"/>
    <n v="2"/>
  </r>
  <r>
    <s v="Brand ABC TDM"/>
    <x v="2"/>
    <x v="2"/>
    <s v="Sleeveless Tops"/>
    <s v="A4A8U-UCMS"/>
    <s v="Heritage"/>
    <s v="XS"/>
    <x v="0"/>
    <d v="2024-10-26T00:00:00"/>
    <d v="2024-11-12T00:00:00"/>
    <n v="2"/>
    <n v="102.6452"/>
    <n v="289.70999999999998"/>
    <n v="0"/>
    <n v="0"/>
    <n v="2"/>
  </r>
  <r>
    <s v="Brand ABC TDM"/>
    <x v="2"/>
    <x v="2"/>
    <s v="Sleeveless Tops"/>
    <s v="A5A3A-ECH1"/>
    <s v="Legacy"/>
    <s v="L"/>
    <x v="1"/>
    <d v="2024-12-07T00:00:00"/>
    <d v="2024-12-07T00:00:00"/>
    <n v="1"/>
    <n v="43.192999999999998"/>
    <n v="110.57"/>
    <n v="5"/>
    <n v="215.965"/>
    <n v="6"/>
  </r>
  <r>
    <s v="Brand ABC TDM"/>
    <x v="2"/>
    <x v="2"/>
    <s v="Sleeveless Tops"/>
    <s v="A5A3A-ECH1"/>
    <s v="Legacy"/>
    <s v="M"/>
    <x v="1"/>
    <d v="2024-12-07T00:00:00"/>
    <d v="2024-12-07T00:00:00"/>
    <n v="0"/>
    <n v="0"/>
    <n v="0"/>
    <n v="6"/>
    <n v="259.15800000000002"/>
    <n v="6"/>
  </r>
  <r>
    <s v="Brand ABC TDM"/>
    <x v="2"/>
    <x v="2"/>
    <s v="Sleeveless Tops"/>
    <s v="A5A3A-ECH1"/>
    <s v="Legacy"/>
    <s v="S"/>
    <x v="1"/>
    <d v="2024-12-07T00:00:00"/>
    <d v="2024-12-07T00:00:00"/>
    <n v="0"/>
    <n v="0"/>
    <n v="0"/>
    <n v="4"/>
    <n v="172.77199999999999"/>
    <n v="4"/>
  </r>
  <r>
    <s v="Brand ABC TDM"/>
    <x v="2"/>
    <x v="2"/>
    <s v="Sleeveless Tops"/>
    <s v="A5A3A-ECH1"/>
    <s v="Legacy"/>
    <s v="XS"/>
    <x v="1"/>
    <d v="2024-12-07T00:00:00"/>
    <d v="2024-12-07T00:00:00"/>
    <n v="0"/>
    <n v="0"/>
    <n v="0"/>
    <n v="2"/>
    <n v="86.385999999999996"/>
    <n v="2"/>
  </r>
  <r>
    <s v="Brand ABC TDM"/>
    <x v="2"/>
    <x v="2"/>
    <s v="Sleeveless Tops"/>
    <s v="A5A3A-GB7P"/>
    <s v="Legacy"/>
    <s v="L"/>
    <x v="3"/>
    <d v="2024-10-28T00:00:00"/>
    <d v="2024-10-28T00:00:00"/>
    <n v="0"/>
    <n v="0"/>
    <n v="0"/>
    <n v="4"/>
    <n v="164.232"/>
    <n v="4"/>
  </r>
  <r>
    <s v="Brand ABC TDM"/>
    <x v="2"/>
    <x v="2"/>
    <s v="Sleeveless Tops"/>
    <s v="A5A3A-GB7P"/>
    <s v="Legacy"/>
    <s v="M"/>
    <x v="3"/>
    <d v="2024-10-28T00:00:00"/>
    <d v="2024-10-28T00:00:00"/>
    <n v="1"/>
    <n v="41.058"/>
    <n v="110.57"/>
    <n v="3"/>
    <n v="123.17400000000001"/>
    <n v="4"/>
  </r>
  <r>
    <s v="Brand ABC TDM"/>
    <x v="2"/>
    <x v="2"/>
    <s v="Sleeveless Tops"/>
    <s v="A5A3A-GB7P"/>
    <s v="Legacy"/>
    <s v="S"/>
    <x v="3"/>
    <d v="2024-10-28T00:00:00"/>
    <d v="2024-10-28T00:00:00"/>
    <n v="0"/>
    <n v="0"/>
    <n v="0"/>
    <n v="3"/>
    <n v="123.17400000000001"/>
    <n v="3"/>
  </r>
  <r>
    <s v="Brand ABC TDM"/>
    <x v="2"/>
    <x v="2"/>
    <s v="Sleeveless Tops"/>
    <s v="A5A3A-GB7P"/>
    <s v="Legacy"/>
    <s v="XL"/>
    <x v="3"/>
    <d v="2024-10-28T00:00:00"/>
    <d v="2024-10-28T00:00:00"/>
    <n v="1"/>
    <n v="41.058"/>
    <n v="122.86"/>
    <n v="0"/>
    <n v="0"/>
    <n v="1"/>
  </r>
  <r>
    <s v="Brand ABC TDM"/>
    <x v="2"/>
    <x v="2"/>
    <s v="Sleeveless Tops"/>
    <s v="A5A3A-GB7P"/>
    <s v="Legacy"/>
    <s v="XS"/>
    <x v="3"/>
    <d v="2024-10-28T00:00:00"/>
    <d v="2024-10-28T00:00:00"/>
    <n v="0"/>
    <n v="0"/>
    <n v="0"/>
    <n v="1"/>
    <n v="41.058"/>
    <n v="1"/>
  </r>
  <r>
    <s v="Brand ABC TDM"/>
    <x v="2"/>
    <x v="2"/>
    <s v="Sleeveless Tops"/>
    <s v="A5A3A-NBZD"/>
    <s v="Legacy"/>
    <s v="L"/>
    <x v="1"/>
    <d v="2024-12-07T00:00:00"/>
    <d v="2024-12-07T00:00:00"/>
    <n v="0"/>
    <n v="0"/>
    <n v="0"/>
    <n v="6"/>
    <n v="259.15800000000002"/>
    <n v="6"/>
  </r>
  <r>
    <s v="Brand ABC TDM"/>
    <x v="2"/>
    <x v="2"/>
    <s v="Sleeveless Tops"/>
    <s v="A5A3A-NBZD"/>
    <s v="Legacy"/>
    <s v="M"/>
    <x v="1"/>
    <d v="2024-12-07T00:00:00"/>
    <d v="2024-12-07T00:00:00"/>
    <n v="0"/>
    <n v="0"/>
    <n v="0"/>
    <n v="6"/>
    <n v="259.15800000000002"/>
    <n v="6"/>
  </r>
  <r>
    <s v="Brand ABC TDM"/>
    <x v="2"/>
    <x v="2"/>
    <s v="Sleeveless Tops"/>
    <s v="A5A3A-NBZD"/>
    <s v="Legacy"/>
    <s v="S"/>
    <x v="1"/>
    <d v="2024-12-07T00:00:00"/>
    <d v="2024-12-07T00:00:00"/>
    <n v="0"/>
    <n v="0"/>
    <n v="0"/>
    <n v="4"/>
    <n v="172.7724"/>
    <n v="4"/>
  </r>
  <r>
    <s v="Brand ABC TDM"/>
    <x v="2"/>
    <x v="2"/>
    <s v="Sleeveless Tops"/>
    <s v="A5A3A-NBZD"/>
    <s v="Legacy"/>
    <s v="XL"/>
    <x v="1"/>
    <d v="2024-12-07T00:00:00"/>
    <d v="2024-12-11T00:00:00"/>
    <n v="1"/>
    <n v="43.193100000000001"/>
    <n v="122.86"/>
    <n v="2"/>
    <n v="86.386200000000002"/>
    <n v="3"/>
  </r>
  <r>
    <s v="Brand ABC TDM"/>
    <x v="2"/>
    <x v="2"/>
    <s v="Sleeveless Tops"/>
    <s v="A5A3A-NBZD"/>
    <s v="Legacy"/>
    <s v="XS"/>
    <x v="1"/>
    <d v="2024-12-07T00:00:00"/>
    <d v="2024-12-07T00:00:00"/>
    <n v="0"/>
    <n v="0"/>
    <n v="0"/>
    <n v="2"/>
    <n v="86.386200000000002"/>
    <n v="2"/>
  </r>
  <r>
    <s v="Brand ABC TDM"/>
    <x v="2"/>
    <x v="2"/>
    <s v="Sleeveless Tops"/>
    <s v="A5A5C-BB3K"/>
    <s v="Apex"/>
    <s v="L"/>
    <x v="0"/>
    <d v="2024-10-11T00:00:00"/>
    <d v="2024-12-10T00:00:00"/>
    <n v="20"/>
    <n v="1127.3025"/>
    <n v="2889.09"/>
    <n v="6"/>
    <n v="345.88440000000003"/>
    <n v="26"/>
  </r>
  <r>
    <s v="Brand ABC TDM"/>
    <x v="2"/>
    <x v="2"/>
    <s v="Sleeveless Tops"/>
    <s v="A5A5C-BB3K"/>
    <s v="Apex"/>
    <s v="M"/>
    <x v="0"/>
    <d v="2024-10-11T00:00:00"/>
    <d v="2024-12-13T00:00:00"/>
    <n v="17"/>
    <n v="946.63630000000001"/>
    <n v="2494.79"/>
    <n v="6"/>
    <n v="345.06"/>
    <n v="23"/>
  </r>
  <r>
    <s v="Brand ABC TDM"/>
    <x v="2"/>
    <x v="2"/>
    <s v="Sleeveless Tops"/>
    <s v="A5A5C-BB3K"/>
    <s v="Apex"/>
    <s v="S"/>
    <x v="0"/>
    <d v="2024-10-11T00:00:00"/>
    <d v="2024-11-30T00:00:00"/>
    <n v="10"/>
    <n v="553.678"/>
    <n v="1416.41"/>
    <n v="6"/>
    <n v="345.88440000000003"/>
    <n v="16"/>
  </r>
  <r>
    <s v="Brand ABC TDM"/>
    <x v="2"/>
    <x v="2"/>
    <s v="Sleeveless Tops"/>
    <s v="A5A5C-BB3K"/>
    <s v="Apex"/>
    <s v="XL"/>
    <x v="0"/>
    <d v="2024-10-26T00:00:00"/>
    <d v="2024-12-10T00:00:00"/>
    <n v="2"/>
    <n v="109.5958"/>
    <n v="289.72000000000003"/>
    <n v="2"/>
    <n v="115.21"/>
    <n v="4"/>
  </r>
  <r>
    <s v="Brand ABC TDM"/>
    <x v="2"/>
    <x v="2"/>
    <s v="Sleeveless Tops"/>
    <s v="A5A5C-BB3K"/>
    <s v="Apex"/>
    <s v="XS"/>
    <x v="0"/>
    <d v="2024-10-26T00:00:00"/>
    <d v="2024-10-26T00:00:00"/>
    <n v="2"/>
    <n v="109.5958"/>
    <n v="289.70999999999998"/>
    <n v="0"/>
    <n v="0"/>
    <n v="2"/>
  </r>
  <r>
    <s v="Brand ABC TDM"/>
    <x v="2"/>
    <x v="2"/>
    <s v="Sleeveless Tops"/>
    <s v="A5A5C-GCHX"/>
    <s v="Apex"/>
    <s v="L"/>
    <x v="0"/>
    <d v="2024-10-26T00:00:00"/>
    <d v="2024-11-26T00:00:00"/>
    <n v="8"/>
    <n v="444.0822"/>
    <n v="1174.96"/>
    <n v="6"/>
    <n v="345.88440000000003"/>
    <n v="14"/>
  </r>
  <r>
    <s v="Brand ABC TDM"/>
    <x v="2"/>
    <x v="2"/>
    <s v="Sleeveless Tops"/>
    <s v="A5A5C-GCHX"/>
    <s v="Apex"/>
    <s v="M"/>
    <x v="0"/>
    <d v="2024-10-26T00:00:00"/>
    <d v="2024-11-21T00:00:00"/>
    <n v="6"/>
    <n v="328.78739999999999"/>
    <n v="869.14"/>
    <n v="6"/>
    <n v="343.03500000000003"/>
    <n v="12"/>
  </r>
  <r>
    <s v="Brand ABC TDM"/>
    <x v="2"/>
    <x v="2"/>
    <s v="Sleeveless Tops"/>
    <s v="A5A5C-GCHX"/>
    <s v="Apex"/>
    <s v="S"/>
    <x v="0"/>
    <d v="2024-10-26T00:00:00"/>
    <d v="2024-12-13T00:00:00"/>
    <n v="7"/>
    <n v="388.0376"/>
    <n v="1030.1099999999999"/>
    <n v="4"/>
    <n v="228.98679999999999"/>
    <n v="11"/>
  </r>
  <r>
    <s v="Brand ABC TDM"/>
    <x v="2"/>
    <x v="2"/>
    <s v="Sleeveless Tops"/>
    <s v="A5A5C-GCHX"/>
    <s v="Apex"/>
    <s v="XL"/>
    <x v="0"/>
    <d v="2024-10-26T00:00:00"/>
    <d v="2024-12-10T00:00:00"/>
    <n v="1"/>
    <n v="54.797899999999998"/>
    <n v="144.85"/>
    <n v="2"/>
    <n v="112.40560000000001"/>
    <n v="3"/>
  </r>
  <r>
    <s v="Brand ABC TDM"/>
    <x v="2"/>
    <x v="2"/>
    <s v="Sleeveless Tops"/>
    <s v="A5A5C-TBRK"/>
    <s v="Apex"/>
    <s v="L"/>
    <x v="1"/>
    <d v="2024-10-26T00:00:00"/>
    <d v="2024-12-10T00:00:00"/>
    <n v="9"/>
    <n v="503.55790000000002"/>
    <n v="1335.91"/>
    <n v="6"/>
    <n v="343.43340000000001"/>
    <n v="15"/>
  </r>
  <r>
    <s v="Brand ABC TDM"/>
    <x v="2"/>
    <x v="2"/>
    <s v="Sleeveless Tops"/>
    <s v="A5A5C-TBRK"/>
    <s v="Apex"/>
    <s v="M"/>
    <x v="1"/>
    <d v="2024-10-26T00:00:00"/>
    <d v="2024-12-13T00:00:00"/>
    <n v="6"/>
    <n v="334.43040000000002"/>
    <n v="885.25"/>
    <n v="6"/>
    <n v="340.88459999999998"/>
    <n v="12"/>
  </r>
  <r>
    <s v="Brand ABC TDM"/>
    <x v="2"/>
    <x v="2"/>
    <s v="Sleeveless Tops"/>
    <s v="A5A5C-TBRK"/>
    <s v="Apex"/>
    <s v="S"/>
    <x v="1"/>
    <d v="2024-10-26T00:00:00"/>
    <d v="2024-12-13T00:00:00"/>
    <n v="3"/>
    <n v="166.23050000000001"/>
    <n v="450.67"/>
    <n v="4"/>
    <n v="225.61519999999999"/>
    <n v="7"/>
  </r>
  <r>
    <s v="Brand ABC TDM"/>
    <x v="2"/>
    <x v="2"/>
    <s v="Sleeveless Tops"/>
    <s v="A5A5C-TBRK"/>
    <s v="Apex"/>
    <s v="XL"/>
    <x v="1"/>
    <d v="2024-10-26T00:00:00"/>
    <d v="2024-10-26T00:00:00"/>
    <n v="1"/>
    <n v="54.757599999999996"/>
    <n v="144.86000000000001"/>
    <n v="1"/>
    <n v="54.757599999999996"/>
    <n v="2"/>
  </r>
  <r>
    <s v="Brand ABC TDM"/>
    <x v="2"/>
    <x v="2"/>
    <s v="Sleeveless Tops"/>
    <s v="A5A5C-TBRK"/>
    <s v="Apex"/>
    <s v="XS"/>
    <x v="1"/>
    <d v="2024-10-26T00:00:00"/>
    <d v="2024-11-26T00:00:00"/>
    <n v="3"/>
    <n v="167.12020000000001"/>
    <n v="434.48"/>
    <n v="0"/>
    <n v="0"/>
    <n v="3"/>
  </r>
  <r>
    <s v="Brand ABC TDM"/>
    <x v="2"/>
    <x v="2"/>
    <s v="Sleeveless Tops"/>
    <s v="A5A9P-GB8N"/>
    <s v="Heritage"/>
    <s v="L"/>
    <x v="0"/>
    <d v="2024-10-26T00:00:00"/>
    <d v="2024-11-15T00:00:00"/>
    <n v="6"/>
    <n v="307.93560000000002"/>
    <n v="869.16"/>
    <n v="0"/>
    <n v="0"/>
    <n v="6"/>
  </r>
  <r>
    <s v="Brand ABC TDM"/>
    <x v="2"/>
    <x v="2"/>
    <s v="Sleeveless Tops"/>
    <s v="A5A9P-GB8N"/>
    <s v="Heritage"/>
    <s v="M"/>
    <x v="0"/>
    <d v="2024-10-26T00:00:00"/>
    <d v="2024-11-15T00:00:00"/>
    <n v="11"/>
    <n v="564.09320000000002"/>
    <n v="1561.25"/>
    <n v="0"/>
    <n v="0"/>
    <n v="11"/>
  </r>
  <r>
    <s v="Brand ABC TDM"/>
    <x v="2"/>
    <x v="2"/>
    <s v="Sleeveless Tops"/>
    <s v="A5A9P-GB8N"/>
    <s v="Heritage"/>
    <s v="S"/>
    <x v="0"/>
    <d v="2024-10-26T00:00:00"/>
    <d v="2024-11-15T00:00:00"/>
    <n v="7"/>
    <n v="358.69889999999998"/>
    <n v="1014.01"/>
    <n v="1"/>
    <n v="51.242699999999999"/>
    <n v="8"/>
  </r>
  <r>
    <s v="Brand ABC TDM"/>
    <x v="2"/>
    <x v="2"/>
    <s v="Sleeveless Tops"/>
    <s v="A5A9P-GB8N"/>
    <s v="Heritage"/>
    <s v="XL"/>
    <x v="0"/>
    <d v="2024-10-26T00:00:00"/>
    <d v="2024-10-26T00:00:00"/>
    <n v="2"/>
    <n v="102.6452"/>
    <n v="289.72000000000003"/>
    <n v="0"/>
    <n v="0"/>
    <n v="2"/>
  </r>
  <r>
    <s v="Brand ABC TDM"/>
    <x v="2"/>
    <x v="2"/>
    <s v="Sleeveless Tops"/>
    <s v="A5A9P-GB8N"/>
    <s v="Heritage"/>
    <s v="XS"/>
    <x v="0"/>
    <d v="2024-10-26T00:00:00"/>
    <d v="2024-11-13T00:00:00"/>
    <n v="4"/>
    <n v="205.29040000000001"/>
    <n v="579.44000000000005"/>
    <n v="0"/>
    <n v="0"/>
    <n v="4"/>
  </r>
  <r>
    <s v="Brand ABC TDM"/>
    <x v="2"/>
    <x v="2"/>
    <s v="Sleeveless Tops"/>
    <s v="A6A7B-BB67"/>
    <s v="Premium Legacy"/>
    <s v="L"/>
    <x v="0"/>
    <d v="2024-12-12T00:00:00"/>
    <d v="2024-12-12T00:00:00"/>
    <n v="0"/>
    <n v="0"/>
    <n v="0"/>
    <n v="6"/>
    <n v="323.94839999999999"/>
    <n v="6"/>
  </r>
  <r>
    <s v="Brand ABC TDM"/>
    <x v="2"/>
    <x v="2"/>
    <s v="Sleeveless Tops"/>
    <s v="A6A7B-BB67"/>
    <s v="Premium Legacy"/>
    <s v="M"/>
    <x v="0"/>
    <d v="2024-12-12T00:00:00"/>
    <d v="2024-12-12T00:00:00"/>
    <n v="0"/>
    <n v="0"/>
    <n v="0"/>
    <n v="6"/>
    <n v="323.94839999999999"/>
    <n v="6"/>
  </r>
  <r>
    <s v="Brand ABC TDM"/>
    <x v="2"/>
    <x v="2"/>
    <s v="Sleeveless Tops"/>
    <s v="A6A7B-BB67"/>
    <s v="Premium Legacy"/>
    <s v="S"/>
    <x v="0"/>
    <d v="2024-12-12T00:00:00"/>
    <d v="2024-12-12T00:00:00"/>
    <n v="0"/>
    <n v="0"/>
    <n v="0"/>
    <n v="4"/>
    <n v="215.96559999999999"/>
    <n v="4"/>
  </r>
  <r>
    <s v="Brand ABC TDM"/>
    <x v="2"/>
    <x v="2"/>
    <s v="Sleeveless Tops"/>
    <s v="A6A7B-BB67"/>
    <s v="Premium Legacy"/>
    <s v="XL"/>
    <x v="0"/>
    <d v="2024-12-12T00:00:00"/>
    <d v="2024-12-12T00:00:00"/>
    <n v="0"/>
    <n v="0"/>
    <n v="0"/>
    <n v="2"/>
    <n v="107.9828"/>
    <n v="2"/>
  </r>
  <r>
    <s v="Brand ABC TDM"/>
    <x v="2"/>
    <x v="2"/>
    <s v="Sleeveless Tops"/>
    <s v="A6A7B-BB67"/>
    <s v="Premium Legacy"/>
    <s v="XS"/>
    <x v="0"/>
    <d v="2024-12-12T00:00:00"/>
    <d v="2024-12-12T00:00:00"/>
    <n v="0"/>
    <n v="0"/>
    <n v="0"/>
    <n v="2"/>
    <n v="107.9828"/>
    <n v="2"/>
  </r>
  <r>
    <s v="Brand ABC TDM"/>
    <x v="2"/>
    <x v="2"/>
    <s v="Sleeveless Tops"/>
    <s v="A6A7B-NB4S"/>
    <s v="Premium Legacy"/>
    <s v="L"/>
    <x v="1"/>
    <d v="2024-12-12T00:00:00"/>
    <d v="2024-12-12T00:00:00"/>
    <n v="0"/>
    <n v="0"/>
    <n v="0"/>
    <n v="6"/>
    <n v="323.94839999999999"/>
    <n v="6"/>
  </r>
  <r>
    <s v="Brand ABC TDM"/>
    <x v="2"/>
    <x v="2"/>
    <s v="Sleeveless Tops"/>
    <s v="A6A7B-NB4S"/>
    <s v="Premium Legacy"/>
    <s v="M"/>
    <x v="1"/>
    <d v="2024-12-12T00:00:00"/>
    <d v="2024-12-12T00:00:00"/>
    <n v="0"/>
    <n v="0"/>
    <n v="0"/>
    <n v="6"/>
    <n v="323.94839999999999"/>
    <n v="6"/>
  </r>
  <r>
    <s v="Brand ABC TDM"/>
    <x v="2"/>
    <x v="2"/>
    <s v="Sleeveless Tops"/>
    <s v="A6A7B-NB4S"/>
    <s v="Premium Legacy"/>
    <s v="S"/>
    <x v="1"/>
    <d v="2024-12-12T00:00:00"/>
    <d v="2024-12-12T00:00:00"/>
    <n v="0"/>
    <n v="0"/>
    <n v="0"/>
    <n v="4"/>
    <n v="215.96559999999999"/>
    <n v="4"/>
  </r>
  <r>
    <s v="Brand ABC TDM"/>
    <x v="2"/>
    <x v="2"/>
    <s v="Sleeveless Tops"/>
    <s v="A6A7B-NB4S"/>
    <s v="Premium Legacy"/>
    <s v="XL"/>
    <x v="1"/>
    <d v="2024-12-12T00:00:00"/>
    <d v="2024-12-12T00:00:00"/>
    <n v="0"/>
    <n v="0"/>
    <n v="0"/>
    <n v="2"/>
    <n v="107.9828"/>
    <n v="2"/>
  </r>
  <r>
    <s v="Brand ABC TDM"/>
    <x v="2"/>
    <x v="2"/>
    <s v="Sleeveless Tops"/>
    <s v="A6A7B-NB4S"/>
    <s v="Premium Legacy"/>
    <s v="XS"/>
    <x v="1"/>
    <d v="2024-12-12T00:00:00"/>
    <d v="2024-12-12T00:00:00"/>
    <n v="0"/>
    <n v="0"/>
    <n v="0"/>
    <n v="2"/>
    <n v="107.9828"/>
    <n v="2"/>
  </r>
  <r>
    <s v="Brand ABC TDM"/>
    <x v="2"/>
    <x v="2"/>
    <s v="Underwear"/>
    <s v="A5A3V-BCCN"/>
    <s v="Underwear"/>
    <s v="L"/>
    <x v="0"/>
    <d v="2024-12-07T00:00:00"/>
    <d v="2024-12-07T00:00:00"/>
    <n v="0"/>
    <n v="0"/>
    <n v="0"/>
    <n v="4"/>
    <n v="201.85120000000001"/>
    <n v="4"/>
  </r>
  <r>
    <s v="Brand ABC TDM"/>
    <x v="2"/>
    <x v="2"/>
    <s v="Underwear"/>
    <s v="A5A3V-BCCN"/>
    <s v="Underwear"/>
    <s v="M"/>
    <x v="0"/>
    <d v="2024-12-07T00:00:00"/>
    <d v="2024-12-07T00:00:00"/>
    <n v="0"/>
    <n v="0"/>
    <n v="0"/>
    <n v="5"/>
    <n v="252.31399999999999"/>
    <n v="5"/>
  </r>
  <r>
    <s v="Brand ABC TDM"/>
    <x v="2"/>
    <x v="2"/>
    <s v="Underwear"/>
    <s v="A5A3V-BCCN"/>
    <s v="Underwear"/>
    <s v="S"/>
    <x v="0"/>
    <d v="2024-12-07T00:00:00"/>
    <d v="2024-12-07T00:00:00"/>
    <n v="0"/>
    <n v="0"/>
    <n v="0"/>
    <n v="4"/>
    <n v="201.85120000000001"/>
    <n v="4"/>
  </r>
  <r>
    <s v="Brand ABC TDM"/>
    <x v="2"/>
    <x v="2"/>
    <s v="Underwear"/>
    <s v="A5A3V-BCCN"/>
    <s v="Underwear"/>
    <s v="XL"/>
    <x v="0"/>
    <d v="2024-12-07T00:00:00"/>
    <d v="2024-12-07T00:00:00"/>
    <n v="0"/>
    <n v="0"/>
    <n v="0"/>
    <n v="2"/>
    <n v="100.9256"/>
    <n v="2"/>
  </r>
  <r>
    <s v="Brand ABC TDM"/>
    <x v="2"/>
    <x v="2"/>
    <s v="Underwear"/>
    <s v="A5A3V-BCCN"/>
    <s v="Underwear"/>
    <s v="XS"/>
    <x v="0"/>
    <d v="2024-12-07T00:00:00"/>
    <d v="2024-12-07T00:00:00"/>
    <n v="0"/>
    <n v="0"/>
    <n v="0"/>
    <n v="2"/>
    <n v="100.9256"/>
    <n v="2"/>
  </r>
  <r>
    <s v="Brand ABC TDM"/>
    <x v="2"/>
    <x v="2"/>
    <s v="Underwear"/>
    <s v="A5A3V-BCCW"/>
    <s v="Underwear"/>
    <s v="L"/>
    <x v="0"/>
    <d v="2024-05-20T00:00:00"/>
    <d v="2024-12-07T00:00:00"/>
    <n v="0"/>
    <n v="0"/>
    <n v="0"/>
    <n v="4"/>
    <n v="208.9932"/>
    <n v="4"/>
  </r>
  <r>
    <s v="Brand ABC TDM"/>
    <x v="2"/>
    <x v="2"/>
    <s v="Underwear"/>
    <s v="A5A3V-BCCW"/>
    <s v="Underwear"/>
    <s v="M"/>
    <x v="0"/>
    <d v="2024-05-20T00:00:00"/>
    <d v="2024-12-07T00:00:00"/>
    <n v="0"/>
    <n v="0"/>
    <n v="0"/>
    <n v="5"/>
    <n v="261.24149999999997"/>
    <n v="5"/>
  </r>
  <r>
    <s v="Brand ABC TDM"/>
    <x v="2"/>
    <x v="2"/>
    <s v="Underwear"/>
    <s v="A5A3V-BCCW"/>
    <s v="Underwear"/>
    <s v="S"/>
    <x v="0"/>
    <d v="2024-05-20T00:00:00"/>
    <d v="2024-12-07T00:00:00"/>
    <n v="0"/>
    <n v="0"/>
    <n v="0"/>
    <n v="4"/>
    <n v="208.9932"/>
    <n v="4"/>
  </r>
  <r>
    <s v="Brand ABC TDM"/>
    <x v="2"/>
    <x v="2"/>
    <s v="Underwear"/>
    <s v="A5A3V-BCCW"/>
    <s v="Underwear"/>
    <s v="XL"/>
    <x v="0"/>
    <d v="2024-05-20T00:00:00"/>
    <d v="2024-12-07T00:00:00"/>
    <n v="0"/>
    <n v="0"/>
    <n v="0"/>
    <n v="1"/>
    <n v="52.2483"/>
    <n v="1"/>
  </r>
  <r>
    <s v="Brand ABC TDM"/>
    <x v="2"/>
    <x v="2"/>
    <s v="Underwear"/>
    <s v="A5A3V-BCCW"/>
    <s v="Underwear"/>
    <s v="XS"/>
    <x v="0"/>
    <d v="2024-05-20T00:00:00"/>
    <d v="2024-12-07T00:00:00"/>
    <n v="0"/>
    <n v="0"/>
    <n v="0"/>
    <n v="2"/>
    <n v="104.4966"/>
    <n v="2"/>
  </r>
  <r>
    <s v="Brand ABC TDM"/>
    <x v="2"/>
    <x v="1"/>
    <s v="Short Sleeve Tops"/>
    <s v="B1A7M-BBBB"/>
    <s v="Training"/>
    <s v="L"/>
    <x v="0"/>
    <d v="2024-12-07T00:00:00"/>
    <d v="2024-12-19T00:00:00"/>
    <n v="0"/>
    <n v="0"/>
    <n v="0"/>
    <n v="5"/>
    <n v="180.042"/>
    <n v="5"/>
  </r>
  <r>
    <s v="Brand ABC TDM"/>
    <x v="2"/>
    <x v="1"/>
    <s v="Short Sleeve Tops"/>
    <s v="B1A7M-BBBB"/>
    <s v="Training"/>
    <s v="M"/>
    <x v="0"/>
    <d v="2024-12-07T00:00:00"/>
    <d v="2024-12-17T00:00:00"/>
    <n v="1"/>
    <n v="36.014499999999998"/>
    <n v="103.81"/>
    <n v="4"/>
    <n v="144.05799999999999"/>
    <n v="5"/>
  </r>
  <r>
    <s v="Brand ABC TDM"/>
    <x v="2"/>
    <x v="1"/>
    <s v="Short Sleeve Tops"/>
    <s v="B1A7M-BBBB"/>
    <s v="Training"/>
    <s v="S"/>
    <x v="0"/>
    <d v="2024-12-07T00:00:00"/>
    <d v="2024-12-21T00:00:00"/>
    <n v="1"/>
    <n v="36.023000000000003"/>
    <n v="93.43"/>
    <n v="4"/>
    <n v="144.09200000000001"/>
    <n v="5"/>
  </r>
  <r>
    <s v="Brand ABC TDM"/>
    <x v="2"/>
    <x v="1"/>
    <s v="Short Sleeve Tops"/>
    <s v="B1A7M-BBBB"/>
    <s v="Training"/>
    <s v="XL"/>
    <x v="0"/>
    <d v="2024-12-07T00:00:00"/>
    <d v="2024-12-07T00:00:00"/>
    <n v="0"/>
    <n v="0"/>
    <n v="0"/>
    <n v="3"/>
    <n v="108.1185"/>
    <n v="3"/>
  </r>
  <r>
    <s v="Brand ABC TDM"/>
    <x v="2"/>
    <x v="1"/>
    <s v="Short Sleeve Tops"/>
    <s v="B1A7M-BBBB"/>
    <s v="Training"/>
    <s v="XS"/>
    <x v="0"/>
    <d v="2024-12-07T00:00:00"/>
    <d v="2024-12-19T00:00:00"/>
    <n v="4"/>
    <n v="144.10759999999999"/>
    <n v="384.1"/>
    <n v="2"/>
    <n v="72.053799999999995"/>
    <n v="6"/>
  </r>
  <r>
    <s v="Brand ABC TDM"/>
    <x v="2"/>
    <x v="1"/>
    <s v="Short Sleeve Tops"/>
    <s v="B1A7M-UBCY"/>
    <s v="Training"/>
    <s v="S"/>
    <x v="0"/>
    <d v="2024-11-25T00:00:00"/>
    <d v="2024-11-25T00:00:00"/>
    <n v="0"/>
    <n v="0"/>
    <n v="0"/>
    <n v="2"/>
    <n v="72.101799999999997"/>
    <n v="2"/>
  </r>
  <r>
    <s v="Brand ABC TDM"/>
    <x v="2"/>
    <x v="1"/>
    <s v="Short Sleeve Tops"/>
    <s v="B1A7M-WBBM"/>
    <s v="Training"/>
    <s v="L"/>
    <x v="0"/>
    <d v="2024-12-07T00:00:00"/>
    <d v="2024-12-07T00:00:00"/>
    <n v="0"/>
    <n v="0"/>
    <n v="0"/>
    <n v="5"/>
    <n v="180.06800000000001"/>
    <n v="5"/>
  </r>
  <r>
    <s v="Brand ABC TDM"/>
    <x v="2"/>
    <x v="1"/>
    <s v="Short Sleeve Tops"/>
    <s v="B1A7M-WBBM"/>
    <s v="Training"/>
    <s v="M"/>
    <x v="0"/>
    <d v="2024-12-07T00:00:00"/>
    <d v="2024-12-14T00:00:00"/>
    <n v="1"/>
    <n v="36.013399999999997"/>
    <n v="93.43"/>
    <n v="5"/>
    <n v="180.06700000000001"/>
    <n v="6"/>
  </r>
  <r>
    <s v="Brand ABC TDM"/>
    <x v="2"/>
    <x v="1"/>
    <s v="Short Sleeve Tops"/>
    <s v="B1A7M-WBBM"/>
    <s v="Training"/>
    <s v="S"/>
    <x v="0"/>
    <d v="2024-12-07T00:00:00"/>
    <d v="2024-12-21T00:00:00"/>
    <n v="3"/>
    <n v="108.0561"/>
    <n v="280.29000000000002"/>
    <n v="3"/>
    <n v="108.0561"/>
    <n v="6"/>
  </r>
  <r>
    <s v="Brand ABC TDM"/>
    <x v="2"/>
    <x v="1"/>
    <s v="Short Sleeve Tops"/>
    <s v="B1A7M-WBBM"/>
    <s v="Training"/>
    <s v="XS"/>
    <x v="0"/>
    <d v="2024-12-07T00:00:00"/>
    <d v="2024-12-11T00:00:00"/>
    <n v="3"/>
    <n v="108.0252"/>
    <n v="280.29000000000002"/>
    <n v="2"/>
    <n v="72.016800000000003"/>
    <n v="5"/>
  </r>
  <r>
    <s v="Brand ABC TDM"/>
    <x v="2"/>
    <x v="1"/>
    <s v="Short Sleeve Tops"/>
    <s v="B1C9V-BB2J"/>
    <s v="GFX Embroidered Brand ABC"/>
    <s v="L"/>
    <x v="1"/>
    <d v="2024-12-12T00:00:00"/>
    <d v="2024-12-12T00:00:00"/>
    <n v="0"/>
    <n v="0"/>
    <n v="0"/>
    <n v="5"/>
    <n v="315.233"/>
    <n v="5"/>
  </r>
  <r>
    <s v="Brand ABC TDM"/>
    <x v="2"/>
    <x v="1"/>
    <s v="Short Sleeve Tops"/>
    <s v="B1C9V-BB2J"/>
    <s v="GFX Embroidered Brand ABC"/>
    <s v="M"/>
    <x v="1"/>
    <d v="2024-12-12T00:00:00"/>
    <d v="2024-12-20T00:00:00"/>
    <n v="0"/>
    <n v="0"/>
    <n v="0"/>
    <n v="5"/>
    <n v="315.33"/>
    <n v="5"/>
  </r>
  <r>
    <s v="Brand ABC TDM"/>
    <x v="2"/>
    <x v="1"/>
    <s v="Short Sleeve Tops"/>
    <s v="B1C9V-BB2J"/>
    <s v="GFX Embroidered Brand ABC"/>
    <s v="S"/>
    <x v="1"/>
    <d v="2024-12-12T00:00:00"/>
    <d v="2024-12-19T00:00:00"/>
    <n v="0"/>
    <n v="0"/>
    <n v="0"/>
    <n v="4"/>
    <n v="252.18639999999999"/>
    <n v="4"/>
  </r>
  <r>
    <s v="Brand ABC TDM"/>
    <x v="2"/>
    <x v="1"/>
    <s v="Short Sleeve Tops"/>
    <s v="B1C9V-BB2J"/>
    <s v="GFX Embroidered Brand ABC"/>
    <s v="XS"/>
    <x v="1"/>
    <d v="2024-12-12T00:00:00"/>
    <d v="2024-12-21T00:00:00"/>
    <n v="0"/>
    <n v="0"/>
    <n v="0"/>
    <n v="3"/>
    <n v="189.13980000000001"/>
    <n v="3"/>
  </r>
  <r>
    <s v="Brand ABC TDM"/>
    <x v="2"/>
    <x v="1"/>
    <s v="Short Sleeve Tops"/>
    <s v="B1C9V-GCHK"/>
    <s v="GFX Embroidered Brand ABC"/>
    <s v="L"/>
    <x v="1"/>
    <d v="2024-12-12T00:00:00"/>
    <d v="2024-12-19T00:00:00"/>
    <n v="0"/>
    <n v="0"/>
    <n v="0"/>
    <n v="3"/>
    <n v="189.13980000000001"/>
    <n v="3"/>
  </r>
  <r>
    <s v="Brand ABC TDM"/>
    <x v="2"/>
    <x v="1"/>
    <s v="Short Sleeve Tops"/>
    <s v="B1C9V-GCHK"/>
    <s v="GFX Embroidered Brand ABC"/>
    <s v="M"/>
    <x v="1"/>
    <d v="2024-12-12T00:00:00"/>
    <d v="2024-12-21T00:00:00"/>
    <n v="0"/>
    <n v="0"/>
    <n v="0"/>
    <n v="5"/>
    <n v="315.233"/>
    <n v="5"/>
  </r>
  <r>
    <s v="Brand ABC TDM"/>
    <x v="2"/>
    <x v="1"/>
    <s v="Short Sleeve Tops"/>
    <s v="B1C9V-GCHK"/>
    <s v="GFX Embroidered Brand ABC"/>
    <s v="S"/>
    <x v="1"/>
    <d v="2024-12-12T00:00:00"/>
    <d v="2024-12-20T00:00:00"/>
    <n v="0"/>
    <n v="0"/>
    <n v="0"/>
    <n v="4"/>
    <n v="252.18639999999999"/>
    <n v="4"/>
  </r>
  <r>
    <s v="Brand ABC TDM"/>
    <x v="2"/>
    <x v="1"/>
    <s v="Short Sleeve Tops"/>
    <s v="B1C9V-GCHK"/>
    <s v="GFX Embroidered Brand ABC"/>
    <s v="XS"/>
    <x v="1"/>
    <d v="2024-12-12T00:00:00"/>
    <d v="2024-12-19T00:00:00"/>
    <n v="0"/>
    <n v="0"/>
    <n v="0"/>
    <n v="3"/>
    <n v="189.13980000000001"/>
    <n v="3"/>
  </r>
  <r>
    <s v="Brand ABC TDM"/>
    <x v="2"/>
    <x v="1"/>
    <s v="Short Sleeve Tops"/>
    <s v="B2B1S-UCTP"/>
    <s v="Strength In Numbers"/>
    <s v="L"/>
    <x v="1"/>
    <d v="2024-12-07T00:00:00"/>
    <d v="2024-12-21T00:00:00"/>
    <n v="0"/>
    <n v="0"/>
    <n v="0"/>
    <n v="5"/>
    <n v="269.95699999999999"/>
    <n v="5"/>
  </r>
  <r>
    <s v="Brand ABC TDM"/>
    <x v="2"/>
    <x v="1"/>
    <s v="Short Sleeve Tops"/>
    <s v="B2B1S-UCTP"/>
    <s v="Strength In Numbers"/>
    <s v="M"/>
    <x v="1"/>
    <d v="2024-12-07T00:00:00"/>
    <d v="2024-12-07T00:00:00"/>
    <n v="0"/>
    <n v="0"/>
    <n v="0"/>
    <n v="5"/>
    <n v="269.95699999999999"/>
    <n v="5"/>
  </r>
  <r>
    <s v="Brand ABC TDM"/>
    <x v="2"/>
    <x v="1"/>
    <s v="Short Sleeve Tops"/>
    <s v="B2B1S-UCTP"/>
    <s v="Strength In Numbers"/>
    <s v="S"/>
    <x v="1"/>
    <d v="2024-12-07T00:00:00"/>
    <d v="2024-12-21T00:00:00"/>
    <n v="1"/>
    <n v="53.991399999999999"/>
    <n v="144.85"/>
    <n v="4"/>
    <n v="215.96559999999999"/>
    <n v="5"/>
  </r>
  <r>
    <s v="Brand ABC TDM"/>
    <x v="2"/>
    <x v="1"/>
    <s v="Short Sleeve Tops"/>
    <s v="B2B1S-UCTP"/>
    <s v="Strength In Numbers"/>
    <s v="XS"/>
    <x v="1"/>
    <d v="2024-12-07T00:00:00"/>
    <d v="2024-12-07T00:00:00"/>
    <n v="2"/>
    <n v="107.9828"/>
    <n v="289.72000000000003"/>
    <n v="0"/>
    <n v="0"/>
    <n v="2"/>
  </r>
  <r>
    <s v="Brand ABC TDM"/>
    <x v="2"/>
    <x v="1"/>
    <s v="Short Sleeve Tops"/>
    <s v="B2B1X-BB2J"/>
    <s v="Elevate Chain"/>
    <s v="L"/>
    <x v="1"/>
    <d v="2024-11-29T00:00:00"/>
    <d v="2024-11-29T00:00:00"/>
    <n v="0"/>
    <n v="0"/>
    <n v="0"/>
    <n v="5"/>
    <n v="269.95699999999999"/>
    <n v="5"/>
  </r>
  <r>
    <s v="Brand ABC TDM"/>
    <x v="2"/>
    <x v="1"/>
    <s v="Short Sleeve Tops"/>
    <s v="B2B1X-BB2J"/>
    <s v="Elevate Chain"/>
    <s v="M"/>
    <x v="1"/>
    <d v="2024-11-29T00:00:00"/>
    <d v="2024-11-29T00:00:00"/>
    <n v="0"/>
    <n v="0"/>
    <n v="0"/>
    <n v="5"/>
    <n v="269.95699999999999"/>
    <n v="5"/>
  </r>
  <r>
    <s v="Brand ABC TDM"/>
    <x v="2"/>
    <x v="1"/>
    <s v="Short Sleeve Tops"/>
    <s v="B2B1X-BB2J"/>
    <s v="Elevate Chain"/>
    <s v="S"/>
    <x v="1"/>
    <d v="2024-11-29T00:00:00"/>
    <d v="2024-12-13T00:00:00"/>
    <n v="0"/>
    <n v="0"/>
    <n v="0"/>
    <n v="5"/>
    <n v="269.95699999999999"/>
    <n v="5"/>
  </r>
  <r>
    <s v="Brand ABC TDM"/>
    <x v="2"/>
    <x v="1"/>
    <s v="Short Sleeve Tops"/>
    <s v="B2B1X-BB2J"/>
    <s v="Elevate Chain"/>
    <s v="XS"/>
    <x v="1"/>
    <d v="2024-11-29T00:00:00"/>
    <d v="2024-12-12T00:00:00"/>
    <n v="3"/>
    <n v="161.9742"/>
    <n v="434.56"/>
    <n v="8"/>
    <n v="431.93119999999999"/>
    <n v="11"/>
  </r>
  <r>
    <s v="Brand ABC TDM"/>
    <x v="2"/>
    <x v="1"/>
    <s v="Short Sleeve Tops"/>
    <s v="B2B1X-WCMZ"/>
    <s v="Elevate Chain"/>
    <s v="L"/>
    <x v="1"/>
    <d v="2024-10-28T00:00:00"/>
    <d v="2024-11-29T00:00:00"/>
    <n v="0"/>
    <n v="0"/>
    <n v="0"/>
    <n v="5"/>
    <n v="269.95699999999999"/>
    <n v="5"/>
  </r>
  <r>
    <s v="Brand ABC TDM"/>
    <x v="2"/>
    <x v="1"/>
    <s v="Short Sleeve Tops"/>
    <s v="B2B1X-WCMZ"/>
    <s v="Elevate Chain"/>
    <s v="M"/>
    <x v="1"/>
    <d v="2024-10-28T00:00:00"/>
    <d v="2024-11-29T00:00:00"/>
    <n v="1"/>
    <n v="53.991399999999999"/>
    <n v="160.94999999999999"/>
    <n v="4"/>
    <n v="215.96559999999999"/>
    <n v="5"/>
  </r>
  <r>
    <s v="Brand ABC TDM"/>
    <x v="2"/>
    <x v="1"/>
    <s v="Short Sleeve Tops"/>
    <s v="B2B1X-WCMZ"/>
    <s v="Elevate Chain"/>
    <s v="S"/>
    <x v="1"/>
    <d v="2024-10-28T00:00:00"/>
    <d v="2024-11-29T00:00:00"/>
    <n v="0"/>
    <n v="0"/>
    <n v="0"/>
    <n v="4"/>
    <n v="215.96559999999999"/>
    <n v="4"/>
  </r>
  <r>
    <s v="Brand ABC TDM"/>
    <x v="2"/>
    <x v="1"/>
    <s v="Short Sleeve Tops"/>
    <s v="B2B1X-WCMZ"/>
    <s v="Elevate Chain"/>
    <s v="XS"/>
    <x v="1"/>
    <d v="2024-11-29T00:00:00"/>
    <d v="2024-12-12T00:00:00"/>
    <n v="2"/>
    <n v="107.9828"/>
    <n v="289.72000000000003"/>
    <n v="3"/>
    <n v="161.9742"/>
    <n v="5"/>
  </r>
  <r>
    <s v="Brand ABC TDM"/>
    <x v="2"/>
    <x v="1"/>
    <s v="Short Sleeve Tops"/>
    <s v="B2B1X-WCMZ"/>
    <s v="Elevate Chain"/>
    <s v="XXL"/>
    <x v="1"/>
    <d v="2024-11-29T00:00:00"/>
    <d v="2024-11-29T00:00:00"/>
    <n v="0"/>
    <n v="0"/>
    <n v="0"/>
    <n v="1"/>
    <n v="53.991399999999999"/>
    <n v="1"/>
  </r>
  <r>
    <s v="Brand ABC TDM"/>
    <x v="2"/>
    <x v="1"/>
    <s v="Short Sleeve Tops"/>
    <s v="B2B2N-UB9P"/>
    <s v="Lifting Club"/>
    <s v="L"/>
    <x v="1"/>
    <d v="2024-11-29T00:00:00"/>
    <d v="2024-12-20T00:00:00"/>
    <n v="2"/>
    <n v="107.9828"/>
    <n v="289.72000000000003"/>
    <n v="5"/>
    <n v="269.95699999999999"/>
    <n v="7"/>
  </r>
  <r>
    <s v="Brand ABC TDM"/>
    <x v="2"/>
    <x v="1"/>
    <s v="Short Sleeve Tops"/>
    <s v="B2B2N-UB9P"/>
    <s v="Lifting Club"/>
    <s v="M"/>
    <x v="1"/>
    <d v="2024-11-29T00:00:00"/>
    <d v="2024-12-12T00:00:00"/>
    <n v="5"/>
    <n v="269.95699999999999"/>
    <n v="724.28"/>
    <n v="8"/>
    <n v="431.93119999999999"/>
    <n v="13"/>
  </r>
  <r>
    <s v="Brand ABC TDM"/>
    <x v="2"/>
    <x v="1"/>
    <s v="Short Sleeve Tops"/>
    <s v="B2B2N-UB9P"/>
    <s v="Lifting Club"/>
    <s v="S"/>
    <x v="1"/>
    <d v="2024-11-29T00:00:00"/>
    <d v="2024-12-12T00:00:00"/>
    <n v="3"/>
    <n v="161.9742"/>
    <n v="434.57"/>
    <n v="9"/>
    <n v="485.92259999999999"/>
    <n v="12"/>
  </r>
  <r>
    <s v="Brand ABC TDM"/>
    <x v="2"/>
    <x v="1"/>
    <s v="Short Sleeve Tops"/>
    <s v="B2B2N-UB9P"/>
    <s v="Lifting Club"/>
    <s v="XS"/>
    <x v="1"/>
    <d v="2024-11-29T00:00:00"/>
    <d v="2024-12-20T00:00:00"/>
    <n v="2"/>
    <n v="107.9828"/>
    <n v="289.72000000000003"/>
    <n v="4"/>
    <n v="215.96559999999999"/>
    <n v="6"/>
  </r>
  <r>
    <s v="Brand ABC TDM"/>
    <x v="2"/>
    <x v="1"/>
    <s v="Short Sleeve Tops"/>
    <s v="B2B2N-WB57"/>
    <s v="Lifting Club"/>
    <s v="L"/>
    <x v="1"/>
    <d v="2024-11-29T00:00:00"/>
    <d v="2024-12-19T00:00:00"/>
    <n v="5"/>
    <n v="269.95699999999999"/>
    <n v="740.39"/>
    <n v="8"/>
    <n v="431.93119999999999"/>
    <n v="13"/>
  </r>
  <r>
    <s v="Brand ABC TDM"/>
    <x v="2"/>
    <x v="1"/>
    <s v="Short Sleeve Tops"/>
    <s v="B2B2N-WB57"/>
    <s v="Lifting Club"/>
    <s v="M"/>
    <x v="1"/>
    <d v="2024-11-29T00:00:00"/>
    <d v="2024-12-19T00:00:00"/>
    <n v="7"/>
    <n v="377.93979999999999"/>
    <n v="1030.1099999999999"/>
    <n v="6"/>
    <n v="323.94839999999999"/>
    <n v="13"/>
  </r>
  <r>
    <s v="Brand ABC TDM"/>
    <x v="2"/>
    <x v="1"/>
    <s v="Short Sleeve Tops"/>
    <s v="B2B2N-WB57"/>
    <s v="Lifting Club"/>
    <s v="S"/>
    <x v="1"/>
    <d v="2024-11-29T00:00:00"/>
    <d v="2024-12-19T00:00:00"/>
    <n v="5"/>
    <n v="269.95699999999999"/>
    <n v="740.4"/>
    <n v="6"/>
    <n v="323.94839999999999"/>
    <n v="11"/>
  </r>
  <r>
    <s v="Brand ABC TDM"/>
    <x v="2"/>
    <x v="1"/>
    <s v="Short Sleeve Tops"/>
    <s v="B2B2N-WB57"/>
    <s v="Lifting Club"/>
    <s v="XS"/>
    <x v="1"/>
    <d v="2024-11-29T00:00:00"/>
    <d v="2024-12-19T00:00:00"/>
    <n v="4"/>
    <n v="215.96559999999999"/>
    <n v="579.42999999999995"/>
    <n v="4"/>
    <n v="215.96559999999999"/>
    <n v="8"/>
  </r>
  <r>
    <s v="Brand ABC TDM"/>
    <x v="2"/>
    <x v="1"/>
    <s v="Short Sleeve Tops"/>
    <s v="B2B2N-WB57"/>
    <s v="Lifting Club"/>
    <s v="XXL"/>
    <x v="1"/>
    <d v="2024-11-29T00:00:00"/>
    <d v="2024-11-29T00:00:00"/>
    <n v="0"/>
    <n v="0"/>
    <n v="0"/>
    <n v="1"/>
    <n v="53.991399999999999"/>
    <n v="1"/>
  </r>
  <r>
    <s v="Brand ABC TDM"/>
    <x v="2"/>
    <x v="1"/>
    <s v="Short Sleeve Tops"/>
    <s v="B2B6K-GBCY"/>
    <s v="GFX GS X AT"/>
    <s v="L"/>
    <x v="0"/>
    <d v="2024-10-26T00:00:00"/>
    <d v="2024-12-20T00:00:00"/>
    <n v="4"/>
    <n v="316.29230000000001"/>
    <n v="877.43"/>
    <n v="4"/>
    <n v="319.95920000000001"/>
    <n v="8"/>
  </r>
  <r>
    <s v="Brand ABC TDM"/>
    <x v="2"/>
    <x v="1"/>
    <s v="Short Sleeve Tops"/>
    <s v="B2B6K-GBCY"/>
    <s v="GFX GS X AT"/>
    <s v="M"/>
    <x v="0"/>
    <d v="2024-10-26T00:00:00"/>
    <d v="2024-11-30T00:00:00"/>
    <n v="8"/>
    <n v="639.98929999999996"/>
    <n v="1707.42"/>
    <n v="6"/>
    <n v="488.66160000000002"/>
    <n v="14"/>
  </r>
  <r>
    <s v="Brand ABC TDM"/>
    <x v="2"/>
    <x v="1"/>
    <s v="Short Sleeve Tops"/>
    <s v="B2B6K-GBCY"/>
    <s v="GFX GS X AT"/>
    <s v="S"/>
    <x v="0"/>
    <d v="2024-10-26T00:00:00"/>
    <d v="2024-12-19T00:00:00"/>
    <n v="11"/>
    <n v="886.99680000000001"/>
    <n v="2347.73"/>
    <n v="4"/>
    <n v="327.77800000000002"/>
    <n v="15"/>
  </r>
  <r>
    <s v="Brand ABC TDM"/>
    <x v="2"/>
    <x v="1"/>
    <s v="Short Sleeve Tops"/>
    <s v="B2B6K-GBCY"/>
    <s v="GFX GS X AT"/>
    <s v="XS"/>
    <x v="0"/>
    <d v="2024-10-26T00:00:00"/>
    <d v="2024-11-30T00:00:00"/>
    <n v="9"/>
    <n v="726.75229999999999"/>
    <n v="1920.87"/>
    <n v="1"/>
    <n v="81.746300000000005"/>
    <n v="10"/>
  </r>
  <r>
    <s v="Brand ABC TDM"/>
    <x v="2"/>
    <x v="1"/>
    <s v="Short Sleeve Tops"/>
    <s v="B2B6K-WB57"/>
    <s v="GFX GS X AT"/>
    <s v="L"/>
    <x v="0"/>
    <d v="2024-10-26T00:00:00"/>
    <d v="2024-10-26T00:00:00"/>
    <n v="0"/>
    <n v="0"/>
    <n v="0"/>
    <n v="5"/>
    <n v="390.05099999999999"/>
    <n v="5"/>
  </r>
  <r>
    <s v="Brand ABC TDM"/>
    <x v="2"/>
    <x v="1"/>
    <s v="Short Sleeve Tops"/>
    <s v="B2B6K-WB57"/>
    <s v="GFX GS X AT"/>
    <s v="M"/>
    <x v="0"/>
    <d v="2024-10-26T00:00:00"/>
    <d v="2024-12-21T00:00:00"/>
    <n v="1"/>
    <n v="78.010199999999998"/>
    <n v="213.43"/>
    <n v="5"/>
    <n v="394.10750000000002"/>
    <n v="6"/>
  </r>
  <r>
    <s v="Brand ABC TDM"/>
    <x v="2"/>
    <x v="1"/>
    <s v="Short Sleeve Tops"/>
    <s v="B2B6K-WB57"/>
    <s v="GFX GS X AT"/>
    <s v="S"/>
    <x v="0"/>
    <d v="2024-10-26T00:00:00"/>
    <d v="2024-12-19T00:00:00"/>
    <n v="4"/>
    <n v="317.17520000000002"/>
    <n v="877.44"/>
    <n v="4"/>
    <n v="323.13319999999999"/>
    <n v="8"/>
  </r>
  <r>
    <s v="Brand ABC TDM"/>
    <x v="2"/>
    <x v="1"/>
    <s v="Short Sleeve Tops"/>
    <s v="B2B6K-WB57"/>
    <s v="GFX GS X AT"/>
    <s v="XL"/>
    <x v="0"/>
    <d v="2024-10-26T00:00:00"/>
    <d v="2024-10-26T00:00:00"/>
    <n v="0"/>
    <n v="0"/>
    <n v="0"/>
    <n v="3"/>
    <n v="234.03059999999999"/>
    <n v="3"/>
  </r>
  <r>
    <s v="Brand ABC TDM"/>
    <x v="2"/>
    <x v="1"/>
    <s v="Short Sleeve Tops"/>
    <s v="B2B6K-WB57"/>
    <s v="GFX GS X AT"/>
    <s v="XS"/>
    <x v="0"/>
    <d v="2024-10-26T00:00:00"/>
    <d v="2024-12-20T00:00:00"/>
    <n v="9"/>
    <n v="726.83230000000003"/>
    <n v="1920.85"/>
    <n v="3"/>
    <n v="245.79990000000001"/>
    <n v="12"/>
  </r>
  <r>
    <s v="Brand ABC TDM"/>
    <x v="2"/>
    <x v="1"/>
    <s v="Short Sleeve Tops"/>
    <s v="B2B6L-KBS4"/>
    <s v="GFX GS X AT"/>
    <s v="L"/>
    <x v="0"/>
    <d v="2024-10-26T00:00:00"/>
    <d v="2024-12-16T00:00:00"/>
    <n v="9"/>
    <n v="708.98410000000001"/>
    <n v="1968.29"/>
    <n v="7"/>
    <n v="563.51959999999997"/>
    <n v="16"/>
  </r>
  <r>
    <s v="Brand ABC TDM"/>
    <x v="2"/>
    <x v="1"/>
    <s v="Short Sleeve Tops"/>
    <s v="B2B6L-KBS4"/>
    <s v="GFX GS X AT"/>
    <s v="M"/>
    <x v="0"/>
    <d v="2024-10-26T00:00:00"/>
    <d v="2024-12-14T00:00:00"/>
    <n v="14"/>
    <n v="1109.1387"/>
    <n v="2964.3"/>
    <n v="7"/>
    <n v="569.64110000000005"/>
    <n v="21"/>
  </r>
  <r>
    <s v="Brand ABC TDM"/>
    <x v="2"/>
    <x v="1"/>
    <s v="Short Sleeve Tops"/>
    <s v="B2B6L-KBS4"/>
    <s v="GFX GS X AT"/>
    <s v="S"/>
    <x v="0"/>
    <d v="2024-10-26T00:00:00"/>
    <d v="2024-12-17T00:00:00"/>
    <n v="32"/>
    <n v="2565.5084999999999"/>
    <n v="6877.18"/>
    <n v="3"/>
    <n v="246.1446"/>
    <n v="35"/>
  </r>
  <r>
    <s v="Brand ABC TDM"/>
    <x v="2"/>
    <x v="1"/>
    <s v="Short Sleeve Tops"/>
    <s v="B2B6L-KBS4"/>
    <s v="GFX GS X AT"/>
    <s v="XS"/>
    <x v="0"/>
    <d v="2024-10-26T00:00:00"/>
    <d v="2024-11-15T00:00:00"/>
    <n v="8"/>
    <n v="624.08240000000001"/>
    <n v="1600.72"/>
    <n v="0"/>
    <n v="0"/>
    <n v="8"/>
  </r>
  <r>
    <s v="Brand ABC TDM"/>
    <x v="2"/>
    <x v="1"/>
    <s v="Short Sleeve Tops"/>
    <s v="B2B6M-BB2J"/>
    <s v="GFX GS X AT"/>
    <s v="L"/>
    <x v="0"/>
    <d v="2024-12-12T00:00:00"/>
    <d v="2024-12-12T00:00:00"/>
    <n v="0"/>
    <n v="0"/>
    <n v="0"/>
    <n v="5"/>
    <n v="410.33350000000002"/>
    <n v="5"/>
  </r>
  <r>
    <s v="Brand ABC TDM"/>
    <x v="2"/>
    <x v="1"/>
    <s v="Short Sleeve Tops"/>
    <s v="B2B6M-BB2J"/>
    <s v="GFX GS X AT"/>
    <s v="M"/>
    <x v="0"/>
    <d v="2024-12-12T00:00:00"/>
    <d v="2024-12-19T00:00:00"/>
    <n v="0"/>
    <n v="0"/>
    <n v="0"/>
    <n v="5"/>
    <n v="410.334"/>
    <n v="5"/>
  </r>
  <r>
    <s v="Brand ABC TDM"/>
    <x v="2"/>
    <x v="1"/>
    <s v="Short Sleeve Tops"/>
    <s v="B2B6M-BB2J"/>
    <s v="GFX GS X AT"/>
    <s v="S"/>
    <x v="0"/>
    <d v="2024-12-12T00:00:00"/>
    <d v="2024-12-19T00:00:00"/>
    <n v="0"/>
    <n v="0"/>
    <n v="0"/>
    <n v="4"/>
    <n v="328.2672"/>
    <n v="4"/>
  </r>
  <r>
    <s v="Brand ABC TDM"/>
    <x v="2"/>
    <x v="1"/>
    <s v="Short Sleeve Tops"/>
    <s v="B2B6M-BB2J"/>
    <s v="GFX GS X AT"/>
    <s v="XS"/>
    <x v="0"/>
    <d v="2024-12-12T00:00:00"/>
    <d v="2024-12-19T00:00:00"/>
    <n v="0"/>
    <n v="0"/>
    <n v="0"/>
    <n v="3"/>
    <n v="246.2004"/>
    <n v="3"/>
  </r>
  <r>
    <s v="Brand ABC TDM"/>
    <x v="2"/>
    <x v="1"/>
    <s v="Short Sleeve Tops"/>
    <s v="B2B6N-GB7N"/>
    <s v="GFX GS X AT"/>
    <s v="L"/>
    <x v="0"/>
    <d v="2024-10-26T00:00:00"/>
    <d v="2024-11-14T00:00:00"/>
    <n v="5"/>
    <n v="390.05099999999999"/>
    <n v="1067.1500000000001"/>
    <n v="0"/>
    <n v="0"/>
    <n v="5"/>
  </r>
  <r>
    <s v="Brand ABC TDM"/>
    <x v="2"/>
    <x v="1"/>
    <s v="Short Sleeve Tops"/>
    <s v="B2B6N-GB7N"/>
    <s v="GFX GS X AT"/>
    <s v="M"/>
    <x v="0"/>
    <d v="2024-10-26T00:00:00"/>
    <d v="2024-12-06T00:00:00"/>
    <n v="9"/>
    <n v="703.10680000000002"/>
    <n v="1920.84"/>
    <n v="4"/>
    <n v="319.14"/>
    <n v="13"/>
  </r>
  <r>
    <s v="Brand ABC TDM"/>
    <x v="2"/>
    <x v="1"/>
    <s v="Short Sleeve Tops"/>
    <s v="B2B6N-GB7N"/>
    <s v="GFX GS X AT"/>
    <s v="S"/>
    <x v="0"/>
    <d v="2024-10-26T00:00:00"/>
    <d v="2024-11-26T00:00:00"/>
    <n v="16"/>
    <n v="1264.3892000000001"/>
    <n v="3367.45"/>
    <n v="0"/>
    <n v="0"/>
    <n v="16"/>
  </r>
  <r>
    <s v="Brand ABC TDM"/>
    <x v="2"/>
    <x v="1"/>
    <s v="Short Sleeve Tops"/>
    <s v="B2B6N-GB7N"/>
    <s v="GFX GS X AT"/>
    <s v="XS"/>
    <x v="0"/>
    <d v="2024-10-26T00:00:00"/>
    <d v="2024-11-12T00:00:00"/>
    <n v="3"/>
    <n v="234.03059999999999"/>
    <n v="640.29"/>
    <n v="0"/>
    <n v="0"/>
    <n v="3"/>
  </r>
  <r>
    <s v="Brand ABC TDM"/>
    <x v="2"/>
    <x v="1"/>
    <s v="Short Sleeve Tops"/>
    <s v="B2B6O-BB2J"/>
    <s v="GFX GS X AT"/>
    <s v="S"/>
    <x v="0"/>
    <d v="2024-11-07T00:00:00"/>
    <d v="2024-11-07T00:00:00"/>
    <n v="0"/>
    <n v="0"/>
    <n v="0"/>
    <n v="1"/>
    <n v="86.221900000000005"/>
    <n v="1"/>
  </r>
  <r>
    <s v="Brand ABC TDM"/>
    <x v="2"/>
    <x v="1"/>
    <s v="Short Sleeve Tops"/>
    <s v="B2B6Q-BB2J"/>
    <s v="GFX GS X AT"/>
    <s v="S"/>
    <x v="0"/>
    <d v="2024-05-20T00:00:00"/>
    <d v="2024-11-07T00:00:00"/>
    <n v="0"/>
    <n v="0"/>
    <n v="0"/>
    <n v="1"/>
    <n v="65.692899999999995"/>
    <n v="1"/>
  </r>
  <r>
    <s v="Brand ABC TDM"/>
    <x v="2"/>
    <x v="1"/>
    <s v="Short Sleeve Tops"/>
    <s v="B2B6T-BB2J"/>
    <s v="GFX GS X AT"/>
    <s v="L"/>
    <x v="0"/>
    <d v="2024-10-25T00:00:00"/>
    <d v="2024-11-29T00:00:00"/>
    <n v="9"/>
    <n v="599.81709999999998"/>
    <n v="1573.04"/>
    <n v="0"/>
    <n v="0"/>
    <n v="9"/>
  </r>
  <r>
    <s v="Brand ABC TDM"/>
    <x v="2"/>
    <x v="1"/>
    <s v="Short Sleeve Tops"/>
    <s v="B2B6T-BB2J"/>
    <s v="GFX GS X AT"/>
    <s v="M"/>
    <x v="0"/>
    <d v="2024-10-26T00:00:00"/>
    <d v="2024-12-19T00:00:00"/>
    <n v="11"/>
    <n v="732.92020000000002"/>
    <n v="1895.23"/>
    <n v="8"/>
    <n v="547.72239999999999"/>
    <n v="19"/>
  </r>
  <r>
    <s v="Brand ABC TDM"/>
    <x v="2"/>
    <x v="1"/>
    <s v="Short Sleeve Tops"/>
    <s v="B2B6T-BB2J"/>
    <s v="GFX GS X AT"/>
    <s v="S"/>
    <x v="0"/>
    <d v="2024-10-25T00:00:00"/>
    <d v="2024-12-19T00:00:00"/>
    <n v="15"/>
    <n v="1001.5285"/>
    <n v="2577.52"/>
    <n v="6"/>
    <n v="413.00580000000002"/>
    <n v="21"/>
  </r>
  <r>
    <s v="Brand ABC TDM"/>
    <x v="2"/>
    <x v="1"/>
    <s v="Short Sleeve Tops"/>
    <s v="B2B6T-BB2J"/>
    <s v="GFX GS X AT"/>
    <s v="XL"/>
    <x v="0"/>
    <d v="2024-10-26T00:00:00"/>
    <d v="2024-10-26T00:00:00"/>
    <n v="3"/>
    <n v="197.0787"/>
    <n v="511.72"/>
    <n v="0"/>
    <n v="0"/>
    <n v="3"/>
  </r>
  <r>
    <s v="Brand ABC TDM"/>
    <x v="2"/>
    <x v="1"/>
    <s v="Short Sleeve Tops"/>
    <s v="B2B6T-BB2J"/>
    <s v="GFX GS X AT"/>
    <s v="XS"/>
    <x v="0"/>
    <d v="2024-10-25T00:00:00"/>
    <d v="2024-11-29T00:00:00"/>
    <n v="4"/>
    <n v="261.63290000000001"/>
    <n v="701.23"/>
    <n v="4"/>
    <n v="267.32639999999998"/>
    <n v="8"/>
  </r>
  <r>
    <s v="Brand ABC TDM"/>
    <x v="2"/>
    <x v="1"/>
    <s v="Short Sleeve Tops"/>
    <s v="B2B6T-WB57"/>
    <s v="GFX GS X AT"/>
    <s v="L"/>
    <x v="0"/>
    <d v="2024-10-25T00:00:00"/>
    <d v="2024-12-10T00:00:00"/>
    <n v="6"/>
    <n v="399.75420000000003"/>
    <n v="1023.43"/>
    <n v="5"/>
    <n v="339.94749999999999"/>
    <n v="11"/>
  </r>
  <r>
    <s v="Brand ABC TDM"/>
    <x v="2"/>
    <x v="1"/>
    <s v="Short Sleeve Tops"/>
    <s v="B2B6T-WB57"/>
    <s v="GFX GS X AT"/>
    <s v="M"/>
    <x v="0"/>
    <d v="2024-10-25T00:00:00"/>
    <d v="2024-12-18T00:00:00"/>
    <n v="3"/>
    <n v="197.0787"/>
    <n v="511.71"/>
    <n v="5"/>
    <n v="331.88049999999998"/>
    <n v="8"/>
  </r>
  <r>
    <s v="Brand ABC TDM"/>
    <x v="2"/>
    <x v="1"/>
    <s v="Short Sleeve Tops"/>
    <s v="B2B6T-WB57"/>
    <s v="GFX GS X AT"/>
    <s v="S"/>
    <x v="0"/>
    <d v="2024-10-25T00:00:00"/>
    <d v="2024-12-17T00:00:00"/>
    <n v="10"/>
    <n v="666.19299999999998"/>
    <n v="1686.76"/>
    <n v="3"/>
    <n v="204.89490000000001"/>
    <n v="13"/>
  </r>
  <r>
    <s v="Brand ABC TDM"/>
    <x v="2"/>
    <x v="1"/>
    <s v="Short Sleeve Tops"/>
    <s v="B2B6T-WB57"/>
    <s v="GFX GS X AT"/>
    <s v="XL"/>
    <x v="0"/>
    <d v="2024-10-25T00:00:00"/>
    <d v="2024-10-25T00:00:00"/>
    <n v="3"/>
    <n v="197.0787"/>
    <n v="511.71"/>
    <n v="0"/>
    <n v="0"/>
    <n v="3"/>
  </r>
  <r>
    <s v="Brand ABC TDM"/>
    <x v="2"/>
    <x v="1"/>
    <s v="Short Sleeve Tops"/>
    <s v="B2B6T-WB57"/>
    <s v="GFX GS X AT"/>
    <s v="XS"/>
    <x v="0"/>
    <d v="2024-10-25T00:00:00"/>
    <d v="2024-12-05T00:00:00"/>
    <n v="6"/>
    <n v="397.57350000000002"/>
    <n v="1061.32"/>
    <n v="3"/>
    <n v="205.04939999999999"/>
    <n v="9"/>
  </r>
  <r>
    <s v="Brand ABC TDM"/>
    <x v="2"/>
    <x v="1"/>
    <s v="Short Sleeve Tops"/>
    <s v="B3A6L-BBGR"/>
    <s v="GFX Fraction"/>
    <s v="L"/>
    <x v="0"/>
    <d v="2024-12-07T00:00:00"/>
    <d v="2024-12-21T00:00:00"/>
    <n v="0"/>
    <n v="0"/>
    <n v="0"/>
    <n v="5"/>
    <n v="225.10550000000001"/>
    <n v="5"/>
  </r>
  <r>
    <s v="Brand ABC TDM"/>
    <x v="2"/>
    <x v="1"/>
    <s v="Short Sleeve Tops"/>
    <s v="B3A6L-BBGR"/>
    <s v="GFX Fraction"/>
    <s v="M"/>
    <x v="0"/>
    <d v="2024-12-07T00:00:00"/>
    <d v="2024-12-21T00:00:00"/>
    <n v="5"/>
    <n v="222.63399999999999"/>
    <n v="622.17999999999995"/>
    <n v="4"/>
    <n v="178.10720000000001"/>
    <n v="9"/>
  </r>
  <r>
    <s v="Brand ABC TDM"/>
    <x v="2"/>
    <x v="1"/>
    <s v="Short Sleeve Tops"/>
    <s v="B3A6L-BBGR"/>
    <s v="GFX Fraction"/>
    <s v="S"/>
    <x v="0"/>
    <d v="2024-12-07T00:00:00"/>
    <d v="2024-12-18T00:00:00"/>
    <n v="6"/>
    <n v="267.50639999999999"/>
    <n v="714.85"/>
    <n v="3"/>
    <n v="133.75319999999999"/>
    <n v="9"/>
  </r>
  <r>
    <s v="Brand ABC TDM"/>
    <x v="2"/>
    <x v="1"/>
    <s v="Short Sleeve Tops"/>
    <s v="B3A6L-BBGR"/>
    <s v="GFX Fraction"/>
    <s v="XL"/>
    <x v="0"/>
    <d v="2024-12-07T00:00:00"/>
    <d v="2024-12-20T00:00:00"/>
    <n v="0"/>
    <n v="0"/>
    <n v="0"/>
    <n v="3"/>
    <n v="112.57380000000001"/>
    <n v="3"/>
  </r>
  <r>
    <s v="Brand ABC TDM"/>
    <x v="2"/>
    <x v="1"/>
    <s v="Short Sleeve Tops"/>
    <s v="B3A6L-BBGR"/>
    <s v="GFX Fraction"/>
    <s v="XS"/>
    <x v="0"/>
    <d v="2024-12-07T00:00:00"/>
    <d v="2024-12-21T00:00:00"/>
    <n v="5"/>
    <n v="201.43199999999999"/>
    <n v="622.17999999999995"/>
    <n v="2"/>
    <n v="80.572800000000001"/>
    <n v="7"/>
  </r>
  <r>
    <s v="Brand ABC TDM"/>
    <x v="2"/>
    <x v="1"/>
    <s v="Short Sleeve Tops"/>
    <s v="B6A3Z-BB2J"/>
    <s v="GFX Core"/>
    <s v="L"/>
    <x v="0"/>
    <d v="2024-10-25T00:00:00"/>
    <d v="2024-11-09T00:00:00"/>
    <n v="4"/>
    <n v="150.654"/>
    <n v="408"/>
    <n v="1"/>
    <n v="37.663499999999999"/>
    <n v="5"/>
  </r>
  <r>
    <s v="Brand ABC TDM"/>
    <x v="2"/>
    <x v="1"/>
    <s v="Short Sleeve Tops"/>
    <s v="B6A3Z-BB2J"/>
    <s v="GFX Core"/>
    <s v="M"/>
    <x v="0"/>
    <d v="2024-10-26T00:00:00"/>
    <d v="2024-11-14T00:00:00"/>
    <n v="5"/>
    <n v="188.3175"/>
    <n v="487.33"/>
    <n v="0"/>
    <n v="0"/>
    <n v="5"/>
  </r>
  <r>
    <s v="Brand ABC TDM"/>
    <x v="2"/>
    <x v="1"/>
    <s v="Short Sleeve Tops"/>
    <s v="B6A3Z-BB2J"/>
    <s v="GFX Core"/>
    <s v="S"/>
    <x v="0"/>
    <d v="2024-10-26T00:00:00"/>
    <d v="2024-11-09T00:00:00"/>
    <n v="6"/>
    <n v="225.98099999999999"/>
    <n v="612"/>
    <n v="0"/>
    <n v="0"/>
    <n v="6"/>
  </r>
  <r>
    <s v="Brand ABC TDM"/>
    <x v="2"/>
    <x v="1"/>
    <s v="Short Sleeve Tops"/>
    <s v="B6A3Z-BB2J"/>
    <s v="GFX Core"/>
    <s v="XL"/>
    <x v="0"/>
    <d v="2024-10-26T00:00:00"/>
    <d v="2024-10-26T00:00:00"/>
    <n v="1"/>
    <n v="37.663499999999999"/>
    <n v="79.33"/>
    <n v="0"/>
    <n v="0"/>
    <n v="1"/>
  </r>
  <r>
    <s v="Brand ABC TDM"/>
    <x v="2"/>
    <x v="1"/>
    <s v="Short Sleeve Tops"/>
    <s v="B6A3Z-BB2J"/>
    <s v="GFX Core"/>
    <s v="XS"/>
    <x v="0"/>
    <d v="2024-10-26T00:00:00"/>
    <d v="2024-11-09T00:00:00"/>
    <n v="4"/>
    <n v="150.654"/>
    <n v="408"/>
    <n v="0"/>
    <n v="0"/>
    <n v="4"/>
  </r>
  <r>
    <s v="Brand ABC TDM"/>
    <x v="2"/>
    <x v="1"/>
    <s v="Short Sleeve Tops"/>
    <s v="B6A3Z-ECBB"/>
    <s v="GFX Core"/>
    <s v="L"/>
    <x v="0"/>
    <d v="2024-10-26T00:00:00"/>
    <d v="2024-11-12T00:00:00"/>
    <n v="1"/>
    <n v="37.663499999999999"/>
    <n v="102"/>
    <n v="0"/>
    <n v="0"/>
    <n v="1"/>
  </r>
  <r>
    <s v="Brand ABC TDM"/>
    <x v="2"/>
    <x v="1"/>
    <s v="Short Sleeve Tops"/>
    <s v="B6A3Z-ECBB"/>
    <s v="GFX Core"/>
    <s v="M"/>
    <x v="0"/>
    <d v="2024-10-26T00:00:00"/>
    <d v="2024-11-12T00:00:00"/>
    <n v="4"/>
    <n v="150.654"/>
    <n v="385.34"/>
    <n v="1"/>
    <n v="37.663499999999999"/>
    <n v="5"/>
  </r>
  <r>
    <s v="Brand ABC TDM"/>
    <x v="2"/>
    <x v="1"/>
    <s v="Short Sleeve Tops"/>
    <s v="B6A3Z-ECBB"/>
    <s v="GFX Core"/>
    <s v="S"/>
    <x v="0"/>
    <d v="2024-10-25T00:00:00"/>
    <d v="2024-11-09T00:00:00"/>
    <n v="3"/>
    <n v="112.9905"/>
    <n v="306"/>
    <n v="0"/>
    <n v="0"/>
    <n v="3"/>
  </r>
  <r>
    <s v="Brand ABC TDM"/>
    <x v="2"/>
    <x v="1"/>
    <s v="Short Sleeve Tops"/>
    <s v="B6A3Z-ECBB"/>
    <s v="GFX Core"/>
    <s v="XS"/>
    <x v="0"/>
    <d v="2024-10-26T00:00:00"/>
    <d v="2024-11-12T00:00:00"/>
    <n v="2"/>
    <n v="75.326999999999998"/>
    <n v="215.34"/>
    <n v="3"/>
    <n v="112.9905"/>
    <n v="5"/>
  </r>
  <r>
    <s v="Brand ABC TDM"/>
    <x v="2"/>
    <x v="1"/>
    <s v="Short Sleeve Tops"/>
    <s v="B6A3Z-KB7B"/>
    <s v="GFX Core"/>
    <s v="M"/>
    <x v="1"/>
    <d v="2024-10-26T00:00:00"/>
    <d v="2024-11-12T00:00:00"/>
    <n v="3"/>
    <n v="112.9905"/>
    <n v="306"/>
    <n v="1"/>
    <n v="37.663499999999999"/>
    <n v="4"/>
  </r>
  <r>
    <s v="Brand ABC TDM"/>
    <x v="2"/>
    <x v="1"/>
    <s v="Short Sleeve Tops"/>
    <s v="B6A3Z-KB7B"/>
    <s v="GFX Core"/>
    <s v="S"/>
    <x v="1"/>
    <d v="2024-10-25T00:00:00"/>
    <d v="2024-11-14T00:00:00"/>
    <n v="5"/>
    <n v="188.3175"/>
    <n v="521.34"/>
    <n v="1"/>
    <n v="37.663499999999999"/>
    <n v="6"/>
  </r>
  <r>
    <s v="Brand ABC TDM"/>
    <x v="2"/>
    <x v="1"/>
    <s v="Short Sleeve Tops"/>
    <s v="B6A3Z-WB86"/>
    <s v="GFX Core"/>
    <s v="L"/>
    <x v="0"/>
    <d v="2024-10-26T00:00:00"/>
    <d v="2024-11-09T00:00:00"/>
    <n v="1"/>
    <n v="37.663499999999999"/>
    <n v="102"/>
    <n v="0"/>
    <n v="0"/>
    <n v="1"/>
  </r>
  <r>
    <s v="Brand ABC TDM"/>
    <x v="2"/>
    <x v="1"/>
    <s v="Short Sleeve Tops"/>
    <s v="B6A3Z-WB86"/>
    <s v="GFX Core"/>
    <s v="M"/>
    <x v="0"/>
    <d v="2024-10-26T00:00:00"/>
    <d v="2024-11-09T00:00:00"/>
    <n v="1"/>
    <n v="37.663499999999999"/>
    <n v="79.33"/>
    <n v="0"/>
    <n v="0"/>
    <n v="1"/>
  </r>
  <r>
    <s v="Brand ABC TDM"/>
    <x v="2"/>
    <x v="1"/>
    <s v="Short Sleeve Tops"/>
    <s v="B6A3Z-WB86"/>
    <s v="GFX Core"/>
    <s v="S"/>
    <x v="0"/>
    <d v="2024-10-25T00:00:00"/>
    <d v="2024-11-15T00:00:00"/>
    <n v="5"/>
    <n v="187.10550000000001"/>
    <n v="510"/>
    <n v="0"/>
    <n v="0"/>
    <n v="5"/>
  </r>
  <r>
    <s v="Brand ABC TDM"/>
    <x v="2"/>
    <x v="1"/>
    <s v="Short Sleeve Tops"/>
    <s v="B6A3Z-WB86"/>
    <s v="GFX Core"/>
    <s v="XL"/>
    <x v="0"/>
    <d v="2024-10-25T00:00:00"/>
    <d v="2024-10-25T00:00:00"/>
    <n v="0"/>
    <n v="0"/>
    <n v="0"/>
    <n v="1"/>
    <n v="37.663499999999999"/>
    <n v="1"/>
  </r>
  <r>
    <s v="Brand ABC TDM"/>
    <x v="2"/>
    <x v="1"/>
    <s v="Short Sleeve Tops"/>
    <s v="B6A3Z-WB86"/>
    <s v="GFX Core"/>
    <s v="XS"/>
    <x v="0"/>
    <d v="2024-10-26T00:00:00"/>
    <d v="2024-11-15T00:00:00"/>
    <n v="4"/>
    <n v="150.654"/>
    <n v="419.33"/>
    <n v="0"/>
    <n v="0"/>
    <n v="4"/>
  </r>
  <r>
    <s v="Brand ABC TDM"/>
    <x v="2"/>
    <x v="1"/>
    <s v="Short Sleeve Tops"/>
    <s v="B7A4V-BB2J"/>
    <s v="Legacy"/>
    <s v="L"/>
    <x v="0"/>
    <d v="2024-10-28T00:00:00"/>
    <d v="2024-10-28T00:00:00"/>
    <n v="4"/>
    <n v="191.87360000000001"/>
    <n v="510.85"/>
    <n v="1"/>
    <n v="47.968400000000003"/>
    <n v="5"/>
  </r>
  <r>
    <s v="Brand ABC TDM"/>
    <x v="2"/>
    <x v="1"/>
    <s v="Short Sleeve Tops"/>
    <s v="B7A4V-BB2J"/>
    <s v="Legacy"/>
    <s v="M"/>
    <x v="0"/>
    <d v="2024-10-28T00:00:00"/>
    <d v="2024-12-21T00:00:00"/>
    <n v="6"/>
    <n v="293.17849999999999"/>
    <n v="780.47"/>
    <n v="5"/>
    <n v="249.44049999999999"/>
    <n v="11"/>
  </r>
  <r>
    <s v="Brand ABC TDM"/>
    <x v="2"/>
    <x v="1"/>
    <s v="Short Sleeve Tops"/>
    <s v="B7A4V-BB2J"/>
    <s v="Legacy"/>
    <s v="S"/>
    <x v="0"/>
    <d v="2024-10-28T00:00:00"/>
    <d v="2024-12-17T00:00:00"/>
    <n v="10"/>
    <n v="494.65039999999999"/>
    <n v="1291.31"/>
    <n v="3"/>
    <n v="151.38839999999999"/>
    <n v="13"/>
  </r>
  <r>
    <s v="Brand ABC TDM"/>
    <x v="2"/>
    <x v="1"/>
    <s v="Short Sleeve Tops"/>
    <s v="B7A4V-BB2J"/>
    <s v="Legacy"/>
    <s v="XS"/>
    <x v="0"/>
    <d v="2024-10-28T00:00:00"/>
    <d v="2024-12-04T00:00:00"/>
    <n v="6"/>
    <n v="295.78640000000001"/>
    <n v="766.28"/>
    <n v="1"/>
    <n v="49.970100000000002"/>
    <n v="7"/>
  </r>
  <r>
    <s v="Brand ABC TDM"/>
    <x v="2"/>
    <x v="1"/>
    <s v="Short Sleeve Tops"/>
    <s v="B8A4O-BB2J"/>
    <s v="Everyday Seamless"/>
    <s v="L"/>
    <x v="0"/>
    <d v="2024-10-25T00:00:00"/>
    <d v="2024-12-09T00:00:00"/>
    <n v="11"/>
    <n v="529.05420000000004"/>
    <n v="1404.81"/>
    <n v="8"/>
    <n v="391.54719999999998"/>
    <n v="19"/>
  </r>
  <r>
    <s v="Brand ABC TDM"/>
    <x v="2"/>
    <x v="1"/>
    <s v="Short Sleeve Tops"/>
    <s v="B8A4O-BB2J"/>
    <s v="Everyday Seamless"/>
    <s v="M"/>
    <x v="0"/>
    <d v="2024-10-25T00:00:00"/>
    <d v="2024-12-03T00:00:00"/>
    <n v="38"/>
    <n v="1848.7909999999999"/>
    <n v="4782.13"/>
    <n v="0"/>
    <n v="0"/>
    <n v="38"/>
  </r>
  <r>
    <s v="Brand ABC TDM"/>
    <x v="2"/>
    <x v="1"/>
    <s v="Short Sleeve Tops"/>
    <s v="B8A4O-BB2J"/>
    <s v="Everyday Seamless"/>
    <s v="S"/>
    <x v="0"/>
    <d v="2024-10-25T00:00:00"/>
    <d v="2024-12-13T00:00:00"/>
    <n v="30"/>
    <n v="1458.7002"/>
    <n v="3845.59"/>
    <n v="3"/>
    <n v="150.47640000000001"/>
    <n v="33"/>
  </r>
  <r>
    <s v="Brand ABC TDM"/>
    <x v="2"/>
    <x v="1"/>
    <s v="Short Sleeve Tops"/>
    <s v="B8A4O-BB2J"/>
    <s v="Everyday Seamless"/>
    <s v="XS"/>
    <x v="0"/>
    <d v="2024-10-25T00:00:00"/>
    <d v="2024-11-26T00:00:00"/>
    <n v="16"/>
    <n v="769.34040000000005"/>
    <n v="2043.42"/>
    <n v="0"/>
    <n v="0"/>
    <n v="16"/>
  </r>
  <r>
    <s v="Brand ABC TDM"/>
    <x v="2"/>
    <x v="1"/>
    <s v="Short Sleeve Tops"/>
    <s v="B8A4O-RBQV"/>
    <s v="Everyday Seamless"/>
    <s v="L"/>
    <x v="0"/>
    <d v="2024-10-25T00:00:00"/>
    <d v="2024-10-25T00:00:00"/>
    <n v="3"/>
    <n v="143.78399999999999"/>
    <n v="397.33"/>
    <n v="2"/>
    <n v="95.855999999999995"/>
    <n v="5"/>
  </r>
  <r>
    <s v="Brand ABC TDM"/>
    <x v="2"/>
    <x v="1"/>
    <s v="Short Sleeve Tops"/>
    <s v="B8A4O-RBQV"/>
    <s v="Everyday Seamless"/>
    <s v="M"/>
    <x v="0"/>
    <d v="2024-10-26T00:00:00"/>
    <d v="2024-11-21T00:00:00"/>
    <n v="7"/>
    <n v="335.49599999999998"/>
    <n v="865.62"/>
    <n v="5"/>
    <n v="244.62450000000001"/>
    <n v="12"/>
  </r>
  <r>
    <s v="Brand ABC TDM"/>
    <x v="2"/>
    <x v="1"/>
    <s v="Short Sleeve Tops"/>
    <s v="B8A4O-RBQV"/>
    <s v="Everyday Seamless"/>
    <s v="S"/>
    <x v="0"/>
    <d v="2024-10-25T00:00:00"/>
    <d v="2024-12-17T00:00:00"/>
    <n v="6"/>
    <n v="290.72239999999999"/>
    <n v="780.45"/>
    <n v="3"/>
    <n v="148.10669999999999"/>
    <n v="9"/>
  </r>
  <r>
    <s v="Brand ABC TDM"/>
    <x v="2"/>
    <x v="1"/>
    <s v="Short Sleeve Tops"/>
    <s v="B8A4O-RBQV"/>
    <s v="Everyday Seamless"/>
    <s v="XS"/>
    <x v="0"/>
    <d v="2024-10-25T00:00:00"/>
    <d v="2024-10-25T00:00:00"/>
    <n v="3"/>
    <n v="143.78399999999999"/>
    <n v="397.34"/>
    <n v="0"/>
    <n v="0"/>
    <n v="3"/>
  </r>
  <r>
    <s v="Brand ABC TDM"/>
    <x v="2"/>
    <x v="1"/>
    <s v="Short Sleeve Tops"/>
    <s v="B9A7A-BB67"/>
    <s v="Premium Legacy"/>
    <s v="L"/>
    <x v="1"/>
    <d v="2024-10-28T00:00:00"/>
    <d v="2024-10-28T00:00:00"/>
    <n v="1"/>
    <n v="59.889800000000001"/>
    <n v="162"/>
    <n v="3"/>
    <n v="179.6694"/>
    <n v="4"/>
  </r>
  <r>
    <s v="Brand ABC TDM"/>
    <x v="2"/>
    <x v="1"/>
    <s v="Short Sleeve Tops"/>
    <s v="B9A7A-BB67"/>
    <s v="Premium Legacy"/>
    <s v="M"/>
    <x v="1"/>
    <d v="2024-10-28T00:00:00"/>
    <d v="2024-12-17T00:00:00"/>
    <n v="2"/>
    <n v="120.4025"/>
    <n v="324"/>
    <n v="5"/>
    <n v="305.05500000000001"/>
    <n v="7"/>
  </r>
  <r>
    <s v="Brand ABC TDM"/>
    <x v="2"/>
    <x v="1"/>
    <s v="Short Sleeve Tops"/>
    <s v="B9A7A-BB67"/>
    <s v="Premium Legacy"/>
    <s v="S"/>
    <x v="1"/>
    <d v="2024-10-28T00:00:00"/>
    <d v="2024-12-21T00:00:00"/>
    <n v="3"/>
    <n v="182.2647"/>
    <n v="486"/>
    <n v="3"/>
    <n v="184.34100000000001"/>
    <n v="6"/>
  </r>
  <r>
    <s v="Brand ABC TDM"/>
    <x v="2"/>
    <x v="1"/>
    <s v="Short Sleeve Tops"/>
    <s v="B9A7A-BB67"/>
    <s v="Premium Legacy"/>
    <s v="XS"/>
    <x v="1"/>
    <d v="2024-10-28T00:00:00"/>
    <d v="2024-10-28T00:00:00"/>
    <n v="2"/>
    <n v="119.7796"/>
    <n v="324"/>
    <n v="1"/>
    <n v="59.889800000000001"/>
    <n v="3"/>
  </r>
  <r>
    <s v="Brand ABC TDM"/>
    <x v="2"/>
    <x v="1"/>
    <s v="Long Sleeve Tops"/>
    <s v="B4A8C-BBF3"/>
    <s v="Vital"/>
    <s v="L"/>
    <x v="0"/>
    <d v="2024-05-20T00:00:00"/>
    <d v="2024-10-26T00:00:00"/>
    <n v="1"/>
    <n v="54.797899999999998"/>
    <n v="144.86000000000001"/>
    <n v="0"/>
    <n v="0"/>
    <n v="1"/>
  </r>
  <r>
    <s v="Brand ABC TDM"/>
    <x v="2"/>
    <x v="1"/>
    <s v="Long Sleeve Tops"/>
    <s v="B4A8C-BBF3"/>
    <s v="Vital"/>
    <s v="M"/>
    <x v="0"/>
    <d v="2024-05-20T00:00:00"/>
    <d v="2024-11-19T00:00:00"/>
    <n v="17"/>
    <n v="931.01520000000005"/>
    <n v="2478.69"/>
    <n v="2"/>
    <n v="109.5312"/>
    <n v="19"/>
  </r>
  <r>
    <s v="Brand ABC TDM"/>
    <x v="2"/>
    <x v="1"/>
    <s v="Long Sleeve Tops"/>
    <s v="B4A8C-BBF3"/>
    <s v="Vital"/>
    <s v="S"/>
    <x v="0"/>
    <d v="2024-05-20T00:00:00"/>
    <d v="2024-12-09T00:00:00"/>
    <n v="22"/>
    <n v="1222.0592999999999"/>
    <n v="3202.97"/>
    <n v="0"/>
    <n v="0"/>
    <n v="22"/>
  </r>
  <r>
    <s v="Brand ABC TDM"/>
    <x v="2"/>
    <x v="1"/>
    <s v="Long Sleeve Tops"/>
    <s v="B4A8C-BBF3"/>
    <s v="Vital"/>
    <s v="XS"/>
    <x v="0"/>
    <d v="2024-05-20T00:00:00"/>
    <d v="2024-11-26T00:00:00"/>
    <n v="10"/>
    <n v="555.28859999999997"/>
    <n v="1448.56"/>
    <n v="3"/>
    <n v="171.07980000000001"/>
    <n v="13"/>
  </r>
  <r>
    <s v="Brand ABC TDM"/>
    <x v="2"/>
    <x v="1"/>
    <s v="Long Sleeve Tops"/>
    <s v="B4A8C-UCW6"/>
    <s v="Vital"/>
    <s v="L"/>
    <x v="1"/>
    <d v="2024-10-26T00:00:00"/>
    <d v="2024-11-21T00:00:00"/>
    <n v="3"/>
    <n v="165.8674"/>
    <n v="450.67"/>
    <n v="0"/>
    <n v="0"/>
    <n v="3"/>
  </r>
  <r>
    <s v="Brand ABC TDM"/>
    <x v="2"/>
    <x v="1"/>
    <s v="Long Sleeve Tops"/>
    <s v="B4A8C-UCW6"/>
    <s v="Vital"/>
    <s v="M"/>
    <x v="1"/>
    <d v="2024-10-26T00:00:00"/>
    <d v="2024-11-26T00:00:00"/>
    <n v="1"/>
    <n v="54.757599999999996"/>
    <n v="144.85"/>
    <n v="0"/>
    <n v="0"/>
    <n v="1"/>
  </r>
  <r>
    <s v="Brand ABC TDM"/>
    <x v="2"/>
    <x v="1"/>
    <s v="Long Sleeve Tops"/>
    <s v="B5A8Y-KB68"/>
    <s v="Gym-Kit"/>
    <s v="L"/>
    <x v="1"/>
    <d v="2024-12-07T00:00:00"/>
    <d v="2024-12-07T00:00:00"/>
    <n v="0"/>
    <n v="0"/>
    <n v="0"/>
    <n v="5"/>
    <n v="360.08449999999999"/>
    <n v="5"/>
  </r>
  <r>
    <s v="Brand ABC TDM"/>
    <x v="2"/>
    <x v="1"/>
    <s v="Long Sleeve Tops"/>
    <s v="B5A8Y-KB68"/>
    <s v="Gym-Kit"/>
    <s v="M"/>
    <x v="1"/>
    <d v="2024-12-07T00:00:00"/>
    <d v="2024-12-07T00:00:00"/>
    <n v="0"/>
    <n v="0"/>
    <n v="0"/>
    <n v="5"/>
    <n v="363.53"/>
    <n v="5"/>
  </r>
  <r>
    <s v="Brand ABC TDM"/>
    <x v="2"/>
    <x v="1"/>
    <s v="Long Sleeve Tops"/>
    <s v="B5A8Y-KB68"/>
    <s v="Gym-Kit"/>
    <s v="S"/>
    <x v="1"/>
    <d v="2024-12-07T00:00:00"/>
    <d v="2024-12-17T00:00:00"/>
    <n v="0"/>
    <n v="0"/>
    <n v="0"/>
    <n v="4"/>
    <n v="288.06760000000003"/>
    <n v="4"/>
  </r>
  <r>
    <s v="Brand ABC TDM"/>
    <x v="2"/>
    <x v="1"/>
    <s v="Long Sleeve Tops"/>
    <s v="B5A8Y-KB68"/>
    <s v="Gym-Kit"/>
    <s v="XL"/>
    <x v="1"/>
    <d v="2024-12-07T00:00:00"/>
    <d v="2024-12-16T00:00:00"/>
    <n v="1"/>
    <n v="72.016900000000007"/>
    <n v="187.71"/>
    <n v="3"/>
    <n v="216.05070000000001"/>
    <n v="4"/>
  </r>
  <r>
    <s v="Brand ABC TDM"/>
    <x v="2"/>
    <x v="1"/>
    <s v="Long Sleeve Tops"/>
    <s v="B5A8Y-KB68"/>
    <s v="Gym-Kit"/>
    <s v="XS"/>
    <x v="1"/>
    <d v="2024-12-07T00:00:00"/>
    <d v="2024-12-07T00:00:00"/>
    <n v="0"/>
    <n v="0"/>
    <n v="0"/>
    <n v="3"/>
    <n v="216.05070000000001"/>
    <n v="3"/>
  </r>
  <r>
    <s v="Brand ABC TDM"/>
    <x v="2"/>
    <x v="1"/>
    <s v="Long Sleeve Tops"/>
    <s v="B5A8Y-UCTN"/>
    <s v="Gym-Kit"/>
    <s v="L"/>
    <x v="2"/>
    <d v="2024-12-07T00:00:00"/>
    <d v="2024-12-07T00:00:00"/>
    <n v="0"/>
    <n v="0"/>
    <n v="0"/>
    <n v="5"/>
    <n v="360.08449999999999"/>
    <n v="5"/>
  </r>
  <r>
    <s v="Brand ABC TDM"/>
    <x v="2"/>
    <x v="1"/>
    <s v="Long Sleeve Tops"/>
    <s v="B5A8Y-UCTN"/>
    <s v="Gym-Kit"/>
    <s v="M"/>
    <x v="2"/>
    <d v="2024-12-07T00:00:00"/>
    <d v="2024-12-07T00:00:00"/>
    <n v="0"/>
    <n v="0"/>
    <n v="0"/>
    <n v="5"/>
    <n v="360.08449999999999"/>
    <n v="5"/>
  </r>
  <r>
    <s v="Brand ABC TDM"/>
    <x v="2"/>
    <x v="1"/>
    <s v="Long Sleeve Tops"/>
    <s v="B5A8Y-UCTN"/>
    <s v="Gym-Kit"/>
    <s v="S"/>
    <x v="2"/>
    <d v="2024-12-07T00:00:00"/>
    <d v="2024-12-17T00:00:00"/>
    <n v="1"/>
    <n v="72.016900000000007"/>
    <n v="187.71"/>
    <n v="3"/>
    <n v="216.05070000000001"/>
    <n v="4"/>
  </r>
  <r>
    <s v="Brand ABC TDM"/>
    <x v="2"/>
    <x v="1"/>
    <s v="Long Sleeve Tops"/>
    <s v="B5A8Y-UCTN"/>
    <s v="Gym-Kit"/>
    <s v="XL"/>
    <x v="2"/>
    <d v="2024-12-07T00:00:00"/>
    <d v="2024-12-07T00:00:00"/>
    <n v="0"/>
    <n v="0"/>
    <n v="0"/>
    <n v="3"/>
    <n v="216.05070000000001"/>
    <n v="3"/>
  </r>
  <r>
    <s v="Brand ABC TDM"/>
    <x v="2"/>
    <x v="1"/>
    <s v="Long Sleeve Tops"/>
    <s v="B5A8Y-UCTN"/>
    <s v="Gym-Kit"/>
    <s v="XS"/>
    <x v="2"/>
    <d v="2024-12-07T00:00:00"/>
    <d v="2024-12-07T00:00:00"/>
    <n v="0"/>
    <n v="0"/>
    <n v="0"/>
    <n v="3"/>
    <n v="216.05070000000001"/>
    <n v="3"/>
  </r>
  <r>
    <s v="Brand ABC TDM"/>
    <x v="2"/>
    <x v="1"/>
    <s v="Long Sleeve Tops"/>
    <s v="B8A4Q-BB2J"/>
    <s v="Everyday Seamless"/>
    <s v="L"/>
    <x v="0"/>
    <d v="2024-10-26T00:00:00"/>
    <d v="2024-12-17T00:00:00"/>
    <n v="7"/>
    <n v="335.8759"/>
    <n v="908.18"/>
    <n v="6"/>
    <n v="289.72500000000002"/>
    <n v="13"/>
  </r>
  <r>
    <s v="Brand ABC TDM"/>
    <x v="2"/>
    <x v="1"/>
    <s v="Long Sleeve Tops"/>
    <s v="B8A4Q-BB2J"/>
    <s v="Everyday Seamless"/>
    <s v="M"/>
    <x v="0"/>
    <d v="2024-10-26T00:00:00"/>
    <d v="2024-12-18T00:00:00"/>
    <n v="15"/>
    <n v="728.89030000000002"/>
    <n v="1915.66"/>
    <n v="6"/>
    <n v="297.73680000000002"/>
    <n v="21"/>
  </r>
  <r>
    <s v="Brand ABC TDM"/>
    <x v="2"/>
    <x v="1"/>
    <s v="Long Sleeve Tops"/>
    <s v="B8A4Q-BB2J"/>
    <s v="Everyday Seamless"/>
    <s v="S"/>
    <x v="0"/>
    <d v="2024-10-25T00:00:00"/>
    <d v="2024-12-18T00:00:00"/>
    <n v="18"/>
    <n v="870.35469999999998"/>
    <n v="2312.98"/>
    <n v="4"/>
    <n v="199.2808"/>
    <n v="22"/>
  </r>
  <r>
    <s v="Brand ABC TDM"/>
    <x v="2"/>
    <x v="1"/>
    <s v="Long Sleeve Tops"/>
    <s v="B8A4Q-BB2J"/>
    <s v="Everyday Seamless"/>
    <s v="XS"/>
    <x v="0"/>
    <d v="2024-10-26T00:00:00"/>
    <d v="2024-12-13T00:00:00"/>
    <n v="9"/>
    <n v="436.89359999999999"/>
    <n v="1163.6199999999999"/>
    <n v="3"/>
    <n v="149.70779999999999"/>
    <n v="12"/>
  </r>
  <r>
    <s v="Brand ABC TDM"/>
    <x v="2"/>
    <x v="1"/>
    <s v="Long Sleeve Tops"/>
    <s v="B8A4Q-ECJH"/>
    <s v="Everyday Seamless"/>
    <s v="L"/>
    <x v="1"/>
    <d v="2024-10-28T00:00:00"/>
    <d v="2024-10-28T00:00:00"/>
    <n v="2"/>
    <n v="95.855999999999995"/>
    <n v="255.43"/>
    <n v="3"/>
    <n v="143.78399999999999"/>
    <n v="5"/>
  </r>
  <r>
    <s v="Brand ABC TDM"/>
    <x v="2"/>
    <x v="1"/>
    <s v="Long Sleeve Tops"/>
    <s v="B8A4Q-ECJH"/>
    <s v="Everyday Seamless"/>
    <s v="M"/>
    <x v="1"/>
    <d v="2024-10-28T00:00:00"/>
    <d v="2024-12-20T00:00:00"/>
    <n v="3"/>
    <n v="144.7809"/>
    <n v="383.14"/>
    <n v="5"/>
    <n v="246.12"/>
    <n v="8"/>
  </r>
  <r>
    <s v="Brand ABC TDM"/>
    <x v="2"/>
    <x v="1"/>
    <s v="Long Sleeve Tops"/>
    <s v="B8A4Q-ECJH"/>
    <s v="Everyday Seamless"/>
    <s v="S"/>
    <x v="1"/>
    <d v="2024-10-28T00:00:00"/>
    <d v="2024-12-18T00:00:00"/>
    <n v="5"/>
    <n v="244.2353"/>
    <n v="638.55999999999995"/>
    <n v="4"/>
    <n v="199.57839999999999"/>
    <n v="9"/>
  </r>
  <r>
    <s v="Brand ABC TDM"/>
    <x v="2"/>
    <x v="1"/>
    <s v="Long Sleeve Tops"/>
    <s v="B8A4Q-ECJH"/>
    <s v="Everyday Seamless"/>
    <s v="XS"/>
    <x v="1"/>
    <d v="2024-10-28T00:00:00"/>
    <d v="2024-11-27T00:00:00"/>
    <n v="3"/>
    <n v="145.44560000000001"/>
    <n v="383.13"/>
    <n v="1"/>
    <n v="48.758800000000001"/>
    <n v="4"/>
  </r>
  <r>
    <s v="Brand ABC TDM"/>
    <x v="2"/>
    <x v="1"/>
    <s v="Long Sleeve Tops"/>
    <s v="B8A4Q-RBQV"/>
    <s v="Everyday Seamless"/>
    <s v="L"/>
    <x v="0"/>
    <d v="2024-10-26T00:00:00"/>
    <d v="2024-11-12T00:00:00"/>
    <n v="3"/>
    <n v="143.78399999999999"/>
    <n v="383.13"/>
    <n v="3"/>
    <n v="143.78399999999999"/>
    <n v="6"/>
  </r>
  <r>
    <s v="Brand ABC TDM"/>
    <x v="2"/>
    <x v="1"/>
    <s v="Long Sleeve Tops"/>
    <s v="B8A4Q-RBQV"/>
    <s v="Everyday Seamless"/>
    <s v="M"/>
    <x v="0"/>
    <d v="2024-10-26T00:00:00"/>
    <d v="2024-12-12T00:00:00"/>
    <n v="10"/>
    <n v="480.27690000000001"/>
    <n v="1291.33"/>
    <n v="5"/>
    <n v="246.12"/>
    <n v="15"/>
  </r>
  <r>
    <s v="Brand ABC TDM"/>
    <x v="2"/>
    <x v="1"/>
    <s v="Long Sleeve Tops"/>
    <s v="B8A4Q-RBQV"/>
    <s v="Everyday Seamless"/>
    <s v="S"/>
    <x v="0"/>
    <d v="2024-10-25T00:00:00"/>
    <d v="2024-12-16T00:00:00"/>
    <n v="5"/>
    <n v="240.26310000000001"/>
    <n v="638.55999999999995"/>
    <n v="4"/>
    <n v="196.0736"/>
    <n v="9"/>
  </r>
  <r>
    <s v="Brand ABC TDM"/>
    <x v="2"/>
    <x v="1"/>
    <s v="Long Sleeve Tops"/>
    <s v="B8A4Q-RBQV"/>
    <s v="Everyday Seamless"/>
    <s v="XS"/>
    <x v="0"/>
    <d v="2024-10-25T00:00:00"/>
    <d v="2024-11-12T00:00:00"/>
    <n v="3"/>
    <n v="143.78399999999999"/>
    <n v="383.14"/>
    <n v="1"/>
    <n v="47.927999999999997"/>
    <n v="4"/>
  </r>
  <r>
    <s v="Brand ABC TDM"/>
    <x v="2"/>
    <x v="1"/>
    <s v="Long Sleeve Tops"/>
    <s v="B8A4Q-TBNG"/>
    <s v="Everyday Seamless"/>
    <s v="L"/>
    <x v="0"/>
    <d v="2024-10-26T00:00:00"/>
    <d v="2024-10-26T00:00:00"/>
    <n v="0"/>
    <n v="0"/>
    <n v="0"/>
    <n v="2"/>
    <n v="95.936800000000005"/>
    <n v="2"/>
  </r>
  <r>
    <s v="Brand ABC TDM"/>
    <x v="2"/>
    <x v="1"/>
    <s v="Long Sleeve Tops"/>
    <s v="B8A4Q-TBNG"/>
    <s v="Everyday Seamless"/>
    <s v="M"/>
    <x v="0"/>
    <d v="2024-10-26T00:00:00"/>
    <d v="2024-10-26T00:00:00"/>
    <n v="0"/>
    <n v="0"/>
    <n v="0"/>
    <n v="5"/>
    <n v="239.84200000000001"/>
    <n v="5"/>
  </r>
  <r>
    <s v="Brand ABC TDM"/>
    <x v="2"/>
    <x v="1"/>
    <s v="Long Sleeve Tops"/>
    <s v="B8A4Q-TBNG"/>
    <s v="Everyday Seamless"/>
    <s v="S"/>
    <x v="0"/>
    <d v="2024-10-26T00:00:00"/>
    <d v="2024-10-26T00:00:00"/>
    <n v="0"/>
    <n v="0"/>
    <n v="0"/>
    <n v="4"/>
    <n v="191.87360000000001"/>
    <n v="4"/>
  </r>
  <r>
    <s v="Brand ABC TDM"/>
    <x v="2"/>
    <x v="1"/>
    <s v="Long Sleeve Tops"/>
    <s v="B8A4Q-TBNG"/>
    <s v="Everyday Seamless"/>
    <s v="XS"/>
    <x v="0"/>
    <d v="2024-10-26T00:00:00"/>
    <d v="2024-10-26T00:00:00"/>
    <n v="0"/>
    <n v="0"/>
    <n v="0"/>
    <n v="3"/>
    <n v="143.90520000000001"/>
    <n v="3"/>
  </r>
  <r>
    <s v="Brand ABC TDM"/>
    <x v="2"/>
    <x v="1"/>
    <s v="Long Sleeve Tops"/>
    <s v="B9A5S-BB2J"/>
    <s v="Elevate"/>
    <s v="L"/>
    <x v="1"/>
    <d v="2024-10-28T00:00:00"/>
    <d v="2024-10-28T00:00:00"/>
    <n v="0"/>
    <n v="0"/>
    <n v="0"/>
    <n v="3"/>
    <n v="205.37129999999999"/>
    <n v="3"/>
  </r>
  <r>
    <s v="Brand ABC TDM"/>
    <x v="2"/>
    <x v="1"/>
    <s v="Long Sleeve Tops"/>
    <s v="B9A5S-BB2J"/>
    <s v="Elevate"/>
    <s v="M"/>
    <x v="1"/>
    <d v="2024-10-28T00:00:00"/>
    <d v="2024-11-09T00:00:00"/>
    <n v="0"/>
    <n v="0"/>
    <n v="0"/>
    <n v="6"/>
    <n v="410.74259999999998"/>
    <n v="6"/>
  </r>
  <r>
    <s v="Brand ABC TDM"/>
    <x v="2"/>
    <x v="1"/>
    <s v="Long Sleeve Tops"/>
    <s v="B9A5S-BB2J"/>
    <s v="Elevate"/>
    <s v="S"/>
    <x v="1"/>
    <d v="2024-10-28T00:00:00"/>
    <d v="2024-11-09T00:00:00"/>
    <n v="0"/>
    <n v="0"/>
    <n v="0"/>
    <n v="5"/>
    <n v="342.28550000000001"/>
    <n v="5"/>
  </r>
  <r>
    <s v="Brand ABC TDM"/>
    <x v="2"/>
    <x v="1"/>
    <s v="Long Sleeve Tops"/>
    <s v="B9A5S-BB2J"/>
    <s v="Elevate"/>
    <s v="XS"/>
    <x v="1"/>
    <d v="2024-10-28T00:00:00"/>
    <d v="2024-10-28T00:00:00"/>
    <n v="0"/>
    <n v="0"/>
    <n v="0"/>
    <n v="3"/>
    <n v="205.37129999999999"/>
    <n v="3"/>
  </r>
  <r>
    <s v="Brand ABC TDM"/>
    <x v="2"/>
    <x v="1"/>
    <s v="Long Sleeve Tops"/>
    <s v="B9A5S-NCNW"/>
    <s v="Elevate"/>
    <s v="L"/>
    <x v="1"/>
    <d v="2024-10-28T00:00:00"/>
    <d v="2024-11-12T00:00:00"/>
    <n v="0"/>
    <n v="0"/>
    <n v="0"/>
    <n v="3"/>
    <n v="205.37129999999999"/>
    <n v="3"/>
  </r>
  <r>
    <s v="Brand ABC TDM"/>
    <x v="2"/>
    <x v="1"/>
    <s v="Long Sleeve Tops"/>
    <s v="B9A5S-NCNW"/>
    <s v="Elevate"/>
    <s v="M"/>
    <x v="1"/>
    <d v="2024-10-28T00:00:00"/>
    <d v="2024-11-09T00:00:00"/>
    <n v="0"/>
    <n v="0"/>
    <n v="0"/>
    <n v="6"/>
    <n v="410.74259999999998"/>
    <n v="6"/>
  </r>
  <r>
    <s v="Brand ABC TDM"/>
    <x v="2"/>
    <x v="1"/>
    <s v="Long Sleeve Tops"/>
    <s v="B9A5S-NCNW"/>
    <s v="Elevate"/>
    <s v="S"/>
    <x v="1"/>
    <d v="2024-10-28T00:00:00"/>
    <d v="2024-11-09T00:00:00"/>
    <n v="0"/>
    <n v="0"/>
    <n v="0"/>
    <n v="5"/>
    <n v="342.28550000000001"/>
    <n v="5"/>
  </r>
  <r>
    <s v="Brand ABC TDM"/>
    <x v="2"/>
    <x v="1"/>
    <s v="Long Sleeve Tops"/>
    <s v="B9A5S-NCNW"/>
    <s v="Elevate"/>
    <s v="XS"/>
    <x v="1"/>
    <d v="2024-10-28T00:00:00"/>
    <d v="2024-10-28T00:00:00"/>
    <n v="0"/>
    <n v="0"/>
    <n v="0"/>
    <n v="2"/>
    <n v="136.91419999999999"/>
    <n v="2"/>
  </r>
  <r>
    <s v="Brand ABC TDM"/>
    <x v="2"/>
    <x v="1"/>
    <s v="Long Sleeve Tops"/>
    <s v="B9A5T-PB1M"/>
    <s v="Premium Legacy"/>
    <s v="L"/>
    <x v="1"/>
    <d v="2024-10-28T00:00:00"/>
    <d v="2024-10-28T00:00:00"/>
    <n v="1"/>
    <n v="71.851600000000005"/>
    <n v="196.29"/>
    <n v="4"/>
    <n v="287.40640000000002"/>
    <n v="5"/>
  </r>
  <r>
    <s v="Brand ABC TDM"/>
    <x v="2"/>
    <x v="1"/>
    <s v="Long Sleeve Tops"/>
    <s v="B9A5T-PB1M"/>
    <s v="Premium Legacy"/>
    <s v="M"/>
    <x v="1"/>
    <d v="2024-10-28T00:00:00"/>
    <d v="2024-12-06T00:00:00"/>
    <n v="2"/>
    <n v="144.45050000000001"/>
    <n v="392.58"/>
    <n v="5"/>
    <n v="365.98349999999999"/>
    <n v="7"/>
  </r>
  <r>
    <s v="Brand ABC TDM"/>
    <x v="2"/>
    <x v="1"/>
    <s v="Long Sleeve Tops"/>
    <s v="B9A5T-PB1M"/>
    <s v="Premium Legacy"/>
    <s v="S"/>
    <x v="1"/>
    <d v="2024-10-28T00:00:00"/>
    <d v="2024-10-28T00:00:00"/>
    <n v="0"/>
    <n v="0"/>
    <n v="0"/>
    <n v="4"/>
    <n v="287.40640000000002"/>
    <n v="4"/>
  </r>
  <r>
    <s v="Brand ABC TDM"/>
    <x v="2"/>
    <x v="1"/>
    <s v="Long Sleeve Tops"/>
    <s v="B9A5T-PB1M"/>
    <s v="Premium Legacy"/>
    <s v="XS"/>
    <x v="1"/>
    <d v="2024-10-28T00:00:00"/>
    <d v="2024-10-28T00:00:00"/>
    <n v="0"/>
    <n v="0"/>
    <n v="0"/>
    <n v="3"/>
    <n v="215.5548"/>
    <n v="3"/>
  </r>
  <r>
    <s v="Brand ABC TDM"/>
    <x v="2"/>
    <x v="1"/>
    <s v="Leggings"/>
    <s v="B1A2B-BBF3"/>
    <s v="Vital"/>
    <s v="L"/>
    <x v="0"/>
    <d v="2024-10-25T00:00:00"/>
    <d v="2024-12-21T00:00:00"/>
    <n v="16"/>
    <n v="1237.2166"/>
    <n v="3323.24"/>
    <n v="11"/>
    <n v="868.57539999999995"/>
    <n v="27"/>
  </r>
  <r>
    <s v="Brand ABC TDM"/>
    <x v="2"/>
    <x v="1"/>
    <s v="Leggings"/>
    <s v="B1A2B-BBF3"/>
    <s v="Vital"/>
    <s v="M"/>
    <x v="0"/>
    <d v="2024-10-25T00:00:00"/>
    <d v="2024-12-21T00:00:00"/>
    <n v="49"/>
    <n v="3788.5776999999998"/>
    <n v="9969.76"/>
    <n v="17"/>
    <n v="1347.0868"/>
    <n v="66"/>
  </r>
  <r>
    <s v="Brand ABC TDM"/>
    <x v="2"/>
    <x v="1"/>
    <s v="Leggings"/>
    <s v="B1A2B-BBF3"/>
    <s v="Vital"/>
    <s v="S"/>
    <x v="0"/>
    <d v="2024-10-25T00:00:00"/>
    <d v="2024-12-21T00:00:00"/>
    <n v="51"/>
    <n v="3980.8849"/>
    <n v="10459.049999999999"/>
    <n v="11"/>
    <n v="876.13239999999996"/>
    <n v="62"/>
  </r>
  <r>
    <s v="Brand ABC TDM"/>
    <x v="2"/>
    <x v="1"/>
    <s v="Leggings"/>
    <s v="B1A2B-BBF3"/>
    <s v="Vital"/>
    <s v="XL"/>
    <x v="0"/>
    <d v="2024-10-25T00:00:00"/>
    <d v="2024-12-17T00:00:00"/>
    <n v="3"/>
    <n v="230.95140000000001"/>
    <n v="614.58000000000004"/>
    <n v="5"/>
    <n v="384.91899999999998"/>
    <n v="8"/>
  </r>
  <r>
    <s v="Brand ABC TDM"/>
    <x v="2"/>
    <x v="1"/>
    <s v="Leggings"/>
    <s v="B1A2B-BBF3"/>
    <s v="Vital"/>
    <s v="XS"/>
    <x v="0"/>
    <d v="2024-10-25T00:00:00"/>
    <d v="2024-12-21T00:00:00"/>
    <n v="27"/>
    <n v="2120.8780999999999"/>
    <n v="5576.7"/>
    <n v="5"/>
    <n v="400.709"/>
    <n v="32"/>
  </r>
  <r>
    <s v="Brand ABC TDM"/>
    <x v="2"/>
    <x v="1"/>
    <s v="Leggings"/>
    <s v="B1A2B-EBTF"/>
    <s v="Vital"/>
    <s v="L"/>
    <x v="0"/>
    <d v="2024-10-25T00:00:00"/>
    <d v="2024-12-04T00:00:00"/>
    <n v="8"/>
    <n v="616.66549999999995"/>
    <n v="1638.87"/>
    <n v="9"/>
    <n v="703.57410000000004"/>
    <n v="17"/>
  </r>
  <r>
    <s v="Brand ABC TDM"/>
    <x v="2"/>
    <x v="1"/>
    <s v="Leggings"/>
    <s v="B1A2B-EBTF"/>
    <s v="Vital"/>
    <s v="M"/>
    <x v="0"/>
    <d v="2024-10-25T00:00:00"/>
    <d v="2024-12-21T00:00:00"/>
    <n v="25"/>
    <n v="1916.4928"/>
    <n v="5144.24"/>
    <n v="10"/>
    <n v="784.84"/>
    <n v="35"/>
  </r>
  <r>
    <s v="Brand ABC TDM"/>
    <x v="2"/>
    <x v="1"/>
    <s v="Leggings"/>
    <s v="B1A2B-EBTF"/>
    <s v="Vital"/>
    <s v="S"/>
    <x v="0"/>
    <d v="2024-10-25T00:00:00"/>
    <d v="2024-12-20T00:00:00"/>
    <n v="29"/>
    <n v="2224.1363999999999"/>
    <n v="5918.09"/>
    <n v="8"/>
    <n v="632.84159999999997"/>
    <n v="37"/>
  </r>
  <r>
    <s v="Brand ABC TDM"/>
    <x v="2"/>
    <x v="1"/>
    <s v="Leggings"/>
    <s v="B1A2B-EBTF"/>
    <s v="Vital"/>
    <s v="XL"/>
    <x v="0"/>
    <d v="2024-10-25T00:00:00"/>
    <d v="2024-12-07T00:00:00"/>
    <n v="1"/>
    <n v="76.983800000000002"/>
    <n v="204.86"/>
    <n v="5"/>
    <n v="396.92849999999999"/>
    <n v="6"/>
  </r>
  <r>
    <s v="Brand ABC TDM"/>
    <x v="2"/>
    <x v="1"/>
    <s v="Leggings"/>
    <s v="B1A2B-EBTF"/>
    <s v="Vital"/>
    <s v="XS"/>
    <x v="0"/>
    <d v="2024-10-25T00:00:00"/>
    <d v="2024-12-21T00:00:00"/>
    <n v="11"/>
    <n v="848.11810000000003"/>
    <n v="2253.46"/>
    <n v="5"/>
    <n v="394.9425"/>
    <n v="16"/>
  </r>
  <r>
    <s v="Brand ABC TDM"/>
    <x v="2"/>
    <x v="1"/>
    <s v="Leggings"/>
    <s v="B1A2B-GCSV"/>
    <s v="Vital"/>
    <s v="L"/>
    <x v="2"/>
    <d v="2024-10-25T00:00:00"/>
    <d v="2024-12-03T00:00:00"/>
    <n v="0"/>
    <n v="0"/>
    <n v="0"/>
    <n v="9"/>
    <n v="701.8614"/>
    <n v="9"/>
  </r>
  <r>
    <s v="Brand ABC TDM"/>
    <x v="2"/>
    <x v="1"/>
    <s v="Leggings"/>
    <s v="B1A2B-GCSV"/>
    <s v="Vital"/>
    <s v="M"/>
    <x v="2"/>
    <d v="2024-10-25T00:00:00"/>
    <d v="2024-12-11T00:00:00"/>
    <n v="1"/>
    <n v="78.885800000000003"/>
    <n v="204.86"/>
    <n v="10"/>
    <n v="790.95899999999995"/>
    <n v="11"/>
  </r>
  <r>
    <s v="Brand ABC TDM"/>
    <x v="2"/>
    <x v="1"/>
    <s v="Leggings"/>
    <s v="B1A2B-GCSV"/>
    <s v="Vital"/>
    <s v="S"/>
    <x v="2"/>
    <d v="2024-10-25T00:00:00"/>
    <d v="2024-12-17T00:00:00"/>
    <n v="0"/>
    <n v="0"/>
    <n v="0"/>
    <n v="7"/>
    <n v="561.07730000000004"/>
    <n v="7"/>
  </r>
  <r>
    <s v="Brand ABC TDM"/>
    <x v="2"/>
    <x v="1"/>
    <s v="Leggings"/>
    <s v="B1A2B-GCSV"/>
    <s v="Vital"/>
    <s v="XL"/>
    <x v="2"/>
    <d v="2024-10-25T00:00:00"/>
    <d v="2024-12-07T00:00:00"/>
    <n v="0"/>
    <n v="0"/>
    <n v="0"/>
    <n v="2"/>
    <n v="161.97399999999999"/>
    <n v="2"/>
  </r>
  <r>
    <s v="Brand ABC TDM"/>
    <x v="2"/>
    <x v="1"/>
    <s v="Leggings"/>
    <s v="B1A2B-GCSV"/>
    <s v="Vital"/>
    <s v="XS"/>
    <x v="2"/>
    <d v="2024-10-25T00:00:00"/>
    <d v="2024-12-04T00:00:00"/>
    <n v="0"/>
    <n v="0"/>
    <n v="0"/>
    <n v="4"/>
    <n v="314.94080000000002"/>
    <n v="4"/>
  </r>
  <r>
    <s v="Brand ABC TDM"/>
    <x v="2"/>
    <x v="1"/>
    <s v="Leggings"/>
    <s v="B1A2B-KB80"/>
    <s v="Vital"/>
    <s v="L"/>
    <x v="1"/>
    <d v="2024-10-28T00:00:00"/>
    <d v="2024-11-15T00:00:00"/>
    <n v="2"/>
    <n v="153.9676"/>
    <n v="409.71"/>
    <n v="10"/>
    <n v="769.83799999999997"/>
    <n v="12"/>
  </r>
  <r>
    <s v="Brand ABC TDM"/>
    <x v="2"/>
    <x v="1"/>
    <s v="Leggings"/>
    <s v="B1A2B-KB80"/>
    <s v="Vital"/>
    <s v="M"/>
    <x v="1"/>
    <d v="2024-10-28T00:00:00"/>
    <d v="2024-11-15T00:00:00"/>
    <n v="7"/>
    <n v="538.88660000000004"/>
    <n v="1434.01"/>
    <n v="7"/>
    <n v="538.88660000000004"/>
    <n v="14"/>
  </r>
  <r>
    <s v="Brand ABC TDM"/>
    <x v="2"/>
    <x v="1"/>
    <s v="Leggings"/>
    <s v="B1A2B-KB80"/>
    <s v="Vital"/>
    <s v="S"/>
    <x v="1"/>
    <d v="2024-10-28T00:00:00"/>
    <d v="2024-12-17T00:00:00"/>
    <n v="6"/>
    <n v="461.90280000000001"/>
    <n v="1217.75"/>
    <n v="5"/>
    <n v="388.92200000000003"/>
    <n v="11"/>
  </r>
  <r>
    <s v="Brand ABC TDM"/>
    <x v="2"/>
    <x v="1"/>
    <s v="Leggings"/>
    <s v="B1A2B-KB80"/>
    <s v="Vital"/>
    <s v="XS"/>
    <x v="1"/>
    <d v="2024-10-28T00:00:00"/>
    <d v="2024-11-15T00:00:00"/>
    <n v="3"/>
    <n v="230.95140000000001"/>
    <n v="637.34"/>
    <n v="3"/>
    <n v="230.95140000000001"/>
    <n v="6"/>
  </r>
  <r>
    <s v="Brand ABC TDM"/>
    <x v="2"/>
    <x v="1"/>
    <s v="Leggings"/>
    <s v="B1A2B-UCW7"/>
    <s v="Vital"/>
    <s v="M"/>
    <x v="2"/>
    <d v="2024-10-25T00:00:00"/>
    <d v="2024-12-21T00:00:00"/>
    <n v="0"/>
    <n v="0"/>
    <n v="0"/>
    <n v="10"/>
    <n v="790.76800000000003"/>
    <n v="10"/>
  </r>
  <r>
    <s v="Brand ABC TDM"/>
    <x v="2"/>
    <x v="1"/>
    <s v="Leggings"/>
    <s v="B1A2B-UCW7"/>
    <s v="Vital"/>
    <s v="S"/>
    <x v="2"/>
    <d v="2024-10-25T00:00:00"/>
    <d v="2024-12-21T00:00:00"/>
    <n v="2"/>
    <n v="160.61189999999999"/>
    <n v="409.72"/>
    <n v="8"/>
    <n v="644.39919999999995"/>
    <n v="10"/>
  </r>
  <r>
    <s v="Brand ABC TDM"/>
    <x v="2"/>
    <x v="1"/>
    <s v="Leggings"/>
    <s v="B1A2B-UCW7"/>
    <s v="Vital"/>
    <s v="XS"/>
    <x v="2"/>
    <d v="2024-10-25T00:00:00"/>
    <d v="2024-12-20T00:00:00"/>
    <n v="1"/>
    <n v="80.343599999999995"/>
    <n v="204.86"/>
    <n v="5"/>
    <n v="401.71800000000002"/>
    <n v="6"/>
  </r>
  <r>
    <s v="Brand ABC TDM"/>
    <x v="2"/>
    <x v="1"/>
    <s v="Leggings"/>
    <s v="B1B7A-BB2J"/>
    <s v="Linear Seamless"/>
    <s v="L"/>
    <x v="2"/>
    <d v="2024-10-26T00:00:00"/>
    <d v="2024-11-22T00:00:00"/>
    <n v="0"/>
    <n v="0"/>
    <n v="0"/>
    <n v="1"/>
    <n v="83.248999999999995"/>
    <n v="1"/>
  </r>
  <r>
    <s v="Brand ABC TDM"/>
    <x v="2"/>
    <x v="1"/>
    <s v="Leggings"/>
    <s v="B1B7A-BB2J"/>
    <s v="Linear Seamless"/>
    <s v="M"/>
    <x v="2"/>
    <d v="2024-10-26T00:00:00"/>
    <d v="2024-11-26T00:00:00"/>
    <n v="0"/>
    <n v="0"/>
    <n v="0"/>
    <n v="5"/>
    <n v="426.67649999999998"/>
    <n v="5"/>
  </r>
  <r>
    <s v="Brand ABC TDM"/>
    <x v="2"/>
    <x v="1"/>
    <s v="Leggings"/>
    <s v="B1B7A-BB2J"/>
    <s v="Linear Seamless"/>
    <s v="S"/>
    <x v="2"/>
    <d v="2024-10-26T00:00:00"/>
    <d v="2024-11-30T00:00:00"/>
    <n v="0"/>
    <n v="0"/>
    <n v="0"/>
    <n v="5"/>
    <n v="436.22149999999999"/>
    <n v="5"/>
  </r>
  <r>
    <s v="Brand ABC TDM"/>
    <x v="2"/>
    <x v="1"/>
    <s v="Leggings"/>
    <s v="B1B7B-BB2J"/>
    <s v="Reps"/>
    <s v="L"/>
    <x v="2"/>
    <d v="2024-12-07T00:00:00"/>
    <d v="2024-12-07T00:00:00"/>
    <n v="0"/>
    <n v="0"/>
    <n v="0"/>
    <n v="5"/>
    <n v="404.935"/>
    <n v="5"/>
  </r>
  <r>
    <s v="Brand ABC TDM"/>
    <x v="2"/>
    <x v="1"/>
    <s v="Leggings"/>
    <s v="B1B7B-BB2J"/>
    <s v="Reps"/>
    <s v="M"/>
    <x v="2"/>
    <d v="2024-12-07T00:00:00"/>
    <d v="2024-12-17T00:00:00"/>
    <n v="2"/>
    <n v="161.97399999999999"/>
    <n v="432.48"/>
    <n v="5"/>
    <n v="404.935"/>
    <n v="7"/>
  </r>
  <r>
    <s v="Brand ABC TDM"/>
    <x v="2"/>
    <x v="1"/>
    <s v="Leggings"/>
    <s v="B1B7B-BB2J"/>
    <s v="Reps"/>
    <s v="S"/>
    <x v="2"/>
    <d v="2024-12-07T00:00:00"/>
    <d v="2024-12-17T00:00:00"/>
    <n v="3"/>
    <n v="242.96100000000001"/>
    <n v="614.57000000000005"/>
    <n v="4"/>
    <n v="323.94799999999998"/>
    <n v="7"/>
  </r>
  <r>
    <s v="Brand ABC TDM"/>
    <x v="2"/>
    <x v="1"/>
    <s v="Leggings"/>
    <s v="B1B7B-BB2J"/>
    <s v="Reps"/>
    <s v="XL"/>
    <x v="2"/>
    <d v="2024-12-07T00:00:00"/>
    <d v="2024-12-07T00:00:00"/>
    <n v="0"/>
    <n v="0"/>
    <n v="0"/>
    <n v="3"/>
    <n v="242.96129999999999"/>
    <n v="3"/>
  </r>
  <r>
    <s v="Brand ABC TDM"/>
    <x v="2"/>
    <x v="1"/>
    <s v="Leggings"/>
    <s v="B1B7B-BB2J"/>
    <s v="Reps"/>
    <s v="XS"/>
    <x v="2"/>
    <d v="2024-12-07T00:00:00"/>
    <d v="2024-12-17T00:00:00"/>
    <n v="3"/>
    <n v="242.96100000000001"/>
    <n v="637.34"/>
    <n v="2"/>
    <n v="161.97399999999999"/>
    <n v="5"/>
  </r>
  <r>
    <s v="Brand ABC TDM"/>
    <x v="2"/>
    <x v="1"/>
    <s v="Leggings"/>
    <s v="B1C3X-BB2J"/>
    <s v="Reps"/>
    <s v="L"/>
    <x v="2"/>
    <d v="2024-10-26T00:00:00"/>
    <d v="2024-11-19T00:00:00"/>
    <n v="0"/>
    <n v="0"/>
    <n v="0"/>
    <n v="6"/>
    <n v="492.69659999999999"/>
    <n v="6"/>
  </r>
  <r>
    <s v="Brand ABC TDM"/>
    <x v="2"/>
    <x v="1"/>
    <s v="Leggings"/>
    <s v="B1C3X-BB2J"/>
    <s v="Reps"/>
    <s v="M"/>
    <x v="2"/>
    <d v="2024-10-26T00:00:00"/>
    <d v="2024-11-13T00:00:00"/>
    <n v="0"/>
    <n v="0"/>
    <n v="0"/>
    <n v="7"/>
    <n v="574.81269999999995"/>
    <n v="7"/>
  </r>
  <r>
    <s v="Brand ABC TDM"/>
    <x v="2"/>
    <x v="1"/>
    <s v="Leggings"/>
    <s v="B1C3X-BB2J"/>
    <s v="Reps"/>
    <s v="S"/>
    <x v="2"/>
    <d v="2024-10-26T00:00:00"/>
    <d v="2024-11-19T00:00:00"/>
    <n v="0"/>
    <n v="0"/>
    <n v="0"/>
    <n v="5"/>
    <n v="410.58049999999997"/>
    <n v="5"/>
  </r>
  <r>
    <s v="Brand ABC TDM"/>
    <x v="2"/>
    <x v="1"/>
    <s v="Leggings"/>
    <s v="B1C3X-BB2J"/>
    <s v="Reps"/>
    <s v="XL"/>
    <x v="2"/>
    <d v="2024-10-26T00:00:00"/>
    <d v="2024-10-26T00:00:00"/>
    <n v="0"/>
    <n v="0"/>
    <n v="0"/>
    <n v="1"/>
    <n v="82.116100000000003"/>
    <n v="1"/>
  </r>
  <r>
    <s v="Brand ABC TDM"/>
    <x v="2"/>
    <x v="1"/>
    <s v="Leggings"/>
    <s v="B1C3X-BB2J"/>
    <s v="Reps"/>
    <s v="XS"/>
    <x v="2"/>
    <d v="2024-10-26T00:00:00"/>
    <d v="2024-10-26T00:00:00"/>
    <n v="0"/>
    <n v="0"/>
    <n v="0"/>
    <n v="3"/>
    <n v="246.34829999999999"/>
    <n v="3"/>
  </r>
  <r>
    <s v="Brand ABC TDM"/>
    <x v="2"/>
    <x v="1"/>
    <s v="Leggings"/>
    <s v="B1C3Z-BB29"/>
    <s v="Caged"/>
    <s v="L"/>
    <x v="2"/>
    <d v="2024-12-12T00:00:00"/>
    <d v="2024-12-18T00:00:00"/>
    <n v="0"/>
    <n v="0"/>
    <n v="0"/>
    <n v="6"/>
    <n v="539.99879999999996"/>
    <n v="6"/>
  </r>
  <r>
    <s v="Brand ABC TDM"/>
    <x v="2"/>
    <x v="1"/>
    <s v="Leggings"/>
    <s v="B1C3Z-BB29"/>
    <s v="Caged"/>
    <s v="M"/>
    <x v="2"/>
    <d v="2024-12-12T00:00:00"/>
    <d v="2024-12-12T00:00:00"/>
    <n v="0"/>
    <n v="0"/>
    <n v="0"/>
    <n v="7"/>
    <n v="629.99860000000001"/>
    <n v="7"/>
  </r>
  <r>
    <s v="Brand ABC TDM"/>
    <x v="2"/>
    <x v="1"/>
    <s v="Leggings"/>
    <s v="B1C3Z-BB29"/>
    <s v="Caged"/>
    <s v="S"/>
    <x v="2"/>
    <d v="2024-12-12T00:00:00"/>
    <d v="2024-12-21T00:00:00"/>
    <n v="0"/>
    <n v="0"/>
    <n v="0"/>
    <n v="5"/>
    <n v="449.99900000000002"/>
    <n v="5"/>
  </r>
  <r>
    <s v="Brand ABC TDM"/>
    <x v="2"/>
    <x v="1"/>
    <s v="Leggings"/>
    <s v="B1C3Z-BB29"/>
    <s v="Caged"/>
    <s v="XS"/>
    <x v="2"/>
    <d v="2024-12-12T00:00:00"/>
    <d v="2024-12-21T00:00:00"/>
    <n v="0"/>
    <n v="0"/>
    <n v="0"/>
    <n v="3"/>
    <n v="269.99939999999998"/>
    <n v="3"/>
  </r>
  <r>
    <s v="Brand ABC TDM"/>
    <x v="2"/>
    <x v="1"/>
    <s v="Leggings"/>
    <s v="B1C3Z-UCY1"/>
    <s v="Caged"/>
    <s v="L"/>
    <x v="2"/>
    <d v="2024-12-12T00:00:00"/>
    <d v="2024-12-20T00:00:00"/>
    <n v="0"/>
    <n v="0"/>
    <n v="0"/>
    <n v="6"/>
    <n v="539.99879999999996"/>
    <n v="6"/>
  </r>
  <r>
    <s v="Brand ABC TDM"/>
    <x v="2"/>
    <x v="1"/>
    <s v="Leggings"/>
    <s v="B1C3Z-UCY1"/>
    <s v="Caged"/>
    <s v="M"/>
    <x v="2"/>
    <d v="2024-12-12T00:00:00"/>
    <d v="2024-12-20T00:00:00"/>
    <n v="0"/>
    <n v="0"/>
    <n v="0"/>
    <n v="7"/>
    <n v="629.99860000000001"/>
    <n v="7"/>
  </r>
  <r>
    <s v="Brand ABC TDM"/>
    <x v="2"/>
    <x v="1"/>
    <s v="Leggings"/>
    <s v="B1C3Z-UCY1"/>
    <s v="Caged"/>
    <s v="S"/>
    <x v="2"/>
    <d v="2024-12-12T00:00:00"/>
    <d v="2024-12-20T00:00:00"/>
    <n v="0"/>
    <n v="0"/>
    <n v="0"/>
    <n v="5"/>
    <n v="449.99900000000002"/>
    <n v="5"/>
  </r>
  <r>
    <s v="Brand ABC TDM"/>
    <x v="2"/>
    <x v="1"/>
    <s v="Leggings"/>
    <s v="B1C3Z-UCY1"/>
    <s v="Caged"/>
    <s v="XS"/>
    <x v="2"/>
    <d v="2024-12-12T00:00:00"/>
    <d v="2024-12-18T00:00:00"/>
    <n v="0"/>
    <n v="0"/>
    <n v="0"/>
    <n v="3"/>
    <n v="269.99939999999998"/>
    <n v="3"/>
  </r>
  <r>
    <s v="Brand ABC TDM"/>
    <x v="2"/>
    <x v="1"/>
    <s v="Leggings"/>
    <s v="B1C8U-BB2J"/>
    <s v="Elevate"/>
    <s v="L"/>
    <x v="2"/>
    <d v="2024-10-28T00:00:00"/>
    <d v="2024-11-09T00:00:00"/>
    <n v="0"/>
    <n v="0"/>
    <n v="0"/>
    <n v="7"/>
    <n v="419.51139999999998"/>
    <n v="7"/>
  </r>
  <r>
    <s v="Brand ABC TDM"/>
    <x v="2"/>
    <x v="1"/>
    <s v="Leggings"/>
    <s v="B1C8U-BB2J"/>
    <s v="Elevate"/>
    <s v="M"/>
    <x v="2"/>
    <d v="2024-10-28T00:00:00"/>
    <d v="2024-11-09T00:00:00"/>
    <n v="0"/>
    <n v="0"/>
    <n v="0"/>
    <n v="8"/>
    <n v="479.55439999999999"/>
    <n v="8"/>
  </r>
  <r>
    <s v="Brand ABC TDM"/>
    <x v="2"/>
    <x v="1"/>
    <s v="Leggings"/>
    <s v="B1C8U-BB2J"/>
    <s v="Elevate"/>
    <s v="S"/>
    <x v="2"/>
    <d v="2024-10-28T00:00:00"/>
    <d v="2024-11-09T00:00:00"/>
    <n v="0"/>
    <n v="0"/>
    <n v="0"/>
    <n v="6"/>
    <n v="359.58120000000002"/>
    <n v="6"/>
  </r>
  <r>
    <s v="Brand ABC TDM"/>
    <x v="2"/>
    <x v="1"/>
    <s v="Leggings"/>
    <s v="B1C8U-BB2J"/>
    <s v="Elevate"/>
    <s v="XS"/>
    <x v="2"/>
    <d v="2024-10-28T00:00:00"/>
    <d v="2024-10-28T00:00:00"/>
    <n v="0"/>
    <n v="0"/>
    <n v="0"/>
    <n v="3"/>
    <n v="179.79060000000001"/>
    <n v="3"/>
  </r>
  <r>
    <s v="Brand ABC TDM"/>
    <x v="2"/>
    <x v="1"/>
    <s v="Leggings"/>
    <s v="B1C8U-ECJF"/>
    <s v="Elevate"/>
    <s v="L"/>
    <x v="1"/>
    <d v="2024-10-28T00:00:00"/>
    <d v="2024-11-09T00:00:00"/>
    <n v="0"/>
    <n v="0"/>
    <n v="0"/>
    <n v="7"/>
    <n v="419.51139999999998"/>
    <n v="7"/>
  </r>
  <r>
    <s v="Brand ABC TDM"/>
    <x v="2"/>
    <x v="1"/>
    <s v="Leggings"/>
    <s v="B1C8U-ECJF"/>
    <s v="Elevate"/>
    <s v="M"/>
    <x v="1"/>
    <d v="2024-10-28T00:00:00"/>
    <d v="2024-11-09T00:00:00"/>
    <n v="0"/>
    <n v="0"/>
    <n v="0"/>
    <n v="8"/>
    <n v="479.61279999999999"/>
    <n v="8"/>
  </r>
  <r>
    <s v="Brand ABC TDM"/>
    <x v="2"/>
    <x v="1"/>
    <s v="Leggings"/>
    <s v="B1C8U-ECJF"/>
    <s v="Elevate"/>
    <s v="S"/>
    <x v="1"/>
    <d v="2024-10-28T00:00:00"/>
    <d v="2024-11-09T00:00:00"/>
    <n v="0"/>
    <n v="0"/>
    <n v="0"/>
    <n v="6"/>
    <n v="359.58120000000002"/>
    <n v="6"/>
  </r>
  <r>
    <s v="Brand ABC TDM"/>
    <x v="2"/>
    <x v="1"/>
    <s v="Leggings"/>
    <s v="B1C8U-ECJF"/>
    <s v="Elevate"/>
    <s v="XS"/>
    <x v="1"/>
    <d v="2024-10-28T00:00:00"/>
    <d v="2024-10-28T00:00:00"/>
    <n v="0"/>
    <n v="0"/>
    <n v="0"/>
    <n v="3"/>
    <n v="179.79060000000001"/>
    <n v="3"/>
  </r>
  <r>
    <s v="Brand ABC TDM"/>
    <x v="2"/>
    <x v="1"/>
    <s v="Leggings"/>
    <s v="B1C8V-BB2J"/>
    <s v="Elevate"/>
    <s v="L"/>
    <x v="2"/>
    <d v="2024-10-28T00:00:00"/>
    <d v="2024-12-04T00:00:00"/>
    <n v="0"/>
    <n v="0"/>
    <n v="0"/>
    <n v="6"/>
    <n v="621.20820000000003"/>
    <n v="6"/>
  </r>
  <r>
    <s v="Brand ABC TDM"/>
    <x v="2"/>
    <x v="1"/>
    <s v="Leggings"/>
    <s v="B1C8V-BB2J"/>
    <s v="Elevate"/>
    <s v="M"/>
    <x v="2"/>
    <d v="2024-10-28T00:00:00"/>
    <d v="2024-12-10T00:00:00"/>
    <n v="0"/>
    <n v="0"/>
    <n v="0"/>
    <n v="7"/>
    <n v="733.00289999999995"/>
    <n v="7"/>
  </r>
  <r>
    <s v="Brand ABC TDM"/>
    <x v="2"/>
    <x v="1"/>
    <s v="Leggings"/>
    <s v="B1C8V-BB2J"/>
    <s v="Elevate"/>
    <s v="S"/>
    <x v="2"/>
    <d v="2024-10-28T00:00:00"/>
    <d v="2024-12-07T00:00:00"/>
    <n v="0"/>
    <n v="0"/>
    <n v="0"/>
    <n v="5"/>
    <n v="518.56299999999999"/>
    <n v="5"/>
  </r>
  <r>
    <s v="Brand ABC TDM"/>
    <x v="2"/>
    <x v="1"/>
    <s v="Leggings"/>
    <s v="B1C8V-BB2J"/>
    <s v="Elevate"/>
    <s v="XS"/>
    <x v="2"/>
    <d v="2024-10-28T00:00:00"/>
    <d v="2024-12-04T00:00:00"/>
    <n v="0"/>
    <n v="0"/>
    <n v="0"/>
    <n v="3"/>
    <n v="313.27289999999999"/>
    <n v="3"/>
  </r>
  <r>
    <s v="Brand ABC TDM"/>
    <x v="2"/>
    <x v="1"/>
    <s v="Leggings"/>
    <s v="B1C8V-ECJF"/>
    <s v="Elevate"/>
    <s v="L"/>
    <x v="2"/>
    <d v="2024-10-28T00:00:00"/>
    <d v="2024-10-28T00:00:00"/>
    <n v="0"/>
    <n v="0"/>
    <n v="0"/>
    <n v="6"/>
    <n v="615.87059999999997"/>
    <n v="6"/>
  </r>
  <r>
    <s v="Brand ABC TDM"/>
    <x v="2"/>
    <x v="1"/>
    <s v="Leggings"/>
    <s v="B1C8V-ECJF"/>
    <s v="Elevate"/>
    <s v="M"/>
    <x v="2"/>
    <d v="2024-10-28T00:00:00"/>
    <d v="2024-12-05T00:00:00"/>
    <n v="0"/>
    <n v="0"/>
    <n v="0"/>
    <n v="7"/>
    <n v="729.19069999999999"/>
    <n v="7"/>
  </r>
  <r>
    <s v="Brand ABC TDM"/>
    <x v="2"/>
    <x v="1"/>
    <s v="Leggings"/>
    <s v="B1C8V-ECJF"/>
    <s v="Elevate"/>
    <s v="S"/>
    <x v="2"/>
    <d v="2024-10-28T00:00:00"/>
    <d v="2024-10-28T00:00:00"/>
    <n v="0"/>
    <n v="0"/>
    <n v="0"/>
    <n v="5"/>
    <n v="513.22550000000001"/>
    <n v="5"/>
  </r>
  <r>
    <s v="Brand ABC TDM"/>
    <x v="2"/>
    <x v="1"/>
    <s v="Leggings"/>
    <s v="B1C8V-ECJF"/>
    <s v="Elevate"/>
    <s v="XS"/>
    <x v="2"/>
    <d v="2024-10-28T00:00:00"/>
    <d v="2024-10-28T00:00:00"/>
    <n v="0"/>
    <n v="0"/>
    <n v="0"/>
    <n v="3"/>
    <n v="307.93529999999998"/>
    <n v="3"/>
  </r>
  <r>
    <s v="Brand ABC TDM"/>
    <x v="2"/>
    <x v="1"/>
    <s v="Leggings"/>
    <s v="B2A8F-BBBB"/>
    <s v="Training"/>
    <s v="L"/>
    <x v="0"/>
    <d v="2024-10-26T00:00:00"/>
    <d v="2024-12-21T00:00:00"/>
    <n v="15"/>
    <n v="774.08969999999999"/>
    <n v="2188.94"/>
    <n v="9"/>
    <n v="473.66550000000001"/>
    <n v="24"/>
  </r>
  <r>
    <s v="Brand ABC TDM"/>
    <x v="2"/>
    <x v="1"/>
    <s v="Leggings"/>
    <s v="B2A8F-BBBB"/>
    <s v="Training"/>
    <s v="M"/>
    <x v="0"/>
    <d v="2024-10-26T00:00:00"/>
    <d v="2024-12-21T00:00:00"/>
    <n v="27"/>
    <n v="1404.3866"/>
    <n v="3846.8"/>
    <n v="13"/>
    <n v="693.8854"/>
    <n v="40"/>
  </r>
  <r>
    <s v="Brand ABC TDM"/>
    <x v="2"/>
    <x v="1"/>
    <s v="Leggings"/>
    <s v="B2A8F-BBBB"/>
    <s v="Training"/>
    <s v="S"/>
    <x v="0"/>
    <d v="2024-10-25T00:00:00"/>
    <d v="2024-12-21T00:00:00"/>
    <n v="28"/>
    <n v="1464.9599000000001"/>
    <n v="4039.95"/>
    <n v="7"/>
    <n v="376.70150000000001"/>
    <n v="35"/>
  </r>
  <r>
    <s v="Brand ABC TDM"/>
    <x v="2"/>
    <x v="1"/>
    <s v="Leggings"/>
    <s v="B2A8F-BBBB"/>
    <s v="Training"/>
    <s v="XL"/>
    <x v="0"/>
    <d v="2024-10-25T00:00:00"/>
    <d v="2024-11-12T00:00:00"/>
    <n v="5"/>
    <n v="256.613"/>
    <n v="716.25"/>
    <n v="0"/>
    <n v="0"/>
    <n v="5"/>
  </r>
  <r>
    <s v="Brand ABC TDM"/>
    <x v="2"/>
    <x v="1"/>
    <s v="Leggings"/>
    <s v="B2A8F-BBBB"/>
    <s v="Training"/>
    <s v="XS"/>
    <x v="0"/>
    <d v="2024-10-26T00:00:00"/>
    <d v="2024-12-20T00:00:00"/>
    <n v="16"/>
    <n v="840.89290000000005"/>
    <n v="2285.54"/>
    <n v="4"/>
    <n v="214.91640000000001"/>
    <n v="20"/>
  </r>
  <r>
    <s v="Brand ABC TDM"/>
    <x v="2"/>
    <x v="1"/>
    <s v="Leggings"/>
    <s v="B2A8F-ECBG"/>
    <s v="Training"/>
    <s v="L"/>
    <x v="1"/>
    <d v="2024-10-26T00:00:00"/>
    <d v="2024-11-18T00:00:00"/>
    <n v="4"/>
    <n v="205.29040000000001"/>
    <n v="579.44000000000005"/>
    <n v="1"/>
    <n v="51.322600000000001"/>
    <n v="5"/>
  </r>
  <r>
    <s v="Brand ABC TDM"/>
    <x v="2"/>
    <x v="1"/>
    <s v="Leggings"/>
    <s v="B2A8F-ECBG"/>
    <s v="Training"/>
    <s v="M"/>
    <x v="1"/>
    <d v="2024-10-26T00:00:00"/>
    <d v="2024-12-04T00:00:00"/>
    <n v="5"/>
    <n v="256.39240000000001"/>
    <n v="724.29"/>
    <n v="1"/>
    <n v="51.785800000000002"/>
    <n v="6"/>
  </r>
  <r>
    <s v="Brand ABC TDM"/>
    <x v="2"/>
    <x v="1"/>
    <s v="Leggings"/>
    <s v="B2A8F-ECBG"/>
    <s v="Training"/>
    <s v="S"/>
    <x v="1"/>
    <d v="2024-10-26T00:00:00"/>
    <d v="2024-11-29T00:00:00"/>
    <n v="8"/>
    <n v="410.58080000000001"/>
    <n v="1158.8699999999999"/>
    <n v="1"/>
    <n v="52.323399999999999"/>
    <n v="9"/>
  </r>
  <r>
    <s v="Brand ABC TDM"/>
    <x v="2"/>
    <x v="1"/>
    <s v="Leggings"/>
    <s v="B2A8F-ECBG"/>
    <s v="Training"/>
    <s v="XL"/>
    <x v="1"/>
    <d v="2024-10-25T00:00:00"/>
    <d v="2024-10-26T00:00:00"/>
    <n v="0"/>
    <n v="0"/>
    <n v="0"/>
    <n v="1"/>
    <n v="51.322600000000001"/>
    <n v="1"/>
  </r>
  <r>
    <s v="Brand ABC TDM"/>
    <x v="2"/>
    <x v="1"/>
    <s v="Leggings"/>
    <s v="B2A8F-ECBG"/>
    <s v="Training"/>
    <s v="XS"/>
    <x v="1"/>
    <d v="2024-10-25T00:00:00"/>
    <d v="2024-12-04T00:00:00"/>
    <n v="5"/>
    <n v="257.28019999999998"/>
    <n v="708.19"/>
    <n v="1"/>
    <n v="52.490200000000002"/>
    <n v="6"/>
  </r>
  <r>
    <s v="Brand ABC TDM"/>
    <x v="2"/>
    <x v="1"/>
    <s v="Leggings"/>
    <s v="B2A8F-NBY8"/>
    <s v="Everyday"/>
    <s v="L"/>
    <x v="1"/>
    <d v="2024-10-28T00:00:00"/>
    <d v="2024-12-07T00:00:00"/>
    <n v="0"/>
    <n v="0"/>
    <n v="0"/>
    <n v="12"/>
    <n v="647.89679999999998"/>
    <n v="12"/>
  </r>
  <r>
    <s v="Brand ABC TDM"/>
    <x v="2"/>
    <x v="1"/>
    <s v="Leggings"/>
    <s v="B2A8F-NBY8"/>
    <s v="Everyday"/>
    <s v="M"/>
    <x v="1"/>
    <d v="2024-10-28T00:00:00"/>
    <d v="2024-12-07T00:00:00"/>
    <n v="3"/>
    <n v="161.9742"/>
    <n v="434.47"/>
    <n v="11"/>
    <n v="593.90539999999999"/>
    <n v="14"/>
  </r>
  <r>
    <s v="Brand ABC TDM"/>
    <x v="2"/>
    <x v="1"/>
    <s v="Leggings"/>
    <s v="B2A8F-NBY8"/>
    <s v="Everyday"/>
    <s v="S"/>
    <x v="1"/>
    <d v="2024-10-28T00:00:00"/>
    <d v="2024-12-07T00:00:00"/>
    <n v="5"/>
    <n v="269.95699999999999"/>
    <n v="724.29"/>
    <n v="5"/>
    <n v="269.95699999999999"/>
    <n v="10"/>
  </r>
  <r>
    <s v="Brand ABC TDM"/>
    <x v="2"/>
    <x v="1"/>
    <s v="Leggings"/>
    <s v="B2A8F-NBY8"/>
    <s v="Everyday"/>
    <s v="XS"/>
    <x v="1"/>
    <d v="2024-11-29T00:00:00"/>
    <d v="2024-12-07T00:00:00"/>
    <n v="1"/>
    <n v="53.991399999999999"/>
    <n v="144.86000000000001"/>
    <n v="5"/>
    <n v="269.95699999999999"/>
    <n v="6"/>
  </r>
  <r>
    <s v="Brand ABC TDM"/>
    <x v="2"/>
    <x v="1"/>
    <s v="Leggings"/>
    <s v="B2A8F-NBY8"/>
    <s v="Everyday"/>
    <s v="XXL"/>
    <x v="1"/>
    <d v="2024-11-29T00:00:00"/>
    <d v="2024-11-29T00:00:00"/>
    <n v="0"/>
    <n v="0"/>
    <n v="0"/>
    <n v="1"/>
    <n v="53.991399999999999"/>
    <n v="1"/>
  </r>
  <r>
    <s v="Brand ABC TDM"/>
    <x v="2"/>
    <x v="1"/>
    <s v="Leggings"/>
    <s v="B2A8F-NBY8"/>
    <s v="Everyday"/>
    <s v="XXS"/>
    <x v="1"/>
    <d v="2024-11-29T00:00:00"/>
    <d v="2024-11-29T00:00:00"/>
    <n v="0"/>
    <n v="0"/>
    <n v="0"/>
    <n v="2"/>
    <n v="107.9828"/>
    <n v="2"/>
  </r>
  <r>
    <s v="Brand ABC TDM"/>
    <x v="2"/>
    <x v="1"/>
    <s v="Leggings"/>
    <s v="B2A8F-UBCY"/>
    <s v="Everyday"/>
    <s v="L"/>
    <x v="2"/>
    <d v="2024-12-07T00:00:00"/>
    <d v="2024-12-20T00:00:00"/>
    <n v="0"/>
    <n v="0"/>
    <n v="0"/>
    <n v="6"/>
    <n v="323.94839999999999"/>
    <n v="6"/>
  </r>
  <r>
    <s v="Brand ABC TDM"/>
    <x v="2"/>
    <x v="1"/>
    <s v="Leggings"/>
    <s v="B2A8F-UBCY"/>
    <s v="Everyday"/>
    <s v="M"/>
    <x v="2"/>
    <d v="2024-12-07T00:00:00"/>
    <d v="2024-12-20T00:00:00"/>
    <n v="3"/>
    <n v="161.9742"/>
    <n v="434.56"/>
    <n v="5"/>
    <n v="269.95699999999999"/>
    <n v="8"/>
  </r>
  <r>
    <s v="Brand ABC TDM"/>
    <x v="2"/>
    <x v="1"/>
    <s v="Leggings"/>
    <s v="B2A8F-UBCY"/>
    <s v="Everyday"/>
    <s v="S"/>
    <x v="2"/>
    <d v="2024-12-07T00:00:00"/>
    <d v="2024-12-21T00:00:00"/>
    <n v="5"/>
    <n v="269.95699999999999"/>
    <n v="740.4"/>
    <n v="4"/>
    <n v="215.96559999999999"/>
    <n v="9"/>
  </r>
  <r>
    <s v="Brand ABC TDM"/>
    <x v="2"/>
    <x v="1"/>
    <s v="Leggings"/>
    <s v="B2A8F-UBCY"/>
    <s v="Everyday"/>
    <s v="XS"/>
    <x v="2"/>
    <d v="2024-12-07T00:00:00"/>
    <d v="2024-12-17T00:00:00"/>
    <n v="3"/>
    <n v="161.9742"/>
    <n v="434.56"/>
    <n v="2"/>
    <n v="107.9828"/>
    <n v="5"/>
  </r>
  <r>
    <s v="Brand ABC TDM"/>
    <x v="2"/>
    <x v="1"/>
    <s v="Leggings"/>
    <s v="B5A8B-BCNC"/>
    <s v="Adapt Camo"/>
    <s v="L"/>
    <x v="1"/>
    <d v="2024-10-11T00:00:00"/>
    <d v="2024-12-04T00:00:00"/>
    <n v="1"/>
    <n v="85.551100000000005"/>
    <n v="230.57"/>
    <n v="0"/>
    <n v="0"/>
    <n v="1"/>
  </r>
  <r>
    <s v="Brand ABC TDM"/>
    <x v="2"/>
    <x v="1"/>
    <s v="Leggings"/>
    <s v="B5A8B-BCNC"/>
    <s v="Adapt Camo"/>
    <s v="M"/>
    <x v="1"/>
    <d v="2024-10-11T00:00:00"/>
    <d v="2024-12-03T00:00:00"/>
    <n v="2"/>
    <n v="171.73769999999999"/>
    <n v="461.14"/>
    <n v="0"/>
    <n v="0"/>
    <n v="2"/>
  </r>
  <r>
    <s v="Brand ABC TDM"/>
    <x v="2"/>
    <x v="1"/>
    <s v="Leggings"/>
    <s v="B5A8B-BCNC"/>
    <s v="Adapt Camo"/>
    <s v="S"/>
    <x v="1"/>
    <d v="2024-10-11T00:00:00"/>
    <d v="2024-11-30T00:00:00"/>
    <n v="5"/>
    <n v="435.48340000000002"/>
    <n v="1088.8"/>
    <n v="0"/>
    <n v="0"/>
    <n v="5"/>
  </r>
  <r>
    <s v="Brand ABC TDM"/>
    <x v="2"/>
    <x v="1"/>
    <s v="Leggings"/>
    <s v="B5A8B-BCNC"/>
    <s v="Adapt Camo"/>
    <s v="XS"/>
    <x v="1"/>
    <d v="2024-10-28T00:00:00"/>
    <d v="2024-12-04T00:00:00"/>
    <n v="2"/>
    <n v="171.10220000000001"/>
    <n v="435.52"/>
    <n v="0"/>
    <n v="0"/>
    <n v="2"/>
  </r>
  <r>
    <s v="Brand ABC TDM"/>
    <x v="2"/>
    <x v="1"/>
    <s v="Leggings"/>
    <s v="B5A8B-ECJ8"/>
    <s v="Adapt Camo"/>
    <s v="M"/>
    <x v="3"/>
    <d v="2024-11-21T00:00:00"/>
    <d v="2024-12-06T00:00:00"/>
    <n v="3"/>
    <n v="258.5908"/>
    <n v="717.33"/>
    <n v="0"/>
    <n v="0"/>
    <n v="3"/>
  </r>
  <r>
    <s v="Brand ABC TDM"/>
    <x v="2"/>
    <x v="1"/>
    <s v="Leggings"/>
    <s v="B5A8B-ECJ8"/>
    <s v="Adapt Camo"/>
    <s v="S"/>
    <x v="3"/>
    <d v="2024-11-21T00:00:00"/>
    <d v="2024-12-04T00:00:00"/>
    <n v="6"/>
    <n v="523.12649999999996"/>
    <n v="1319.36"/>
    <n v="0"/>
    <n v="0"/>
    <n v="6"/>
  </r>
  <r>
    <s v="Brand ABC TDM"/>
    <x v="2"/>
    <x v="1"/>
    <s v="Leggings"/>
    <s v="B5A8B-ECJ8"/>
    <s v="Adapt Camo"/>
    <s v="XS"/>
    <x v="3"/>
    <d v="2024-11-21T00:00:00"/>
    <d v="2024-12-04T00:00:00"/>
    <n v="3"/>
    <n v="260.73050000000001"/>
    <n v="691.71"/>
    <n v="0"/>
    <n v="0"/>
    <n v="3"/>
  </r>
  <r>
    <s v="Brand ABC TDM"/>
    <x v="2"/>
    <x v="1"/>
    <s v="Leggings"/>
    <s v="B5A8B-UCDW"/>
    <s v="Adapt Camo"/>
    <s v="L"/>
    <x v="0"/>
    <d v="2024-10-28T00:00:00"/>
    <d v="2024-12-04T00:00:00"/>
    <n v="3"/>
    <n v="256.6533"/>
    <n v="691.72"/>
    <n v="0"/>
    <n v="0"/>
    <n v="3"/>
  </r>
  <r>
    <s v="Brand ABC TDM"/>
    <x v="2"/>
    <x v="1"/>
    <s v="Leggings"/>
    <s v="B5A8B-UCDW"/>
    <s v="Adapt Camo"/>
    <s v="M"/>
    <x v="0"/>
    <d v="2024-10-28T00:00:00"/>
    <d v="2024-12-04T00:00:00"/>
    <n v="5"/>
    <n v="433.02120000000002"/>
    <n v="1152.8599999999999"/>
    <n v="1"/>
    <n v="88.054299999999998"/>
    <n v="6"/>
  </r>
  <r>
    <s v="Brand ABC TDM"/>
    <x v="2"/>
    <x v="1"/>
    <s v="Leggings"/>
    <s v="B5A8B-UCDW"/>
    <s v="Adapt Camo"/>
    <s v="S"/>
    <x v="0"/>
    <d v="2024-10-28T00:00:00"/>
    <d v="2024-12-04T00:00:00"/>
    <n v="7"/>
    <n v="610.95830000000001"/>
    <n v="1549.96"/>
    <n v="0"/>
    <n v="0"/>
    <n v="7"/>
  </r>
  <r>
    <s v="Brand ABC TDM"/>
    <x v="2"/>
    <x v="1"/>
    <s v="Leggings"/>
    <s v="B5A8B-UCDW"/>
    <s v="Adapt Camo"/>
    <s v="XS"/>
    <x v="0"/>
    <d v="2024-10-28T00:00:00"/>
    <d v="2024-12-09T00:00:00"/>
    <n v="3"/>
    <n v="256.6533"/>
    <n v="691.71"/>
    <n v="0"/>
    <n v="0"/>
    <n v="3"/>
  </r>
  <r>
    <s v="Brand ABC TDM"/>
    <x v="2"/>
    <x v="1"/>
    <s v="Leggings"/>
    <s v="B7A3L-BB2J"/>
    <s v="Everyday Seamless"/>
    <s v="L"/>
    <x v="0"/>
    <d v="2024-10-26T00:00:00"/>
    <d v="2024-12-20T00:00:00"/>
    <n v="17"/>
    <n v="1028.3514"/>
    <n v="2708.95"/>
    <n v="13"/>
    <n v="804.00450000000001"/>
    <n v="30"/>
  </r>
  <r>
    <s v="Brand ABC TDM"/>
    <x v="2"/>
    <x v="1"/>
    <s v="Leggings"/>
    <s v="B7A3L-BB2J"/>
    <s v="Everyday Seamless"/>
    <s v="M"/>
    <x v="0"/>
    <d v="2024-10-25T00:00:00"/>
    <d v="2024-12-21T00:00:00"/>
    <n v="57"/>
    <n v="3466.5099"/>
    <n v="9180"/>
    <n v="18"/>
    <n v="1127.0124000000001"/>
    <n v="75"/>
  </r>
  <r>
    <s v="Brand ABC TDM"/>
    <x v="2"/>
    <x v="1"/>
    <s v="Leggings"/>
    <s v="B7A3L-BB2J"/>
    <s v="Everyday Seamless"/>
    <s v="S"/>
    <x v="0"/>
    <d v="2024-10-25T00:00:00"/>
    <d v="2024-12-21T00:00:00"/>
    <n v="69"/>
    <n v="4235.8267999999998"/>
    <n v="11250"/>
    <n v="7"/>
    <n v="440.85649999999998"/>
    <n v="76"/>
  </r>
  <r>
    <s v="Brand ABC TDM"/>
    <x v="2"/>
    <x v="1"/>
    <s v="Leggings"/>
    <s v="B7A3L-BB2J"/>
    <s v="Everyday Seamless"/>
    <s v="XL"/>
    <x v="0"/>
    <d v="2024-10-25T00:00:00"/>
    <d v="2024-12-09T00:00:00"/>
    <n v="6"/>
    <n v="359.33879999999999"/>
    <n v="972"/>
    <n v="6"/>
    <n v="368.68200000000002"/>
    <n v="12"/>
  </r>
  <r>
    <s v="Brand ABC TDM"/>
    <x v="2"/>
    <x v="1"/>
    <s v="Leggings"/>
    <s v="B7A3L-BB2J"/>
    <s v="Everyday Seamless"/>
    <s v="XS"/>
    <x v="0"/>
    <d v="2024-10-26T00:00:00"/>
    <d v="2024-12-21T00:00:00"/>
    <n v="37"/>
    <n v="2272.0675999999999"/>
    <n v="6066"/>
    <n v="5"/>
    <n v="314.93400000000003"/>
    <n v="42"/>
  </r>
  <r>
    <s v="Brand ABC TDM"/>
    <x v="2"/>
    <x v="1"/>
    <s v="Leggings"/>
    <s v="B7A3L-ECJH"/>
    <s v="Everyday Seamless"/>
    <s v="L"/>
    <x v="2"/>
    <d v="2024-10-26T00:00:00"/>
    <d v="2024-12-18T00:00:00"/>
    <n v="0"/>
    <n v="0"/>
    <n v="0"/>
    <n v="10"/>
    <n v="604.81500000000005"/>
    <n v="10"/>
  </r>
  <r>
    <s v="Brand ABC TDM"/>
    <x v="2"/>
    <x v="1"/>
    <s v="Leggings"/>
    <s v="B7A3L-ECJH"/>
    <s v="Everyday Seamless"/>
    <s v="M"/>
    <x v="2"/>
    <d v="2024-10-25T00:00:00"/>
    <d v="2024-12-06T00:00:00"/>
    <n v="0"/>
    <n v="0"/>
    <n v="0"/>
    <n v="13"/>
    <n v="800.39959999999996"/>
    <n v="13"/>
  </r>
  <r>
    <s v="Brand ABC TDM"/>
    <x v="2"/>
    <x v="1"/>
    <s v="Leggings"/>
    <s v="B7A3L-ECJH"/>
    <s v="Everyday Seamless"/>
    <s v="XS"/>
    <x v="2"/>
    <d v="2024-10-25T00:00:00"/>
    <d v="2024-12-10T00:00:00"/>
    <n v="0"/>
    <n v="0"/>
    <n v="0"/>
    <n v="5"/>
    <n v="309.91800000000001"/>
    <n v="5"/>
  </r>
  <r>
    <s v="Brand ABC TDM"/>
    <x v="2"/>
    <x v="1"/>
    <s v="Leggings"/>
    <s v="B7A3L-RBQV"/>
    <s v="Everyday Seamless"/>
    <s v="L"/>
    <x v="0"/>
    <d v="2024-10-26T00:00:00"/>
    <d v="2024-11-19T00:00:00"/>
    <n v="2"/>
    <n v="119.7796"/>
    <n v="324"/>
    <n v="9"/>
    <n v="539.00819999999999"/>
    <n v="11"/>
  </r>
  <r>
    <s v="Brand ABC TDM"/>
    <x v="2"/>
    <x v="1"/>
    <s v="Leggings"/>
    <s v="B7A3L-RBQV"/>
    <s v="Everyday Seamless"/>
    <s v="M"/>
    <x v="0"/>
    <d v="2024-10-26T00:00:00"/>
    <d v="2024-12-16T00:00:00"/>
    <n v="14"/>
    <n v="838.80319999999995"/>
    <n v="2196"/>
    <n v="9"/>
    <n v="544.89059999999995"/>
    <n v="23"/>
  </r>
  <r>
    <s v="Brand ABC TDM"/>
    <x v="2"/>
    <x v="1"/>
    <s v="Leggings"/>
    <s v="B7A3L-RBQV"/>
    <s v="Everyday Seamless"/>
    <s v="S"/>
    <x v="0"/>
    <d v="2024-10-25T00:00:00"/>
    <d v="2024-12-17T00:00:00"/>
    <n v="24"/>
    <n v="1461.2556999999999"/>
    <n v="3942"/>
    <n v="3"/>
    <n v="186.91079999999999"/>
    <n v="27"/>
  </r>
  <r>
    <s v="Brand ABC TDM"/>
    <x v="2"/>
    <x v="1"/>
    <s v="Leggings"/>
    <s v="B7A3L-RBQV"/>
    <s v="Everyday Seamless"/>
    <s v="XL"/>
    <x v="0"/>
    <d v="2024-10-26T00:00:00"/>
    <d v="2024-12-09T00:00:00"/>
    <n v="1"/>
    <n v="59.889800000000001"/>
    <n v="162"/>
    <n v="4"/>
    <n v="245.78800000000001"/>
    <n v="5"/>
  </r>
  <r>
    <s v="Brand ABC TDM"/>
    <x v="2"/>
    <x v="1"/>
    <s v="Leggings"/>
    <s v="B7A3L-RBQV"/>
    <s v="Everyday Seamless"/>
    <s v="XS"/>
    <x v="0"/>
    <d v="2024-10-25T00:00:00"/>
    <d v="2024-12-17T00:00:00"/>
    <n v="14"/>
    <n v="849.27859999999998"/>
    <n v="2286"/>
    <n v="3"/>
    <n v="187.53450000000001"/>
    <n v="17"/>
  </r>
  <r>
    <s v="Brand ABC TDM"/>
    <x v="2"/>
    <x v="1"/>
    <s v="Leggings"/>
    <s v="B7A3L-UB9P"/>
    <s v="Everyday Seamless"/>
    <s v="L"/>
    <x v="0"/>
    <d v="2024-10-26T00:00:00"/>
    <d v="2024-12-10T00:00:00"/>
    <n v="7"/>
    <n v="423.3381"/>
    <n v="1116"/>
    <n v="10"/>
    <n v="613.51300000000003"/>
    <n v="17"/>
  </r>
  <r>
    <s v="Brand ABC TDM"/>
    <x v="2"/>
    <x v="1"/>
    <s v="Leggings"/>
    <s v="B7A3L-UB9P"/>
    <s v="Everyday Seamless"/>
    <s v="M"/>
    <x v="0"/>
    <d v="2024-10-26T00:00:00"/>
    <d v="2024-12-10T00:00:00"/>
    <n v="21"/>
    <n v="1269.8068000000001"/>
    <n v="3402"/>
    <n v="13"/>
    <n v="804.10979999999995"/>
    <n v="34"/>
  </r>
  <r>
    <s v="Brand ABC TDM"/>
    <x v="2"/>
    <x v="1"/>
    <s v="Leggings"/>
    <s v="B7A3L-UB9P"/>
    <s v="Everyday Seamless"/>
    <s v="S"/>
    <x v="0"/>
    <d v="2024-10-26T00:00:00"/>
    <d v="2024-12-10T00:00:00"/>
    <n v="28"/>
    <n v="1697.0778"/>
    <n v="4572"/>
    <n v="9"/>
    <n v="563.50890000000004"/>
    <n v="37"/>
  </r>
  <r>
    <s v="Brand ABC TDM"/>
    <x v="2"/>
    <x v="1"/>
    <s v="Leggings"/>
    <s v="B7A3L-UB9P"/>
    <s v="Everyday Seamless"/>
    <s v="XL"/>
    <x v="0"/>
    <d v="2024-10-26T00:00:00"/>
    <d v="2024-12-10T00:00:00"/>
    <n v="2"/>
    <n v="121.3368"/>
    <n v="324"/>
    <n v="4"/>
    <n v="247.34520000000001"/>
    <n v="6"/>
  </r>
  <r>
    <s v="Brand ABC TDM"/>
    <x v="2"/>
    <x v="1"/>
    <s v="Leggings"/>
    <s v="B7A3L-UB9P"/>
    <s v="Everyday Seamless"/>
    <s v="XS"/>
    <x v="0"/>
    <d v="2024-10-25T00:00:00"/>
    <d v="2024-12-19T00:00:00"/>
    <n v="16"/>
    <n v="975.72230000000002"/>
    <n v="2610"/>
    <n v="5"/>
    <n v="313.10750000000002"/>
    <n v="21"/>
  </r>
  <r>
    <s v="Brand ABC TDM"/>
    <x v="2"/>
    <x v="1"/>
    <s v="Leggings"/>
    <s v="B7A4E-BB2J"/>
    <s v="Legacy"/>
    <s v="L"/>
    <x v="0"/>
    <d v="2024-10-28T00:00:00"/>
    <d v="2024-12-17T00:00:00"/>
    <n v="14"/>
    <n v="988.66520000000003"/>
    <n v="2648.86"/>
    <n v="4"/>
    <n v="287.03120000000001"/>
    <n v="18"/>
  </r>
  <r>
    <s v="Brand ABC TDM"/>
    <x v="2"/>
    <x v="1"/>
    <s v="Leggings"/>
    <s v="B7A4E-BB2J"/>
    <s v="Legacy"/>
    <s v="M"/>
    <x v="0"/>
    <d v="2024-10-28T00:00:00"/>
    <d v="2024-12-18T00:00:00"/>
    <n v="25"/>
    <n v="1776.6188999999999"/>
    <n v="4713.7"/>
    <n v="7"/>
    <n v="504.3451"/>
    <n v="32"/>
  </r>
  <r>
    <s v="Brand ABC TDM"/>
    <x v="2"/>
    <x v="1"/>
    <s v="Leggings"/>
    <s v="B7A4E-BB2J"/>
    <s v="Legacy"/>
    <s v="S"/>
    <x v="0"/>
    <d v="2024-10-28T00:00:00"/>
    <d v="2024-12-16T00:00:00"/>
    <n v="30"/>
    <n v="2143.9695000000002"/>
    <n v="5589.69"/>
    <n v="2"/>
    <n v="144.11859999999999"/>
    <n v="32"/>
  </r>
  <r>
    <s v="Brand ABC TDM"/>
    <x v="2"/>
    <x v="1"/>
    <s v="Leggings"/>
    <s v="B7A4E-BB2J"/>
    <s v="Legacy"/>
    <s v="XS"/>
    <x v="0"/>
    <d v="2024-10-28T00:00:00"/>
    <d v="2024-12-13T00:00:00"/>
    <n v="7"/>
    <n v="492.14640000000003"/>
    <n v="1334.86"/>
    <n v="1"/>
    <n v="71.795500000000004"/>
    <n v="8"/>
  </r>
  <r>
    <s v="Brand ABC TDM"/>
    <x v="2"/>
    <x v="1"/>
    <s v="Leggings"/>
    <s v="B7A4E-ECJF"/>
    <s v="Legacy"/>
    <s v="L"/>
    <x v="0"/>
    <d v="2024-12-07T00:00:00"/>
    <d v="2024-12-07T00:00:00"/>
    <n v="0"/>
    <n v="0"/>
    <n v="0"/>
    <n v="6"/>
    <n v="432.35579999999999"/>
    <n v="6"/>
  </r>
  <r>
    <s v="Brand ABC TDM"/>
    <x v="2"/>
    <x v="1"/>
    <s v="Leggings"/>
    <s v="B7A4E-ECJF"/>
    <s v="Legacy"/>
    <s v="M"/>
    <x v="0"/>
    <d v="2024-12-07T00:00:00"/>
    <d v="2024-12-17T00:00:00"/>
    <n v="4"/>
    <n v="288.23719999999997"/>
    <n v="771.72"/>
    <n v="6"/>
    <n v="432.35579999999999"/>
    <n v="10"/>
  </r>
  <r>
    <s v="Brand ABC TDM"/>
    <x v="2"/>
    <x v="1"/>
    <s v="Leggings"/>
    <s v="B7A4E-ECJF"/>
    <s v="Legacy"/>
    <s v="S"/>
    <x v="0"/>
    <d v="2024-12-07T00:00:00"/>
    <d v="2024-12-16T00:00:00"/>
    <n v="7"/>
    <n v="504.4151"/>
    <n v="1355.69"/>
    <n v="4"/>
    <n v="288.23719999999997"/>
    <n v="11"/>
  </r>
  <r>
    <s v="Brand ABC TDM"/>
    <x v="2"/>
    <x v="1"/>
    <s v="Leggings"/>
    <s v="B7A4E-ECJF"/>
    <s v="Legacy"/>
    <s v="XL"/>
    <x v="0"/>
    <d v="2024-12-07T00:00:00"/>
    <d v="2024-12-07T00:00:00"/>
    <n v="0"/>
    <n v="0"/>
    <n v="0"/>
    <n v="2"/>
    <n v="144.11879999999999"/>
    <n v="2"/>
  </r>
  <r>
    <s v="Brand ABC TDM"/>
    <x v="2"/>
    <x v="1"/>
    <s v="Leggings"/>
    <s v="B7A7H-BB2J"/>
    <s v="Everyday"/>
    <s v="L"/>
    <x v="0"/>
    <d v="2024-10-26T00:00:00"/>
    <d v="2024-12-16T00:00:00"/>
    <n v="11"/>
    <n v="671.96090000000004"/>
    <n v="1782"/>
    <n v="8"/>
    <n v="498.34399999999999"/>
    <n v="19"/>
  </r>
  <r>
    <s v="Brand ABC TDM"/>
    <x v="2"/>
    <x v="1"/>
    <s v="Leggings"/>
    <s v="B7A7H-BB2J"/>
    <s v="Everyday"/>
    <s v="M"/>
    <x v="0"/>
    <d v="2024-10-26T00:00:00"/>
    <d v="2024-12-18T00:00:00"/>
    <n v="19"/>
    <n v="1160.6946"/>
    <n v="3060"/>
    <n v="10"/>
    <n v="624.82899999999995"/>
    <n v="29"/>
  </r>
  <r>
    <s v="Brand ABC TDM"/>
    <x v="2"/>
    <x v="1"/>
    <s v="Leggings"/>
    <s v="B7A7H-BB2J"/>
    <s v="Everyday"/>
    <s v="S"/>
    <x v="0"/>
    <d v="2024-10-26T00:00:00"/>
    <d v="2024-12-19T00:00:00"/>
    <n v="11"/>
    <n v="672.93899999999996"/>
    <n v="1782"/>
    <n v="7"/>
    <n v="437.36700000000002"/>
    <n v="18"/>
  </r>
  <r>
    <s v="Brand ABC TDM"/>
    <x v="2"/>
    <x v="1"/>
    <s v="Leggings"/>
    <s v="B7A7H-BB2J"/>
    <s v="Everyday"/>
    <s v="XL"/>
    <x v="0"/>
    <d v="2024-10-25T00:00:00"/>
    <d v="2024-12-16T00:00:00"/>
    <n v="2"/>
    <n v="119.87050000000001"/>
    <n v="324"/>
    <n v="4"/>
    <n v="242.91"/>
    <n v="6"/>
  </r>
  <r>
    <s v="Brand ABC TDM"/>
    <x v="2"/>
    <x v="1"/>
    <s v="Leggings"/>
    <s v="B7A7H-BB2J"/>
    <s v="Everyday"/>
    <s v="XS"/>
    <x v="0"/>
    <d v="2024-10-25T00:00:00"/>
    <d v="2024-11-30T00:00:00"/>
    <n v="7"/>
    <n v="426.53739999999999"/>
    <n v="1152"/>
    <n v="5"/>
    <n v="311.65899999999999"/>
    <n v="12"/>
  </r>
  <r>
    <s v="Brand ABC TDM"/>
    <x v="2"/>
    <x v="1"/>
    <s v="Leggings"/>
    <s v="B7A7H-UB9P"/>
    <s v="Everyday"/>
    <s v="L"/>
    <x v="0"/>
    <d v="2024-11-12T00:00:00"/>
    <d v="2024-12-06T00:00:00"/>
    <n v="2"/>
    <n v="120.461"/>
    <n v="324"/>
    <n v="6"/>
    <n v="365.541"/>
    <n v="8"/>
  </r>
  <r>
    <s v="Brand ABC TDM"/>
    <x v="2"/>
    <x v="1"/>
    <s v="Leggings"/>
    <s v="B7A7H-UB9P"/>
    <s v="Everyday"/>
    <s v="M"/>
    <x v="0"/>
    <d v="2024-11-12T00:00:00"/>
    <d v="2024-12-06T00:00:00"/>
    <n v="4"/>
    <n v="241.1532"/>
    <n v="648"/>
    <n v="7"/>
    <n v="427.87290000000002"/>
    <n v="11"/>
  </r>
  <r>
    <s v="Brand ABC TDM"/>
    <x v="2"/>
    <x v="1"/>
    <s v="Leggings"/>
    <s v="B7A7H-UB9P"/>
    <s v="Everyday"/>
    <s v="S"/>
    <x v="0"/>
    <d v="2024-11-12T00:00:00"/>
    <d v="2024-12-17T00:00:00"/>
    <n v="3"/>
    <n v="181.155"/>
    <n v="486"/>
    <n v="5"/>
    <n v="307.95400000000001"/>
    <n v="8"/>
  </r>
  <r>
    <s v="Brand ABC TDM"/>
    <x v="2"/>
    <x v="1"/>
    <s v="Leggings"/>
    <s v="B7A7H-UB9P"/>
    <s v="Everyday"/>
    <s v="XS"/>
    <x v="0"/>
    <d v="2024-11-12T00:00:00"/>
    <d v="2024-11-26T00:00:00"/>
    <n v="0"/>
    <n v="-1.0395000000000001"/>
    <n v="0"/>
    <n v="4"/>
    <n v="244.03280000000001"/>
    <n v="4"/>
  </r>
  <r>
    <s v="Brand ABC TDM"/>
    <x v="2"/>
    <x v="1"/>
    <s v="Leggings"/>
    <s v="B9A9L-PBVR"/>
    <s v="Vital"/>
    <s v="L"/>
    <x v="1"/>
    <d v="2024-11-08T00:00:00"/>
    <d v="2024-12-13T00:00:00"/>
    <n v="1"/>
    <n v="94.118300000000005"/>
    <n v="256.29000000000002"/>
    <n v="6"/>
    <n v="569.60400000000004"/>
    <n v="7"/>
  </r>
  <r>
    <s v="Brand ABC TDM"/>
    <x v="2"/>
    <x v="1"/>
    <s v="Leggings"/>
    <s v="B9A9L-PBVR"/>
    <s v="Vital"/>
    <s v="M"/>
    <x v="1"/>
    <d v="2024-11-08T00:00:00"/>
    <d v="2024-12-17T00:00:00"/>
    <n v="2"/>
    <n v="188.9358"/>
    <n v="541.04999999999995"/>
    <n v="6"/>
    <n v="568.90499999999997"/>
    <n v="8"/>
  </r>
  <r>
    <s v="Brand ABC TDM"/>
    <x v="2"/>
    <x v="1"/>
    <s v="Leggings"/>
    <s v="B9A9L-PBVR"/>
    <s v="Vital"/>
    <s v="S"/>
    <x v="1"/>
    <d v="2024-11-08T00:00:00"/>
    <d v="2024-12-17T00:00:00"/>
    <n v="6"/>
    <n v="574.30240000000003"/>
    <n v="1623.15"/>
    <n v="2"/>
    <n v="193.32660000000001"/>
    <n v="8"/>
  </r>
  <r>
    <s v="Brand ABC TDM"/>
    <x v="2"/>
    <x v="1"/>
    <s v="Leggings"/>
    <s v="B9A9L-PBVR"/>
    <s v="Vital"/>
    <s v="XS"/>
    <x v="1"/>
    <d v="2024-11-08T00:00:00"/>
    <d v="2024-12-14T00:00:00"/>
    <n v="1"/>
    <n v="94.118300000000005"/>
    <n v="284.76"/>
    <n v="3"/>
    <n v="287.2491"/>
    <n v="4"/>
  </r>
  <r>
    <s v="Brand ABC TDM"/>
    <x v="2"/>
    <x v="1"/>
    <s v="Leggings"/>
    <s v="B9A9L-RBWT"/>
    <s v="Vital"/>
    <s v="L"/>
    <x v="1"/>
    <d v="2024-11-08T00:00:00"/>
    <d v="2024-12-17T00:00:00"/>
    <n v="2"/>
    <n v="189.0523"/>
    <n v="541.04999999999995"/>
    <n v="5"/>
    <n v="474.67"/>
    <n v="7"/>
  </r>
  <r>
    <s v="Brand ABC TDM"/>
    <x v="2"/>
    <x v="1"/>
    <s v="Leggings"/>
    <s v="B9A9L-RBWT"/>
    <s v="Vital"/>
    <s v="M"/>
    <x v="1"/>
    <d v="2024-11-08T00:00:00"/>
    <d v="2024-11-08T00:00:00"/>
    <n v="0"/>
    <n v="0"/>
    <n v="0"/>
    <n v="7"/>
    <n v="658.82809999999995"/>
    <n v="7"/>
  </r>
  <r>
    <s v="Brand ABC TDM"/>
    <x v="2"/>
    <x v="1"/>
    <s v="Leggings"/>
    <s v="B9A9L-RBWT"/>
    <s v="Vital"/>
    <s v="S"/>
    <x v="1"/>
    <d v="2024-11-08T00:00:00"/>
    <d v="2024-12-17T00:00:00"/>
    <n v="5"/>
    <n v="478.10890000000001"/>
    <n v="1309.8800000000001"/>
    <n v="4"/>
    <n v="388.5324"/>
    <n v="9"/>
  </r>
  <r>
    <s v="Brand ABC TDM"/>
    <x v="2"/>
    <x v="1"/>
    <s v="Leggings"/>
    <s v="B9A9L-RBWT"/>
    <s v="Vital"/>
    <s v="XS"/>
    <x v="1"/>
    <d v="2024-11-08T00:00:00"/>
    <d v="2024-12-12T00:00:00"/>
    <n v="2"/>
    <n v="189.86799999999999"/>
    <n v="512.58000000000004"/>
    <n v="3"/>
    <n v="290.51190000000003"/>
    <n v="5"/>
  </r>
  <r>
    <s v="Brand ABC TDM"/>
    <x v="2"/>
    <x v="1"/>
    <s v="Shorts"/>
    <s v="B1A4J-BBF3"/>
    <s v="Vital"/>
    <s v="L"/>
    <x v="0"/>
    <d v="2024-10-26T00:00:00"/>
    <d v="2024-12-04T00:00:00"/>
    <n v="6"/>
    <n v="391.5027"/>
    <n v="1094.76"/>
    <n v="9"/>
    <n v="597.96810000000005"/>
    <n v="15"/>
  </r>
  <r>
    <s v="Brand ABC TDM"/>
    <x v="2"/>
    <x v="1"/>
    <s v="Shorts"/>
    <s v="B1A4J-BBF3"/>
    <s v="Vital"/>
    <s v="M"/>
    <x v="0"/>
    <d v="2024-10-25T00:00:00"/>
    <d v="2024-12-20T00:00:00"/>
    <n v="27"/>
    <n v="1757.1649"/>
    <n v="4757.24"/>
    <n v="8"/>
    <n v="534.65359999999998"/>
    <n v="35"/>
  </r>
  <r>
    <s v="Brand ABC TDM"/>
    <x v="2"/>
    <x v="1"/>
    <s v="Shorts"/>
    <s v="B1A4J-BBF3"/>
    <s v="Vital"/>
    <s v="S"/>
    <x v="0"/>
    <d v="2024-10-25T00:00:00"/>
    <d v="2024-12-21T00:00:00"/>
    <n v="37"/>
    <n v="2463.5889999999999"/>
    <n v="6628.27"/>
    <n v="6"/>
    <n v="410.0136"/>
    <n v="43"/>
  </r>
  <r>
    <s v="Brand ABC TDM"/>
    <x v="2"/>
    <x v="1"/>
    <s v="Shorts"/>
    <s v="B1A4J-BBF3"/>
    <s v="Vital"/>
    <s v="XL"/>
    <x v="0"/>
    <d v="2024-10-26T00:00:00"/>
    <d v="2024-12-21T00:00:00"/>
    <n v="2"/>
    <n v="130.125"/>
    <n v="358.28"/>
    <n v="3"/>
    <n v="198.57089999999999"/>
    <n v="5"/>
  </r>
  <r>
    <s v="Brand ABC TDM"/>
    <x v="2"/>
    <x v="1"/>
    <s v="Shorts"/>
    <s v="B1A4J-BBF3"/>
    <s v="Vital"/>
    <s v="XS"/>
    <x v="0"/>
    <d v="2024-10-26T00:00:00"/>
    <d v="2024-12-20T00:00:00"/>
    <n v="16"/>
    <n v="1056.5172"/>
    <n v="2906.09"/>
    <n v="5"/>
    <n v="339.43299999999999"/>
    <n v="21"/>
  </r>
  <r>
    <s v="Brand ABC TDM"/>
    <x v="2"/>
    <x v="1"/>
    <s v="Shorts"/>
    <s v="B1A4J-EBTF"/>
    <s v="Vital"/>
    <s v="L"/>
    <x v="0"/>
    <d v="2024-05-20T00:00:00"/>
    <d v="2024-11-13T00:00:00"/>
    <n v="1"/>
    <n v="65.0625"/>
    <n v="179.14"/>
    <n v="5"/>
    <n v="325.3125"/>
    <n v="6"/>
  </r>
  <r>
    <s v="Brand ABC TDM"/>
    <x v="2"/>
    <x v="1"/>
    <s v="Shorts"/>
    <s v="B1A4J-EBTF"/>
    <s v="Vital"/>
    <s v="M"/>
    <x v="0"/>
    <d v="2024-05-20T00:00:00"/>
    <d v="2024-11-13T00:00:00"/>
    <n v="12"/>
    <n v="780.75"/>
    <n v="2169.62"/>
    <n v="1"/>
    <n v="65.0625"/>
    <n v="13"/>
  </r>
  <r>
    <s v="Brand ABC TDM"/>
    <x v="2"/>
    <x v="1"/>
    <s v="Shorts"/>
    <s v="B1A4J-EBTF"/>
    <s v="Vital"/>
    <s v="S"/>
    <x v="0"/>
    <d v="2024-05-20T00:00:00"/>
    <d v="2024-12-19T00:00:00"/>
    <n v="19"/>
    <n v="1245.636"/>
    <n v="3403.71"/>
    <n v="8"/>
    <n v="547.25760000000002"/>
    <n v="27"/>
  </r>
  <r>
    <s v="Brand ABC TDM"/>
    <x v="2"/>
    <x v="1"/>
    <s v="Shorts"/>
    <s v="B1A4J-EBTF"/>
    <s v="Vital"/>
    <s v="XL"/>
    <x v="0"/>
    <d v="2024-05-20T00:00:00"/>
    <d v="2024-10-26T00:00:00"/>
    <n v="0"/>
    <n v="0"/>
    <n v="0"/>
    <n v="2"/>
    <n v="130.125"/>
    <n v="2"/>
  </r>
  <r>
    <s v="Brand ABC TDM"/>
    <x v="2"/>
    <x v="1"/>
    <s v="Shorts"/>
    <s v="B1A4J-EBTF"/>
    <s v="Vital"/>
    <s v="XS"/>
    <x v="0"/>
    <d v="2024-05-20T00:00:00"/>
    <d v="2024-12-19T00:00:00"/>
    <n v="6"/>
    <n v="393.06040000000002"/>
    <n v="1114.68"/>
    <n v="8"/>
    <n v="544.36879999999996"/>
    <n v="14"/>
  </r>
  <r>
    <s v="Brand ABC TDM"/>
    <x v="2"/>
    <x v="1"/>
    <s v="Shorts"/>
    <s v="B1A4J-KB0W"/>
    <s v="Vital"/>
    <s v="S"/>
    <x v="0"/>
    <d v="2024-11-25T00:00:00"/>
    <d v="2024-11-25T00:00:00"/>
    <n v="0"/>
    <n v="0"/>
    <n v="0"/>
    <n v="2"/>
    <n v="136.89160000000001"/>
    <n v="2"/>
  </r>
  <r>
    <s v="Brand ABC TDM"/>
    <x v="2"/>
    <x v="1"/>
    <s v="Shorts"/>
    <s v="B1A4J-KB80"/>
    <s v="Vital"/>
    <s v="L"/>
    <x v="1"/>
    <d v="2024-10-28T00:00:00"/>
    <d v="2024-12-03T00:00:00"/>
    <n v="1"/>
    <n v="65.022000000000006"/>
    <n v="179.15"/>
    <n v="5"/>
    <n v="328.49099999999999"/>
    <n v="6"/>
  </r>
  <r>
    <s v="Brand ABC TDM"/>
    <x v="2"/>
    <x v="1"/>
    <s v="Shorts"/>
    <s v="B1A4J-KB80"/>
    <s v="Vital"/>
    <s v="M"/>
    <x v="1"/>
    <d v="2024-10-28T00:00:00"/>
    <d v="2024-12-04T00:00:00"/>
    <n v="1"/>
    <n v="65.022000000000006"/>
    <n v="179.14"/>
    <n v="5"/>
    <n v="328.49099999999999"/>
    <n v="6"/>
  </r>
  <r>
    <s v="Brand ABC TDM"/>
    <x v="2"/>
    <x v="1"/>
    <s v="Shorts"/>
    <s v="B1A4J-KB80"/>
    <s v="Vital"/>
    <s v="S"/>
    <x v="1"/>
    <d v="2024-10-28T00:00:00"/>
    <d v="2024-12-17T00:00:00"/>
    <n v="4"/>
    <n v="264.36739999999998"/>
    <n v="736.48"/>
    <n v="4"/>
    <n v="269.33359999999999"/>
    <n v="8"/>
  </r>
  <r>
    <s v="Brand ABC TDM"/>
    <x v="2"/>
    <x v="1"/>
    <s v="Shorts"/>
    <s v="B1A4J-KB80"/>
    <s v="Vital"/>
    <s v="XS"/>
    <x v="1"/>
    <d v="2024-10-28T00:00:00"/>
    <d v="2024-12-12T00:00:00"/>
    <n v="2"/>
    <n v="131.17099999999999"/>
    <n v="378.19"/>
    <n v="3"/>
    <n v="200.7012"/>
    <n v="5"/>
  </r>
  <r>
    <s v="Brand ABC TDM"/>
    <x v="2"/>
    <x v="1"/>
    <s v="Shorts"/>
    <s v="B1A4J-UCW6"/>
    <s v="Vital"/>
    <s v="L"/>
    <x v="1"/>
    <d v="2024-11-14T00:00:00"/>
    <d v="2024-11-26T00:00:00"/>
    <n v="2"/>
    <n v="130.72020000000001"/>
    <n v="358.28"/>
    <n v="0"/>
    <n v="0"/>
    <n v="2"/>
  </r>
  <r>
    <s v="Brand ABC TDM"/>
    <x v="2"/>
    <x v="1"/>
    <s v="Shorts"/>
    <s v="B1A4J-UCW6"/>
    <s v="Vital"/>
    <s v="M"/>
    <x v="1"/>
    <d v="2024-11-14T00:00:00"/>
    <d v="2024-11-23T00:00:00"/>
    <n v="3"/>
    <n v="196.03200000000001"/>
    <n v="537.42999999999995"/>
    <n v="0"/>
    <n v="0"/>
    <n v="3"/>
  </r>
  <r>
    <s v="Brand ABC TDM"/>
    <x v="2"/>
    <x v="1"/>
    <s v="Shorts"/>
    <s v="B1A4J-UCW6"/>
    <s v="Vital"/>
    <s v="S"/>
    <x v="1"/>
    <d v="2024-11-14T00:00:00"/>
    <d v="2024-11-22T00:00:00"/>
    <n v="7"/>
    <n v="463.23099999999999"/>
    <n v="1254"/>
    <n v="0"/>
    <n v="0"/>
    <n v="7"/>
  </r>
  <r>
    <s v="Brand ABC TDM"/>
    <x v="2"/>
    <x v="1"/>
    <s v="Shorts"/>
    <s v="B1A4J-UCW6"/>
    <s v="Vital"/>
    <s v="XS"/>
    <x v="1"/>
    <d v="2024-11-14T00:00:00"/>
    <d v="2024-11-26T00:00:00"/>
    <n v="1"/>
    <n v="63.268799999999999"/>
    <n v="179.14"/>
    <n v="0"/>
    <n v="0"/>
    <n v="1"/>
  </r>
  <r>
    <s v="Brand ABC TDM"/>
    <x v="2"/>
    <x v="1"/>
    <s v="Shorts"/>
    <s v="B1B1J-BB2J"/>
    <s v="Linear Seamless"/>
    <s v="L"/>
    <x v="1"/>
    <d v="2024-10-26T00:00:00"/>
    <d v="2024-11-09T00:00:00"/>
    <n v="0"/>
    <n v="0"/>
    <n v="0"/>
    <n v="2"/>
    <n v="119.7796"/>
    <n v="2"/>
  </r>
  <r>
    <s v="Brand ABC TDM"/>
    <x v="2"/>
    <x v="1"/>
    <s v="Shorts"/>
    <s v="B1B1J-BB2J"/>
    <s v="Linear Seamless"/>
    <s v="M"/>
    <x v="1"/>
    <d v="2024-10-26T00:00:00"/>
    <d v="2024-11-30T00:00:00"/>
    <n v="7"/>
    <n v="426.84870000000001"/>
    <n v="1134"/>
    <n v="5"/>
    <n v="315.12349999999998"/>
    <n v="12"/>
  </r>
  <r>
    <s v="Brand ABC TDM"/>
    <x v="2"/>
    <x v="1"/>
    <s v="Shorts"/>
    <s v="B1B1J-BB2J"/>
    <s v="Linear Seamless"/>
    <s v="S"/>
    <x v="1"/>
    <d v="2024-10-26T00:00:00"/>
    <d v="2024-11-26T00:00:00"/>
    <n v="3"/>
    <n v="181.09460000000001"/>
    <n v="486"/>
    <n v="2"/>
    <n v="123.45699999999999"/>
    <n v="5"/>
  </r>
  <r>
    <s v="Brand ABC TDM"/>
    <x v="2"/>
    <x v="1"/>
    <s v="Shorts"/>
    <s v="B1B1J-BB2J"/>
    <s v="Linear Seamless"/>
    <s v="XS"/>
    <x v="1"/>
    <d v="2024-10-26T00:00:00"/>
    <d v="2024-11-25T00:00:00"/>
    <n v="1"/>
    <n v="59.889800000000001"/>
    <n v="162"/>
    <n v="1"/>
    <n v="60.927900000000001"/>
    <n v="2"/>
  </r>
  <r>
    <s v="Brand ABC TDM"/>
    <x v="2"/>
    <x v="1"/>
    <s v="Shorts"/>
    <s v="B6A1L-BCNC"/>
    <s v="Adapt Camo"/>
    <s v="L"/>
    <x v="1"/>
    <d v="2024-10-11T00:00:00"/>
    <d v="2024-11-28T00:00:00"/>
    <n v="1"/>
    <n v="65.022000000000006"/>
    <n v="199.04"/>
    <n v="0"/>
    <n v="0"/>
    <n v="1"/>
  </r>
  <r>
    <s v="Brand ABC TDM"/>
    <x v="2"/>
    <x v="1"/>
    <s v="Shorts"/>
    <s v="B6A1L-BCNC"/>
    <s v="Adapt Camo"/>
    <s v="M"/>
    <x v="1"/>
    <d v="2024-10-11T00:00:00"/>
    <d v="2024-12-12T00:00:00"/>
    <n v="6"/>
    <n v="397.57029999999997"/>
    <n v="1035.04"/>
    <n v="0"/>
    <n v="0"/>
    <n v="6"/>
  </r>
  <r>
    <s v="Brand ABC TDM"/>
    <x v="2"/>
    <x v="1"/>
    <s v="Shorts"/>
    <s v="B6A1L-BCNC"/>
    <s v="Adapt Camo"/>
    <s v="S"/>
    <x v="1"/>
    <d v="2024-10-11T00:00:00"/>
    <d v="2024-12-06T00:00:00"/>
    <n v="7"/>
    <n v="465.29730000000001"/>
    <n v="1253.98"/>
    <n v="0"/>
    <n v="0"/>
    <n v="7"/>
  </r>
  <r>
    <s v="Brand ABC TDM"/>
    <x v="2"/>
    <x v="1"/>
    <s v="Shorts"/>
    <s v="B6A1L-BCNC"/>
    <s v="Adapt Camo"/>
    <s v="XS"/>
    <x v="1"/>
    <d v="2024-10-28T00:00:00"/>
    <d v="2024-12-04T00:00:00"/>
    <n v="2"/>
    <n v="131.17099999999999"/>
    <n v="358.29"/>
    <n v="0"/>
    <n v="0"/>
    <n v="2"/>
  </r>
  <r>
    <s v="Brand ABC TDM"/>
    <x v="2"/>
    <x v="1"/>
    <s v="Shorts"/>
    <s v="B6A1L-ECJ8"/>
    <s v="Adapt Camo"/>
    <s v="L"/>
    <x v="3"/>
    <d v="2024-11-21T00:00:00"/>
    <d v="2024-11-21T00:00:00"/>
    <n v="1"/>
    <n v="65.0625"/>
    <n v="170.57"/>
    <n v="0"/>
    <n v="0"/>
    <n v="1"/>
  </r>
  <r>
    <s v="Brand ABC TDM"/>
    <x v="2"/>
    <x v="1"/>
    <s v="Shorts"/>
    <s v="B6A1L-ECJ8"/>
    <s v="Adapt Camo"/>
    <s v="M"/>
    <x v="3"/>
    <d v="2024-11-21T00:00:00"/>
    <d v="2024-12-11T00:00:00"/>
    <n v="3"/>
    <n v="193.99770000000001"/>
    <n v="511.71"/>
    <n v="6"/>
    <n v="413.31540000000001"/>
    <n v="9"/>
  </r>
  <r>
    <s v="Brand ABC TDM"/>
    <x v="2"/>
    <x v="1"/>
    <s v="Shorts"/>
    <s v="B6A1L-ECJ8"/>
    <s v="Adapt Camo"/>
    <s v="S"/>
    <x v="3"/>
    <d v="2024-11-21T00:00:00"/>
    <d v="2024-12-14T00:00:00"/>
    <n v="6"/>
    <n v="395.78820000000002"/>
    <n v="1004.49"/>
    <n v="1"/>
    <n v="69.157600000000002"/>
    <n v="7"/>
  </r>
  <r>
    <s v="Brand ABC TDM"/>
    <x v="2"/>
    <x v="1"/>
    <s v="Shorts"/>
    <s v="B6A1L-ECJ8"/>
    <s v="Adapt Camo"/>
    <s v="XS"/>
    <x v="3"/>
    <d v="2024-11-21T00:00:00"/>
    <d v="2024-12-11T00:00:00"/>
    <n v="2"/>
    <n v="131.25280000000001"/>
    <n v="341.14"/>
    <n v="3"/>
    <n v="208.3032"/>
    <n v="5"/>
  </r>
  <r>
    <s v="Brand ABC TDM"/>
    <x v="2"/>
    <x v="1"/>
    <s v="Shorts"/>
    <s v="B6A8M-BB2J"/>
    <s v="Everyday Seamless"/>
    <s v="L"/>
    <x v="0"/>
    <d v="2024-10-26T00:00:00"/>
    <d v="2024-11-09T00:00:00"/>
    <n v="3"/>
    <n v="153.96780000000001"/>
    <n v="450.66"/>
    <n v="7"/>
    <n v="359.25819999999999"/>
    <n v="10"/>
  </r>
  <r>
    <s v="Brand ABC TDM"/>
    <x v="2"/>
    <x v="1"/>
    <s v="Shorts"/>
    <s v="B6A8M-BB2J"/>
    <s v="Everyday Seamless"/>
    <s v="M"/>
    <x v="0"/>
    <d v="2024-10-26T00:00:00"/>
    <d v="2024-12-17T00:00:00"/>
    <n v="21"/>
    <n v="1100.607"/>
    <n v="2993.74"/>
    <n v="4"/>
    <n v="214.48480000000001"/>
    <n v="25"/>
  </r>
  <r>
    <s v="Brand ABC TDM"/>
    <x v="2"/>
    <x v="1"/>
    <s v="Shorts"/>
    <s v="B6A8M-BB2J"/>
    <s v="Everyday Seamless"/>
    <s v="S"/>
    <x v="0"/>
    <d v="2024-10-26T00:00:00"/>
    <d v="2024-12-12T00:00:00"/>
    <n v="16"/>
    <n v="838.20730000000003"/>
    <n v="2317.7199999999998"/>
    <n v="7"/>
    <n v="376.90660000000003"/>
    <n v="23"/>
  </r>
  <r>
    <s v="Brand ABC TDM"/>
    <x v="2"/>
    <x v="1"/>
    <s v="Shorts"/>
    <s v="B6A8M-BB2J"/>
    <s v="Everyday Seamless"/>
    <s v="XL"/>
    <x v="0"/>
    <d v="2024-10-26T00:00:00"/>
    <d v="2024-10-26T00:00:00"/>
    <n v="0"/>
    <n v="0"/>
    <n v="0"/>
    <n v="4"/>
    <n v="205.29040000000001"/>
    <n v="4"/>
  </r>
  <r>
    <s v="Brand ABC TDM"/>
    <x v="2"/>
    <x v="1"/>
    <s v="Shorts"/>
    <s v="B6A8M-BB2J"/>
    <s v="Everyday Seamless"/>
    <s v="XS"/>
    <x v="0"/>
    <d v="2024-10-26T00:00:00"/>
    <d v="2024-12-18T00:00:00"/>
    <n v="14"/>
    <n v="737.18409999999994"/>
    <n v="2028"/>
    <n v="4"/>
    <n v="215.58"/>
    <n v="18"/>
  </r>
  <r>
    <s v="Brand ABC TDM"/>
    <x v="2"/>
    <x v="1"/>
    <s v="Shorts"/>
    <s v="B6A8M-TBNG"/>
    <s v="Everyday Seamless"/>
    <s v="S"/>
    <x v="0"/>
    <d v="2024-11-25T00:00:00"/>
    <d v="2024-11-25T00:00:00"/>
    <n v="0"/>
    <n v="0"/>
    <n v="0"/>
    <n v="2"/>
    <n v="107.9828"/>
    <n v="2"/>
  </r>
  <r>
    <s v="Brand ABC TDM"/>
    <x v="2"/>
    <x v="1"/>
    <s v="Shorts"/>
    <s v="B7A4G-ECJF"/>
    <s v="Legacy"/>
    <s v="L"/>
    <x v="0"/>
    <d v="2024-12-07T00:00:00"/>
    <d v="2024-12-07T00:00:00"/>
    <n v="0"/>
    <n v="0"/>
    <n v="0"/>
    <n v="5"/>
    <n v="315.233"/>
    <n v="5"/>
  </r>
  <r>
    <s v="Brand ABC TDM"/>
    <x v="2"/>
    <x v="1"/>
    <s v="Shorts"/>
    <s v="B7A4G-ECJF"/>
    <s v="Legacy"/>
    <s v="M"/>
    <x v="0"/>
    <d v="2024-12-07T00:00:00"/>
    <d v="2024-12-07T00:00:00"/>
    <n v="2"/>
    <n v="126.0932"/>
    <n v="360"/>
    <n v="1"/>
    <n v="63.046599999999998"/>
    <n v="3"/>
  </r>
  <r>
    <s v="Brand ABC TDM"/>
    <x v="2"/>
    <x v="1"/>
    <s v="Shorts"/>
    <s v="B7A4G-ECJF"/>
    <s v="Legacy"/>
    <s v="S"/>
    <x v="0"/>
    <d v="2024-12-07T00:00:00"/>
    <d v="2024-12-07T00:00:00"/>
    <n v="2"/>
    <n v="126.0932"/>
    <n v="324"/>
    <n v="13"/>
    <n v="819.60580000000004"/>
    <n v="15"/>
  </r>
  <r>
    <s v="Brand ABC TDM"/>
    <x v="2"/>
    <x v="1"/>
    <s v="Shorts"/>
    <s v="B7A4G-ECJF"/>
    <s v="Legacy"/>
    <s v="XL"/>
    <x v="0"/>
    <d v="2024-12-07T00:00:00"/>
    <d v="2024-12-07T00:00:00"/>
    <n v="0"/>
    <n v="0"/>
    <n v="0"/>
    <n v="2"/>
    <n v="126.0932"/>
    <n v="2"/>
  </r>
  <r>
    <s v="Brand ABC TDM"/>
    <x v="2"/>
    <x v="1"/>
    <s v="Shorts"/>
    <s v="B7A4G-ECJF"/>
    <s v="Legacy"/>
    <s v="XS"/>
    <x v="0"/>
    <d v="2024-12-07T00:00:00"/>
    <d v="2024-12-07T00:00:00"/>
    <n v="3"/>
    <n v="189.13980000000001"/>
    <n v="504"/>
    <n v="0"/>
    <n v="0"/>
    <n v="3"/>
  </r>
  <r>
    <s v="Brand ABC TDM"/>
    <x v="2"/>
    <x v="1"/>
    <s v="Shorts"/>
    <s v="B7A4G-PBZR"/>
    <s v="Legacy"/>
    <s v="L"/>
    <x v="1"/>
    <d v="2024-10-28T00:00:00"/>
    <d v="2024-12-09T00:00:00"/>
    <n v="4"/>
    <n v="242.42429999999999"/>
    <n v="648"/>
    <n v="5"/>
    <n v="309.041"/>
    <n v="9"/>
  </r>
  <r>
    <s v="Brand ABC TDM"/>
    <x v="2"/>
    <x v="1"/>
    <s v="Shorts"/>
    <s v="B7A4G-PBZR"/>
    <s v="Legacy"/>
    <s v="M"/>
    <x v="1"/>
    <d v="2024-10-28T00:00:00"/>
    <d v="2024-12-21T00:00:00"/>
    <n v="10"/>
    <n v="616.39639999999997"/>
    <n v="1638"/>
    <n v="4"/>
    <n v="250.86840000000001"/>
    <n v="14"/>
  </r>
  <r>
    <s v="Brand ABC TDM"/>
    <x v="2"/>
    <x v="1"/>
    <s v="Shorts"/>
    <s v="B7A4G-PBZR"/>
    <s v="Legacy"/>
    <s v="S"/>
    <x v="1"/>
    <d v="2024-10-28T00:00:00"/>
    <d v="2024-12-21T00:00:00"/>
    <n v="8"/>
    <n v="492.56110000000001"/>
    <n v="1278"/>
    <n v="4"/>
    <n v="251.03120000000001"/>
    <n v="12"/>
  </r>
  <r>
    <s v="Brand ABC TDM"/>
    <x v="2"/>
    <x v="1"/>
    <s v="Shorts"/>
    <s v="B7A4G-PBZR"/>
    <s v="Legacy"/>
    <s v="XS"/>
    <x v="1"/>
    <d v="2024-10-28T00:00:00"/>
    <d v="2024-12-09T00:00:00"/>
    <n v="4"/>
    <n v="242.67359999999999"/>
    <n v="648"/>
    <n v="3"/>
    <n v="189.01230000000001"/>
    <n v="7"/>
  </r>
  <r>
    <s v="Brand ABC TDM"/>
    <x v="2"/>
    <x v="1"/>
    <s v="Shorts"/>
    <s v="B7A4G-UCTN"/>
    <s v="Legacy"/>
    <s v="L"/>
    <x v="1"/>
    <d v="2024-10-28T00:00:00"/>
    <d v="2024-12-04T00:00:00"/>
    <n v="2"/>
    <n v="119.7796"/>
    <n v="324"/>
    <n v="5"/>
    <n v="305.67750000000001"/>
    <n v="7"/>
  </r>
  <r>
    <s v="Brand ABC TDM"/>
    <x v="2"/>
    <x v="1"/>
    <s v="Shorts"/>
    <s v="B7A4G-UCTN"/>
    <s v="Legacy"/>
    <s v="M"/>
    <x v="1"/>
    <d v="2024-10-28T00:00:00"/>
    <d v="2024-12-21T00:00:00"/>
    <n v="12"/>
    <n v="741.21289999999999"/>
    <n v="1998"/>
    <n v="4"/>
    <n v="251.2816"/>
    <n v="16"/>
  </r>
  <r>
    <s v="Brand ABC TDM"/>
    <x v="2"/>
    <x v="1"/>
    <s v="Shorts"/>
    <s v="B7A4G-UCTN"/>
    <s v="Legacy"/>
    <s v="S"/>
    <x v="1"/>
    <d v="2024-10-28T00:00:00"/>
    <d v="2024-12-21T00:00:00"/>
    <n v="9"/>
    <n v="555.07270000000005"/>
    <n v="1458"/>
    <n v="3"/>
    <n v="188.5197"/>
    <n v="12"/>
  </r>
  <r>
    <s v="Brand ABC TDM"/>
    <x v="2"/>
    <x v="1"/>
    <s v="Shorts"/>
    <s v="B7A4G-UCTN"/>
    <s v="Legacy"/>
    <s v="XS"/>
    <x v="1"/>
    <d v="2024-10-28T00:00:00"/>
    <d v="2024-12-21T00:00:00"/>
    <n v="3"/>
    <n v="179.6694"/>
    <n v="486"/>
    <n v="3"/>
    <n v="189.01230000000001"/>
    <n v="6"/>
  </r>
  <r>
    <s v="Brand ABC TDM"/>
    <x v="2"/>
    <x v="1"/>
    <s v="Sports Bras"/>
    <s v="B1C5F-BB29"/>
    <s v="Caged"/>
    <s v="L"/>
    <x v="2"/>
    <d v="2024-12-12T00:00:00"/>
    <d v="2024-12-12T00:00:00"/>
    <n v="0"/>
    <n v="0"/>
    <n v="0"/>
    <n v="6"/>
    <n v="378.02460000000002"/>
    <n v="6"/>
  </r>
  <r>
    <s v="Brand ABC TDM"/>
    <x v="2"/>
    <x v="1"/>
    <s v="Sports Bras"/>
    <s v="B1C5F-BB29"/>
    <s v="Caged"/>
    <s v="M"/>
    <x v="2"/>
    <d v="2024-12-12T00:00:00"/>
    <d v="2024-12-12T00:00:00"/>
    <n v="0"/>
    <n v="0"/>
    <n v="0"/>
    <n v="7"/>
    <n v="441.02870000000001"/>
    <n v="7"/>
  </r>
  <r>
    <s v="Brand ABC TDM"/>
    <x v="2"/>
    <x v="1"/>
    <s v="Sports Bras"/>
    <s v="B1C5F-BB29"/>
    <s v="Caged"/>
    <s v="S"/>
    <x v="2"/>
    <d v="2024-12-12T00:00:00"/>
    <d v="2024-12-19T00:00:00"/>
    <n v="0"/>
    <n v="0"/>
    <n v="0"/>
    <n v="5"/>
    <n v="315.02050000000003"/>
    <n v="5"/>
  </r>
  <r>
    <s v="Brand ABC TDM"/>
    <x v="2"/>
    <x v="1"/>
    <s v="Sports Bras"/>
    <s v="B1C5F-BB29"/>
    <s v="Caged"/>
    <s v="XS"/>
    <x v="2"/>
    <d v="2024-12-12T00:00:00"/>
    <d v="2024-12-12T00:00:00"/>
    <n v="0"/>
    <n v="0"/>
    <n v="0"/>
    <n v="3"/>
    <n v="189.01230000000001"/>
    <n v="3"/>
  </r>
  <r>
    <s v="Brand ABC TDM"/>
    <x v="2"/>
    <x v="1"/>
    <s v="Sports Bras"/>
    <s v="B2A7A-UB9P"/>
    <s v="Fundamental Sports Bras"/>
    <s v="L"/>
    <x v="1"/>
    <d v="2024-10-26T00:00:00"/>
    <d v="2024-12-20T00:00:00"/>
    <n v="4"/>
    <n v="191.71199999999999"/>
    <n v="482.46"/>
    <n v="10"/>
    <n v="481.77199999999999"/>
    <n v="14"/>
  </r>
  <r>
    <s v="Brand ABC TDM"/>
    <x v="2"/>
    <x v="1"/>
    <s v="Sports Bras"/>
    <s v="B2A7A-UB9P"/>
    <s v="Fundamental Sports Bras"/>
    <s v="M"/>
    <x v="1"/>
    <d v="2024-10-26T00:00:00"/>
    <d v="2024-12-20T00:00:00"/>
    <n v="26"/>
    <n v="1247.9033999999999"/>
    <n v="3320.52"/>
    <n v="12"/>
    <n v="583.33079999999995"/>
    <n v="38"/>
  </r>
  <r>
    <s v="Brand ABC TDM"/>
    <x v="2"/>
    <x v="1"/>
    <s v="Sports Bras"/>
    <s v="B2A7A-UB9P"/>
    <s v="Fundamental Sports Bras"/>
    <s v="S"/>
    <x v="1"/>
    <d v="2024-10-26T00:00:00"/>
    <d v="2024-12-21T00:00:00"/>
    <n v="29"/>
    <n v="1404.3440000000001"/>
    <n v="3703.71"/>
    <n v="7"/>
    <n v="348.4803"/>
    <n v="36"/>
  </r>
  <r>
    <s v="Brand ABC TDM"/>
    <x v="2"/>
    <x v="1"/>
    <s v="Sports Bras"/>
    <s v="B2A7A-UB9P"/>
    <s v="Fundamental Sports Bras"/>
    <s v="XL"/>
    <x v="1"/>
    <d v="2024-10-26T00:00:00"/>
    <d v="2024-10-26T00:00:00"/>
    <n v="2"/>
    <n v="95.855999999999995"/>
    <n v="255.42"/>
    <n v="2"/>
    <n v="95.855999999999995"/>
    <n v="4"/>
  </r>
  <r>
    <s v="Brand ABC TDM"/>
    <x v="2"/>
    <x v="1"/>
    <s v="Sports Bras"/>
    <s v="B2A7A-UB9P"/>
    <s v="Fundamental Sports Bras"/>
    <s v="XS"/>
    <x v="1"/>
    <d v="2024-10-25T00:00:00"/>
    <d v="2024-12-19T00:00:00"/>
    <n v="11"/>
    <n v="531.03639999999996"/>
    <n v="1376.46"/>
    <n v="5"/>
    <n v="248.27350000000001"/>
    <n v="16"/>
  </r>
  <r>
    <s v="Brand ABC TDM"/>
    <x v="2"/>
    <x v="1"/>
    <s v="Sports Bras"/>
    <s v="B2A7A-WBBM"/>
    <s v="Fundamental Sports Bras"/>
    <s v="L"/>
    <x v="0"/>
    <d v="2024-10-26T00:00:00"/>
    <d v="2024-12-14T00:00:00"/>
    <n v="8"/>
    <n v="387.57499999999999"/>
    <n v="1021.71"/>
    <n v="10"/>
    <n v="492.57499999999999"/>
    <n v="18"/>
  </r>
  <r>
    <s v="Brand ABC TDM"/>
    <x v="2"/>
    <x v="1"/>
    <s v="Sports Bras"/>
    <s v="B2A7A-WBBM"/>
    <s v="Fundamental Sports Bras"/>
    <s v="M"/>
    <x v="0"/>
    <d v="2024-10-26T00:00:00"/>
    <d v="2024-12-21T00:00:00"/>
    <n v="32"/>
    <n v="1563.9253000000001"/>
    <n v="4122.26"/>
    <n v="11"/>
    <n v="550.10559999999998"/>
    <n v="43"/>
  </r>
  <r>
    <s v="Brand ABC TDM"/>
    <x v="2"/>
    <x v="1"/>
    <s v="Sports Bras"/>
    <s v="B2A7A-WBBM"/>
    <s v="Fundamental Sports Bras"/>
    <s v="S"/>
    <x v="0"/>
    <d v="2024-10-26T00:00:00"/>
    <d v="2024-12-21T00:00:00"/>
    <n v="37"/>
    <n v="1818.7538999999999"/>
    <n v="4753.7"/>
    <n v="7"/>
    <n v="352.387"/>
    <n v="44"/>
  </r>
  <r>
    <s v="Brand ABC TDM"/>
    <x v="2"/>
    <x v="1"/>
    <s v="Sports Bras"/>
    <s v="B2A7A-WBBM"/>
    <s v="Fundamental Sports Bras"/>
    <s v="XL"/>
    <x v="0"/>
    <d v="2024-10-25T00:00:00"/>
    <d v="2024-12-11T00:00:00"/>
    <n v="4"/>
    <n v="194.32409999999999"/>
    <n v="510.85"/>
    <n v="5"/>
    <n v="246.9975"/>
    <n v="9"/>
  </r>
  <r>
    <s v="Brand ABC TDM"/>
    <x v="2"/>
    <x v="1"/>
    <s v="Sports Bras"/>
    <s v="B2A7A-WBBM"/>
    <s v="Fundamental Sports Bras"/>
    <s v="XS"/>
    <x v="0"/>
    <d v="2024-10-26T00:00:00"/>
    <d v="2024-12-19T00:00:00"/>
    <n v="11"/>
    <n v="536.78700000000003"/>
    <n v="1433.22"/>
    <n v="5"/>
    <n v="250.01599999999999"/>
    <n v="16"/>
  </r>
  <r>
    <s v="Brand ABC TDM"/>
    <x v="2"/>
    <x v="1"/>
    <s v="Sports Bras"/>
    <s v="B2A7A-WCMZ"/>
    <s v="Fundamental Sports Bras"/>
    <s v="L"/>
    <x v="2"/>
    <d v="2024-10-25T00:00:00"/>
    <d v="2024-12-18T00:00:00"/>
    <n v="1"/>
    <n v="48.805300000000003"/>
    <n v="127.71"/>
    <n v="10"/>
    <n v="489.66800000000001"/>
    <n v="11"/>
  </r>
  <r>
    <s v="Brand ABC TDM"/>
    <x v="2"/>
    <x v="1"/>
    <s v="Sports Bras"/>
    <s v="B2A7A-WCMZ"/>
    <s v="Fundamental Sports Bras"/>
    <s v="M"/>
    <x v="2"/>
    <d v="2024-10-26T00:00:00"/>
    <d v="2024-12-21T00:00:00"/>
    <n v="2"/>
    <n v="100.2779"/>
    <n v="255.42"/>
    <n v="14"/>
    <n v="702.90359999999998"/>
    <n v="16"/>
  </r>
  <r>
    <s v="Brand ABC TDM"/>
    <x v="2"/>
    <x v="1"/>
    <s v="Sports Bras"/>
    <s v="B2A7A-WCMZ"/>
    <s v="Fundamental Sports Bras"/>
    <s v="S"/>
    <x v="2"/>
    <d v="2024-10-26T00:00:00"/>
    <d v="2024-12-20T00:00:00"/>
    <n v="2"/>
    <n v="100.6938"/>
    <n v="269.61"/>
    <n v="8"/>
    <n v="402.80959999999999"/>
    <n v="10"/>
  </r>
  <r>
    <s v="Brand ABC TDM"/>
    <x v="2"/>
    <x v="1"/>
    <s v="Sports Bras"/>
    <s v="B2A7A-WCMZ"/>
    <s v="Fundamental Sports Bras"/>
    <s v="XL"/>
    <x v="2"/>
    <d v="2024-10-25T00:00:00"/>
    <d v="2024-12-03T00:00:00"/>
    <n v="1"/>
    <n v="48.426499999999997"/>
    <n v="127.72"/>
    <n v="0"/>
    <n v="0"/>
    <n v="1"/>
  </r>
  <r>
    <s v="Brand ABC TDM"/>
    <x v="2"/>
    <x v="1"/>
    <s v="Sports Bras"/>
    <s v="B2A7A-WCMZ"/>
    <s v="Fundamental Sports Bras"/>
    <s v="XS"/>
    <x v="2"/>
    <d v="2024-10-26T00:00:00"/>
    <d v="2024-11-30T00:00:00"/>
    <n v="1"/>
    <n v="49.822200000000002"/>
    <n v="141.9"/>
    <n v="6"/>
    <n v="298.9332"/>
    <n v="7"/>
  </r>
  <r>
    <s v="Brand ABC TDM"/>
    <x v="2"/>
    <x v="1"/>
    <s v="Sports Bras"/>
    <s v="B2B2M-UB9P"/>
    <s v="Lifting Club"/>
    <s v="L"/>
    <x v="1"/>
    <d v="2024-11-29T00:00:00"/>
    <d v="2024-11-29T00:00:00"/>
    <n v="0"/>
    <n v="0"/>
    <n v="0"/>
    <n v="6"/>
    <n v="270.38220000000001"/>
    <n v="6"/>
  </r>
  <r>
    <s v="Brand ABC TDM"/>
    <x v="2"/>
    <x v="1"/>
    <s v="Sports Bras"/>
    <s v="B2B2M-UB9P"/>
    <s v="Lifting Club"/>
    <s v="M"/>
    <x v="1"/>
    <d v="2024-11-29T00:00:00"/>
    <d v="2024-11-29T00:00:00"/>
    <n v="1"/>
    <n v="45.063699999999997"/>
    <n v="162"/>
    <n v="6"/>
    <n v="270.38220000000001"/>
    <n v="7"/>
  </r>
  <r>
    <s v="Brand ABC TDM"/>
    <x v="2"/>
    <x v="1"/>
    <s v="Sports Bras"/>
    <s v="B2B2M-UB9P"/>
    <s v="Lifting Club"/>
    <s v="S"/>
    <x v="1"/>
    <d v="2024-11-29T00:00:00"/>
    <d v="2024-12-13T00:00:00"/>
    <n v="1"/>
    <n v="45.063699999999997"/>
    <n v="162"/>
    <n v="5"/>
    <n v="225.3185"/>
    <n v="6"/>
  </r>
  <r>
    <s v="Brand ABC TDM"/>
    <x v="2"/>
    <x v="1"/>
    <s v="Sports Bras"/>
    <s v="B2B2M-UB9P"/>
    <s v="Lifting Club"/>
    <s v="XS"/>
    <x v="1"/>
    <d v="2024-11-29T00:00:00"/>
    <d v="2024-12-13T00:00:00"/>
    <n v="1"/>
    <n v="45.063699999999997"/>
    <n v="162"/>
    <n v="3"/>
    <n v="135.19110000000001"/>
    <n v="4"/>
  </r>
  <r>
    <s v="Brand ABC TDM"/>
    <x v="2"/>
    <x v="1"/>
    <s v="Sports Bras"/>
    <s v="B2B2M-UB9P"/>
    <s v="Lifting Club"/>
    <s v="XXL"/>
    <x v="1"/>
    <d v="2024-11-29T00:00:00"/>
    <d v="2024-11-29T00:00:00"/>
    <n v="0"/>
    <n v="0"/>
    <n v="0"/>
    <n v="1"/>
    <n v="45.063699999999997"/>
    <n v="1"/>
  </r>
  <r>
    <s v="Brand ABC TDM"/>
    <x v="2"/>
    <x v="1"/>
    <s v="Sports Bras"/>
    <s v="B2B2M-WB57"/>
    <s v="Lifting Club"/>
    <s v="L"/>
    <x v="1"/>
    <d v="2024-11-29T00:00:00"/>
    <d v="2024-12-13T00:00:00"/>
    <n v="2"/>
    <n v="90.127399999999994"/>
    <n v="324"/>
    <n v="5"/>
    <n v="225.3185"/>
    <n v="7"/>
  </r>
  <r>
    <s v="Brand ABC TDM"/>
    <x v="2"/>
    <x v="1"/>
    <s v="Sports Bras"/>
    <s v="B2B2M-WB57"/>
    <s v="Lifting Club"/>
    <s v="M"/>
    <x v="1"/>
    <d v="2024-11-29T00:00:00"/>
    <d v="2024-11-29T00:00:00"/>
    <n v="1"/>
    <n v="45.063699999999997"/>
    <n v="162"/>
    <n v="6"/>
    <n v="270.38220000000001"/>
    <n v="7"/>
  </r>
  <r>
    <s v="Brand ABC TDM"/>
    <x v="2"/>
    <x v="1"/>
    <s v="Sports Bras"/>
    <s v="B2B2M-WB57"/>
    <s v="Lifting Club"/>
    <s v="S"/>
    <x v="1"/>
    <d v="2024-11-29T00:00:00"/>
    <d v="2024-12-12T00:00:00"/>
    <n v="5"/>
    <n v="225.3185"/>
    <n v="828"/>
    <n v="8"/>
    <n v="360.50959999999998"/>
    <n v="13"/>
  </r>
  <r>
    <s v="Brand ABC TDM"/>
    <x v="2"/>
    <x v="1"/>
    <s v="Sports Bras"/>
    <s v="B2B2M-WB57"/>
    <s v="Lifting Club"/>
    <s v="XS"/>
    <x v="1"/>
    <d v="2024-11-29T00:00:00"/>
    <d v="2024-12-21T00:00:00"/>
    <n v="3"/>
    <n v="135.19110000000001"/>
    <n v="486"/>
    <n v="4"/>
    <n v="180.25479999999999"/>
    <n v="7"/>
  </r>
  <r>
    <s v="Brand ABC TDM"/>
    <x v="2"/>
    <x v="1"/>
    <s v="Sports Bras"/>
    <s v="B2B2M-WB57"/>
    <s v="Lifting Club"/>
    <s v="XXL"/>
    <x v="1"/>
    <d v="2024-11-29T00:00:00"/>
    <d v="2024-11-29T00:00:00"/>
    <n v="0"/>
    <n v="0"/>
    <n v="0"/>
    <n v="1"/>
    <n v="45.063699999999997"/>
    <n v="1"/>
  </r>
  <r>
    <s v="Brand ABC TDM"/>
    <x v="2"/>
    <x v="1"/>
    <s v="Sports Bras"/>
    <s v="B3A2J-BBBB"/>
    <s v="Fundamental Sports Bras"/>
    <s v="L"/>
    <x v="0"/>
    <d v="2024-05-20T00:00:00"/>
    <d v="2024-12-20T00:00:00"/>
    <n v="5"/>
    <n v="214.2672"/>
    <n v="608.94000000000005"/>
    <n v="7"/>
    <n v="301.53199999999998"/>
    <n v="12"/>
  </r>
  <r>
    <s v="Brand ABC TDM"/>
    <x v="2"/>
    <x v="1"/>
    <s v="Sports Bras"/>
    <s v="B3A2J-BBBB"/>
    <s v="Fundamental Sports Bras"/>
    <s v="M"/>
    <x v="0"/>
    <d v="2024-05-20T00:00:00"/>
    <d v="2024-12-21T00:00:00"/>
    <n v="23"/>
    <n v="998.1105"/>
    <n v="2746.87"/>
    <n v="10"/>
    <n v="445.30799999999999"/>
    <n v="33"/>
  </r>
  <r>
    <s v="Brand ABC TDM"/>
    <x v="2"/>
    <x v="1"/>
    <s v="Sports Bras"/>
    <s v="B3A2J-BBBB"/>
    <s v="Fundamental Sports Bras"/>
    <s v="S"/>
    <x v="0"/>
    <d v="2024-05-20T00:00:00"/>
    <d v="2024-12-20T00:00:00"/>
    <n v="35"/>
    <n v="1533.8792000000001"/>
    <n v="4209.66"/>
    <n v="5"/>
    <n v="224.80449999999999"/>
    <n v="40"/>
  </r>
  <r>
    <s v="Brand ABC TDM"/>
    <x v="2"/>
    <x v="1"/>
    <s v="Sports Bras"/>
    <s v="B3A2J-BBBB"/>
    <s v="Fundamental Sports Bras"/>
    <s v="XL"/>
    <x v="0"/>
    <d v="2024-05-20T00:00:00"/>
    <d v="2024-10-26T00:00:00"/>
    <n v="0"/>
    <n v="0"/>
    <n v="0"/>
    <n v="2"/>
    <n v="85.672200000000004"/>
    <n v="2"/>
  </r>
  <r>
    <s v="Brand ABC TDM"/>
    <x v="2"/>
    <x v="1"/>
    <s v="Sports Bras"/>
    <s v="B3A2J-BBBB"/>
    <s v="Fundamental Sports Bras"/>
    <s v="XS"/>
    <x v="0"/>
    <d v="2024-05-20T00:00:00"/>
    <d v="2024-12-21T00:00:00"/>
    <n v="8"/>
    <n v="345.84289999999999"/>
    <n v="953.03"/>
    <n v="4"/>
    <n v="178.83279999999999"/>
    <n v="12"/>
  </r>
  <r>
    <s v="Brand ABC TDM"/>
    <x v="2"/>
    <x v="1"/>
    <s v="Sports Bras"/>
    <s v="B3A2J-KB7B"/>
    <s v="Fundamental Sports Bras"/>
    <s v="L"/>
    <x v="1"/>
    <d v="2024-10-28T00:00:00"/>
    <d v="2024-10-28T00:00:00"/>
    <n v="0"/>
    <n v="0"/>
    <n v="0"/>
    <n v="6"/>
    <n v="256.77420000000001"/>
    <n v="6"/>
  </r>
  <r>
    <s v="Brand ABC TDM"/>
    <x v="2"/>
    <x v="1"/>
    <s v="Sports Bras"/>
    <s v="B3A2J-KB7B"/>
    <s v="Fundamental Sports Bras"/>
    <s v="M"/>
    <x v="1"/>
    <d v="2024-10-28T00:00:00"/>
    <d v="2024-12-13T00:00:00"/>
    <n v="5"/>
    <n v="216.53469999999999"/>
    <n v="595.71"/>
    <n v="7"/>
    <n v="308.14"/>
    <n v="12"/>
  </r>
  <r>
    <s v="Brand ABC TDM"/>
    <x v="2"/>
    <x v="1"/>
    <s v="Sports Bras"/>
    <s v="B3A2J-KB7B"/>
    <s v="Fundamental Sports Bras"/>
    <s v="S"/>
    <x v="1"/>
    <d v="2024-10-28T00:00:00"/>
    <d v="2024-12-06T00:00:00"/>
    <n v="4"/>
    <n v="172.93350000000001"/>
    <n v="476.59"/>
    <n v="6"/>
    <n v="265.85340000000002"/>
    <n v="10"/>
  </r>
  <r>
    <s v="Brand ABC TDM"/>
    <x v="2"/>
    <x v="1"/>
    <s v="Sports Bras"/>
    <s v="B3A2J-KB7B"/>
    <s v="Fundamental Sports Bras"/>
    <s v="XS"/>
    <x v="1"/>
    <d v="2024-10-28T00:00:00"/>
    <d v="2024-12-04T00:00:00"/>
    <n v="3"/>
    <n v="129.8707"/>
    <n v="357.44"/>
    <n v="3"/>
    <n v="133.57980000000001"/>
    <n v="6"/>
  </r>
  <r>
    <s v="Brand ABC TDM"/>
    <x v="2"/>
    <x v="1"/>
    <s v="Sports Bras"/>
    <s v="B3A2J-PBZS"/>
    <s v="Fundamental Sports Bras"/>
    <s v="L"/>
    <x v="1"/>
    <d v="2024-10-26T00:00:00"/>
    <d v="2024-12-17T00:00:00"/>
    <n v="2"/>
    <n v="85.962299999999999"/>
    <n v="238.28"/>
    <n v="6"/>
    <n v="260.85419999999999"/>
    <n v="8"/>
  </r>
  <r>
    <s v="Brand ABC TDM"/>
    <x v="2"/>
    <x v="1"/>
    <s v="Sports Bras"/>
    <s v="B3A2J-PBZS"/>
    <s v="Fundamental Sports Bras"/>
    <s v="M"/>
    <x v="1"/>
    <d v="2024-10-26T00:00:00"/>
    <d v="2024-12-16T00:00:00"/>
    <n v="4"/>
    <n v="172.9151"/>
    <n v="476.56"/>
    <n v="7"/>
    <n v="306.73930000000001"/>
    <n v="11"/>
  </r>
  <r>
    <s v="Brand ABC TDM"/>
    <x v="2"/>
    <x v="1"/>
    <s v="Sports Bras"/>
    <s v="B3A2J-PBZS"/>
    <s v="Fundamental Sports Bras"/>
    <s v="S"/>
    <x v="1"/>
    <d v="2024-10-26T00:00:00"/>
    <d v="2024-12-17T00:00:00"/>
    <n v="11"/>
    <n v="482.93"/>
    <n v="1323.8"/>
    <n v="3"/>
    <n v="134.01329999999999"/>
    <n v="14"/>
  </r>
  <r>
    <s v="Brand ABC TDM"/>
    <x v="2"/>
    <x v="1"/>
    <s v="Sports Bras"/>
    <s v="B3A2J-PBZS"/>
    <s v="Fundamental Sports Bras"/>
    <s v="XS"/>
    <x v="1"/>
    <d v="2024-10-26T00:00:00"/>
    <d v="2024-12-17T00:00:00"/>
    <n v="4"/>
    <n v="174.3973"/>
    <n v="476.57"/>
    <n v="2"/>
    <n v="89.053200000000004"/>
    <n v="6"/>
  </r>
  <r>
    <s v="Brand ABC TDM"/>
    <x v="2"/>
    <x v="1"/>
    <s v="Sports Bras"/>
    <s v="B3A2J-UCTN"/>
    <s v="Fundamental Sports Bras"/>
    <s v="L"/>
    <x v="1"/>
    <d v="2024-10-25T00:00:00"/>
    <d v="2024-11-09T00:00:00"/>
    <n v="2"/>
    <n v="85.591399999999993"/>
    <n v="238.28"/>
    <n v="9"/>
    <n v="385.16129999999998"/>
    <n v="11"/>
  </r>
  <r>
    <s v="Brand ABC TDM"/>
    <x v="2"/>
    <x v="1"/>
    <s v="Sports Bras"/>
    <s v="B3A2J-UCTN"/>
    <s v="Fundamental Sports Bras"/>
    <s v="M"/>
    <x v="1"/>
    <d v="2024-10-25T00:00:00"/>
    <d v="2024-12-21T00:00:00"/>
    <n v="13"/>
    <n v="562.52859999999998"/>
    <n v="1548.83"/>
    <n v="10"/>
    <n v="441.80099999999999"/>
    <n v="23"/>
  </r>
  <r>
    <s v="Brand ABC TDM"/>
    <x v="2"/>
    <x v="1"/>
    <s v="Sports Bras"/>
    <s v="B3A2J-UCTN"/>
    <s v="Fundamental Sports Bras"/>
    <s v="S"/>
    <x v="1"/>
    <d v="2024-10-26T00:00:00"/>
    <d v="2024-12-21T00:00:00"/>
    <n v="18"/>
    <n v="778.23170000000005"/>
    <n v="2171.0300000000002"/>
    <n v="8"/>
    <n v="356.71039999999999"/>
    <n v="26"/>
  </r>
  <r>
    <s v="Brand ABC TDM"/>
    <x v="2"/>
    <x v="1"/>
    <s v="Sports Bras"/>
    <s v="B3A2J-UCTN"/>
    <s v="Fundamental Sports Bras"/>
    <s v="XS"/>
    <x v="1"/>
    <d v="2024-10-26T00:00:00"/>
    <d v="2024-12-21T00:00:00"/>
    <n v="6"/>
    <n v="257.01769999999999"/>
    <n v="714.87"/>
    <n v="5"/>
    <n v="220.41149999999999"/>
    <n v="11"/>
  </r>
  <r>
    <s v="Brand ABC TDM"/>
    <x v="2"/>
    <x v="1"/>
    <s v="Sports Bras"/>
    <s v="B3A2J-WBBM"/>
    <s v="Fundamental Sports Bras"/>
    <s v="L"/>
    <x v="0"/>
    <d v="2024-10-26T00:00:00"/>
    <d v="2024-11-09T00:00:00"/>
    <n v="0"/>
    <n v="0"/>
    <n v="0"/>
    <n v="11"/>
    <n v="470.76479999999998"/>
    <n v="11"/>
  </r>
  <r>
    <s v="Brand ABC TDM"/>
    <x v="2"/>
    <x v="1"/>
    <s v="Sports Bras"/>
    <s v="B3A2J-WBBM"/>
    <s v="Fundamental Sports Bras"/>
    <s v="M"/>
    <x v="0"/>
    <d v="2024-10-25T00:00:00"/>
    <d v="2024-12-17T00:00:00"/>
    <n v="10"/>
    <n v="431.82279999999997"/>
    <n v="1204.6400000000001"/>
    <n v="9"/>
    <n v="394.70400000000001"/>
    <n v="19"/>
  </r>
  <r>
    <s v="Brand ABC TDM"/>
    <x v="2"/>
    <x v="1"/>
    <s v="Sports Bras"/>
    <s v="B3A2J-WBBM"/>
    <s v="Fundamental Sports Bras"/>
    <s v="S"/>
    <x v="0"/>
    <d v="2024-10-26T00:00:00"/>
    <d v="2024-12-21T00:00:00"/>
    <n v="16"/>
    <n v="687.43129999999996"/>
    <n v="1879.81"/>
    <n v="8"/>
    <n v="353.31119999999999"/>
    <n v="24"/>
  </r>
  <r>
    <s v="Brand ABC TDM"/>
    <x v="2"/>
    <x v="1"/>
    <s v="Sports Bras"/>
    <s v="B3A2J-WBBM"/>
    <s v="Fundamental Sports Bras"/>
    <s v="XS"/>
    <x v="0"/>
    <d v="2024-10-25T00:00:00"/>
    <d v="2024-12-20T00:00:00"/>
    <n v="7"/>
    <n v="303.673"/>
    <n v="847.23"/>
    <n v="3"/>
    <n v="133.18559999999999"/>
    <n v="10"/>
  </r>
  <r>
    <s v="Brand ABC TDM"/>
    <x v="2"/>
    <x v="1"/>
    <s v="Sports Bras"/>
    <s v="B3A2J-WCC9"/>
    <s v="Fundamental Sports Bras"/>
    <s v="L"/>
    <x v="1"/>
    <d v="2024-10-25T00:00:00"/>
    <d v="2024-11-15T00:00:00"/>
    <n v="2"/>
    <n v="85.591399999999993"/>
    <n v="238.28"/>
    <n v="10"/>
    <n v="427.95699999999999"/>
    <n v="12"/>
  </r>
  <r>
    <s v="Brand ABC TDM"/>
    <x v="2"/>
    <x v="1"/>
    <s v="Sports Bras"/>
    <s v="B3A2J-WCC9"/>
    <s v="Fundamental Sports Bras"/>
    <s v="M"/>
    <x v="1"/>
    <d v="2024-10-26T00:00:00"/>
    <d v="2024-12-17T00:00:00"/>
    <n v="13"/>
    <n v="560.3605"/>
    <n v="1575.31"/>
    <n v="12"/>
    <n v="525.10919999999999"/>
    <n v="25"/>
  </r>
  <r>
    <s v="Brand ABC TDM"/>
    <x v="2"/>
    <x v="1"/>
    <s v="Sports Bras"/>
    <s v="B3A2J-WCC9"/>
    <s v="Fundamental Sports Bras"/>
    <s v="S"/>
    <x v="1"/>
    <d v="2024-10-26T00:00:00"/>
    <d v="2024-12-21T00:00:00"/>
    <n v="19"/>
    <n v="817.43610000000001"/>
    <n v="2276.9299999999998"/>
    <n v="9"/>
    <n v="396.29969999999997"/>
    <n v="28"/>
  </r>
  <r>
    <s v="Brand ABC TDM"/>
    <x v="2"/>
    <x v="1"/>
    <s v="Sports Bras"/>
    <s v="B3A2J-WCC9"/>
    <s v="Fundamental Sports Bras"/>
    <s v="XS"/>
    <x v="1"/>
    <d v="2024-10-26T00:00:00"/>
    <d v="2024-12-20T00:00:00"/>
    <n v="4"/>
    <n v="171.62790000000001"/>
    <n v="489.81"/>
    <n v="5"/>
    <n v="217.9845"/>
    <n v="9"/>
  </r>
  <r>
    <s v="Brand ABC TDM"/>
    <x v="2"/>
    <x v="1"/>
    <s v="Sports Bras"/>
    <s v="B3A4K-BBF3"/>
    <s v="Vital"/>
    <s v="L"/>
    <x v="0"/>
    <d v="2024-10-26T00:00:00"/>
    <d v="2024-12-11T00:00:00"/>
    <n v="10"/>
    <n v="555.2491"/>
    <n v="1448.58"/>
    <n v="9"/>
    <n v="511.01280000000003"/>
    <n v="19"/>
  </r>
  <r>
    <s v="Brand ABC TDM"/>
    <x v="2"/>
    <x v="1"/>
    <s v="Sports Bras"/>
    <s v="B3A4K-BBF3"/>
    <s v="Vital"/>
    <s v="M"/>
    <x v="0"/>
    <d v="2024-10-26T00:00:00"/>
    <d v="2024-12-18T00:00:00"/>
    <n v="26"/>
    <n v="1441.779"/>
    <n v="3750.22"/>
    <n v="10"/>
    <n v="570.18200000000002"/>
    <n v="36"/>
  </r>
  <r>
    <s v="Brand ABC TDM"/>
    <x v="2"/>
    <x v="1"/>
    <s v="Sports Bras"/>
    <s v="B3A4K-BBF3"/>
    <s v="Vital"/>
    <s v="S"/>
    <x v="0"/>
    <d v="2024-10-26T00:00:00"/>
    <d v="2024-12-21T00:00:00"/>
    <n v="20"/>
    <n v="1128.0499"/>
    <n v="2945.46"/>
    <n v="6"/>
    <n v="344.60759999999999"/>
    <n v="26"/>
  </r>
  <r>
    <s v="Brand ABC TDM"/>
    <x v="2"/>
    <x v="1"/>
    <s v="Sports Bras"/>
    <s v="B3A4K-BBF3"/>
    <s v="Vital"/>
    <s v="XL"/>
    <x v="0"/>
    <d v="2024-10-26T00:00:00"/>
    <d v="2024-12-04T00:00:00"/>
    <n v="1"/>
    <n v="54.797899999999998"/>
    <n v="144.86000000000001"/>
    <n v="4"/>
    <n v="222.0412"/>
    <n v="5"/>
  </r>
  <r>
    <s v="Brand ABC TDM"/>
    <x v="2"/>
    <x v="1"/>
    <s v="Sports Bras"/>
    <s v="B3A4K-BBF3"/>
    <s v="Vital"/>
    <s v="XS"/>
    <x v="0"/>
    <d v="2024-10-26T00:00:00"/>
    <d v="2024-12-11T00:00:00"/>
    <n v="5"/>
    <n v="277.43799999999999"/>
    <n v="740.39"/>
    <n v="4"/>
    <n v="226.8544"/>
    <n v="9"/>
  </r>
  <r>
    <s v="Brand ABC TDM"/>
    <x v="2"/>
    <x v="1"/>
    <s v="Sports Bras"/>
    <s v="B3A4K-EBTF"/>
    <s v="Vital"/>
    <s v="L"/>
    <x v="0"/>
    <d v="2024-10-25T00:00:00"/>
    <d v="2024-11-09T00:00:00"/>
    <n v="3"/>
    <n v="164.2938"/>
    <n v="434.58"/>
    <n v="6"/>
    <n v="328.58760000000001"/>
    <n v="9"/>
  </r>
  <r>
    <s v="Brand ABC TDM"/>
    <x v="2"/>
    <x v="1"/>
    <s v="Sports Bras"/>
    <s v="B3A4K-EBTF"/>
    <s v="Vital"/>
    <s v="M"/>
    <x v="0"/>
    <d v="2024-10-26T00:00:00"/>
    <d v="2024-12-21T00:00:00"/>
    <n v="19"/>
    <n v="1051.0094999999999"/>
    <n v="2768.41"/>
    <n v="8"/>
    <n v="456.11919999999998"/>
    <n v="27"/>
  </r>
  <r>
    <s v="Brand ABC TDM"/>
    <x v="2"/>
    <x v="1"/>
    <s v="Sports Bras"/>
    <s v="B3A4K-EBTF"/>
    <s v="Vital"/>
    <s v="S"/>
    <x v="0"/>
    <d v="2024-10-25T00:00:00"/>
    <d v="2024-12-21T00:00:00"/>
    <n v="15"/>
    <n v="838.46699999999998"/>
    <n v="2205.0300000000002"/>
    <n v="5"/>
    <n v="288.03149999999999"/>
    <n v="20"/>
  </r>
  <r>
    <s v="Brand ABC TDM"/>
    <x v="2"/>
    <x v="1"/>
    <s v="Sports Bras"/>
    <s v="B3A4K-EBTF"/>
    <s v="Vital"/>
    <s v="XL"/>
    <x v="0"/>
    <d v="2024-10-25T00:00:00"/>
    <d v="2024-10-25T00:00:00"/>
    <n v="1"/>
    <n v="54.757599999999996"/>
    <n v="144.86000000000001"/>
    <n v="2"/>
    <n v="109.51519999999999"/>
    <n v="3"/>
  </r>
  <r>
    <s v="Brand ABC TDM"/>
    <x v="2"/>
    <x v="1"/>
    <s v="Sports Bras"/>
    <s v="B3A4K-EBTF"/>
    <s v="Vital"/>
    <s v="XS"/>
    <x v="0"/>
    <d v="2024-10-25T00:00:00"/>
    <d v="2024-12-20T00:00:00"/>
    <n v="3"/>
    <n v="164.27549999999999"/>
    <n v="434.57"/>
    <n v="3"/>
    <n v="164.27549999999999"/>
    <n v="6"/>
  </r>
  <r>
    <s v="Brand ABC TDM"/>
    <x v="2"/>
    <x v="1"/>
    <s v="Sports Bras"/>
    <s v="B3A4K-KB0W"/>
    <s v="Vital"/>
    <s v="S"/>
    <x v="0"/>
    <d v="2024-11-25T00:00:00"/>
    <d v="2024-11-25T00:00:00"/>
    <n v="0"/>
    <n v="0"/>
    <n v="0"/>
    <n v="2"/>
    <n v="115.2948"/>
    <n v="2"/>
  </r>
  <r>
    <s v="Brand ABC TDM"/>
    <x v="2"/>
    <x v="1"/>
    <s v="Sports Bras"/>
    <s v="B3A4K-UCW7"/>
    <s v="Vital"/>
    <s v="L"/>
    <x v="2"/>
    <d v="2024-10-26T00:00:00"/>
    <d v="2024-12-20T00:00:00"/>
    <n v="0"/>
    <n v="0"/>
    <n v="0"/>
    <n v="6"/>
    <n v="334.73520000000002"/>
    <n v="6"/>
  </r>
  <r>
    <s v="Brand ABC TDM"/>
    <x v="2"/>
    <x v="1"/>
    <s v="Sports Bras"/>
    <s v="B3A4K-UCW7"/>
    <s v="Vital"/>
    <s v="M"/>
    <x v="2"/>
    <d v="2024-10-26T00:00:00"/>
    <d v="2024-12-19T00:00:00"/>
    <n v="0"/>
    <n v="0"/>
    <n v="0"/>
    <n v="7"/>
    <n v="388.59100000000001"/>
    <n v="7"/>
  </r>
  <r>
    <s v="Brand ABC TDM"/>
    <x v="2"/>
    <x v="1"/>
    <s v="Sports Bras"/>
    <s v="B3A4K-UCW7"/>
    <s v="Vital"/>
    <s v="S"/>
    <x v="2"/>
    <d v="2024-10-26T00:00:00"/>
    <d v="2024-12-19T00:00:00"/>
    <n v="0"/>
    <n v="0"/>
    <n v="0"/>
    <n v="6"/>
    <n v="342.2124"/>
    <n v="6"/>
  </r>
  <r>
    <s v="Brand ABC TDM"/>
    <x v="2"/>
    <x v="1"/>
    <s v="Sports Bras"/>
    <s v="B3A4K-UCW7"/>
    <s v="Vital"/>
    <s v="XS"/>
    <x v="2"/>
    <d v="2024-10-26T00:00:00"/>
    <d v="2024-12-14T00:00:00"/>
    <n v="1"/>
    <n v="55.902099999999997"/>
    <n v="144.85"/>
    <n v="3"/>
    <n v="169.99529999999999"/>
    <n v="4"/>
  </r>
  <r>
    <s v="Brand ABC TDM"/>
    <x v="2"/>
    <x v="1"/>
    <s v="Sports Bras"/>
    <s v="B6A2G-ECJ8"/>
    <s v="Adapt Camo"/>
    <s v="L"/>
    <x v="0"/>
    <d v="2024-11-21T00:00:00"/>
    <d v="2024-11-21T00:00:00"/>
    <n v="1"/>
    <n v="65.0625"/>
    <n v="189.52"/>
    <n v="0"/>
    <n v="0"/>
    <n v="1"/>
  </r>
  <r>
    <s v="Brand ABC TDM"/>
    <x v="2"/>
    <x v="1"/>
    <s v="Sports Bras"/>
    <s v="B6A2G-ECJ8"/>
    <s v="Adapt Camo"/>
    <s v="M"/>
    <x v="0"/>
    <d v="2024-11-21T00:00:00"/>
    <d v="2024-12-03T00:00:00"/>
    <n v="10"/>
    <n v="664.75710000000004"/>
    <n v="1696.23"/>
    <n v="0"/>
    <n v="0"/>
    <n v="10"/>
  </r>
  <r>
    <s v="Brand ABC TDM"/>
    <x v="2"/>
    <x v="1"/>
    <s v="Sports Bras"/>
    <s v="B6A2G-ECJ8"/>
    <s v="Adapt Camo"/>
    <s v="S"/>
    <x v="0"/>
    <d v="2024-11-21T00:00:00"/>
    <d v="2024-12-04T00:00:00"/>
    <n v="2"/>
    <n v="131.25280000000001"/>
    <n v="341.15"/>
    <n v="0"/>
    <n v="0"/>
    <n v="2"/>
  </r>
  <r>
    <s v="Brand ABC TDM"/>
    <x v="2"/>
    <x v="1"/>
    <s v="Sports Bras"/>
    <s v="B6A2G-ECJ8"/>
    <s v="Adapt Camo"/>
    <s v="XS"/>
    <x v="0"/>
    <d v="2024-11-21T00:00:00"/>
    <d v="2024-11-29T00:00:00"/>
    <n v="1"/>
    <n v="64.310699999999997"/>
    <n v="170.57"/>
    <n v="1"/>
    <n v="66.942099999999996"/>
    <n v="2"/>
  </r>
  <r>
    <s v="Brand ABC TDM"/>
    <x v="2"/>
    <x v="1"/>
    <s v="Sports Bras"/>
    <s v="B8A4T-BB2J"/>
    <s v="Everyday Seamless"/>
    <s v="L"/>
    <x v="0"/>
    <d v="2024-10-26T00:00:00"/>
    <d v="2024-12-17T00:00:00"/>
    <n v="4"/>
    <n v="205.29040000000001"/>
    <n v="579.42999999999995"/>
    <n v="8"/>
    <n v="413.24959999999999"/>
    <n v="12"/>
  </r>
  <r>
    <s v="Brand ABC TDM"/>
    <x v="2"/>
    <x v="1"/>
    <s v="Sports Bras"/>
    <s v="B8A4T-BB2J"/>
    <s v="Everyday Seamless"/>
    <s v="M"/>
    <x v="0"/>
    <d v="2024-10-26T00:00:00"/>
    <d v="2024-12-17T00:00:00"/>
    <n v="12"/>
    <n v="623.54240000000004"/>
    <n v="1754.4"/>
    <n v="9"/>
    <n v="475.58339999999998"/>
    <n v="21"/>
  </r>
  <r>
    <s v="Brand ABC TDM"/>
    <x v="2"/>
    <x v="1"/>
    <s v="Sports Bras"/>
    <s v="B8A4T-BB2J"/>
    <s v="Everyday Seamless"/>
    <s v="S"/>
    <x v="0"/>
    <d v="2024-10-26T00:00:00"/>
    <d v="2024-12-13T00:00:00"/>
    <n v="12"/>
    <n v="620.40539999999999"/>
    <n v="1738.32"/>
    <n v="7"/>
    <n v="370.73750000000001"/>
    <n v="19"/>
  </r>
  <r>
    <s v="Brand ABC TDM"/>
    <x v="2"/>
    <x v="1"/>
    <s v="Sports Bras"/>
    <s v="B8A4T-BB2J"/>
    <s v="Everyday Seamless"/>
    <s v="XL"/>
    <x v="0"/>
    <d v="2024-10-25T00:00:00"/>
    <d v="2024-10-25T00:00:00"/>
    <n v="0"/>
    <n v="0"/>
    <n v="0"/>
    <n v="4"/>
    <n v="205.29040000000001"/>
    <n v="4"/>
  </r>
  <r>
    <s v="Brand ABC TDM"/>
    <x v="2"/>
    <x v="1"/>
    <s v="Sports Bras"/>
    <s v="B8A4T-BB2J"/>
    <s v="Everyday Seamless"/>
    <s v="XS"/>
    <x v="0"/>
    <d v="2024-10-26T00:00:00"/>
    <d v="2024-12-14T00:00:00"/>
    <n v="7"/>
    <n v="364.46030000000002"/>
    <n v="1030.0999999999999"/>
    <n v="4"/>
    <n v="213.4324"/>
    <n v="11"/>
  </r>
  <r>
    <s v="Brand ABC TDM"/>
    <x v="2"/>
    <x v="1"/>
    <s v="Sports Bras"/>
    <s v="B8A4T-RBQV"/>
    <s v="Everyday Seamless"/>
    <s v="L"/>
    <x v="0"/>
    <d v="2024-10-25T00:00:00"/>
    <d v="2024-11-09T00:00:00"/>
    <n v="0"/>
    <n v="0"/>
    <n v="0"/>
    <n v="9"/>
    <n v="461.90339999999998"/>
    <n v="9"/>
  </r>
  <r>
    <s v="Brand ABC TDM"/>
    <x v="2"/>
    <x v="1"/>
    <s v="Sports Bras"/>
    <s v="B8A4T-RBQV"/>
    <s v="Everyday Seamless"/>
    <s v="M"/>
    <x v="0"/>
    <d v="2024-10-25T00:00:00"/>
    <d v="2024-11-09T00:00:00"/>
    <n v="3"/>
    <n v="153.96780000000001"/>
    <n v="402.36"/>
    <n v="7"/>
    <n v="359.25819999999999"/>
    <n v="10"/>
  </r>
  <r>
    <s v="Brand ABC TDM"/>
    <x v="2"/>
    <x v="1"/>
    <s v="Sports Bras"/>
    <s v="B8A4T-RBQV"/>
    <s v="Everyday Seamless"/>
    <s v="S"/>
    <x v="0"/>
    <d v="2024-10-25T00:00:00"/>
    <d v="2024-12-17T00:00:00"/>
    <n v="8"/>
    <n v="414.68020000000001"/>
    <n v="1142.77"/>
    <n v="3"/>
    <n v="157.875"/>
    <n v="11"/>
  </r>
  <r>
    <s v="Brand ABC TDM"/>
    <x v="2"/>
    <x v="1"/>
    <s v="Sports Bras"/>
    <s v="B8A4T-RBQV"/>
    <s v="Everyday Seamless"/>
    <s v="XL"/>
    <x v="0"/>
    <d v="2024-10-25T00:00:00"/>
    <d v="2024-10-25T00:00:00"/>
    <n v="0"/>
    <n v="0"/>
    <n v="0"/>
    <n v="3"/>
    <n v="153.96780000000001"/>
    <n v="3"/>
  </r>
  <r>
    <s v="Brand ABC TDM"/>
    <x v="2"/>
    <x v="1"/>
    <s v="Sports Bras"/>
    <s v="B8A4T-RBQV"/>
    <s v="Everyday Seamless"/>
    <s v="XS"/>
    <x v="0"/>
    <d v="2024-10-26T00:00:00"/>
    <d v="2024-12-14T00:00:00"/>
    <n v="4"/>
    <n v="205.29040000000001"/>
    <n v="595.54"/>
    <n v="3"/>
    <n v="156.63659999999999"/>
    <n v="7"/>
  </r>
  <r>
    <s v="Brand ABC TDM"/>
    <x v="2"/>
    <x v="1"/>
    <s v="Sports Bras"/>
    <s v="B8A4T-TBNG"/>
    <s v="Everyday Seamless"/>
    <s v="S"/>
    <x v="0"/>
    <d v="2024-11-25T00:00:00"/>
    <d v="2024-11-25T00:00:00"/>
    <n v="0"/>
    <n v="0"/>
    <n v="0"/>
    <n v="2"/>
    <n v="107.9828"/>
    <n v="2"/>
  </r>
  <r>
    <s v="Brand ABC TDM"/>
    <x v="2"/>
    <x v="1"/>
    <s v="Sports Bras"/>
    <s v="B8A5U-BB2J"/>
    <s v="Fundamental Sports Bras"/>
    <s v="L"/>
    <x v="0"/>
    <d v="2024-10-11T00:00:00"/>
    <d v="2024-12-17T00:00:00"/>
    <n v="2"/>
    <n v="109.8468"/>
    <n v="289.72000000000003"/>
    <n v="8"/>
    <n v="440.65280000000001"/>
    <n v="10"/>
  </r>
  <r>
    <s v="Brand ABC TDM"/>
    <x v="2"/>
    <x v="1"/>
    <s v="Sports Bras"/>
    <s v="B8A5U-BB2J"/>
    <s v="Fundamental Sports Bras"/>
    <s v="M"/>
    <x v="0"/>
    <d v="2024-10-11T00:00:00"/>
    <d v="2024-12-12T00:00:00"/>
    <n v="3"/>
    <n v="164.8176"/>
    <n v="402.39"/>
    <n v="11"/>
    <n v="610.45820000000003"/>
    <n v="14"/>
  </r>
  <r>
    <s v="Brand ABC TDM"/>
    <x v="2"/>
    <x v="1"/>
    <s v="Sports Bras"/>
    <s v="B8A5U-BB2J"/>
    <s v="Fundamental Sports Bras"/>
    <s v="S"/>
    <x v="0"/>
    <d v="2024-10-11T00:00:00"/>
    <d v="2024-12-17T00:00:00"/>
    <n v="6"/>
    <n v="332.03109999999998"/>
    <n v="885.22"/>
    <n v="5"/>
    <n v="278.37349999999998"/>
    <n v="11"/>
  </r>
  <r>
    <s v="Brand ABC TDM"/>
    <x v="2"/>
    <x v="1"/>
    <s v="Sports Bras"/>
    <s v="B8A5U-BB2J"/>
    <s v="Fundamental Sports Bras"/>
    <s v="XS"/>
    <x v="0"/>
    <d v="2024-10-25T00:00:00"/>
    <d v="2024-12-16T00:00:00"/>
    <n v="3"/>
    <n v="166.25659999999999"/>
    <n v="450.66"/>
    <n v="4"/>
    <n v="225.6508"/>
    <n v="7"/>
  </r>
  <r>
    <s v="Brand ABC TDM"/>
    <x v="2"/>
    <x v="1"/>
    <s v="Sports Bras"/>
    <s v="B8A5U-WB57"/>
    <s v="Fundamental Sports Bras"/>
    <s v="L"/>
    <x v="0"/>
    <d v="2024-10-25T00:00:00"/>
    <d v="2024-12-04T00:00:00"/>
    <n v="1"/>
    <n v="54.771799999999999"/>
    <n v="144.86000000000001"/>
    <n v="9"/>
    <n v="495.79469999999998"/>
    <n v="10"/>
  </r>
  <r>
    <s v="Brand ABC TDM"/>
    <x v="2"/>
    <x v="1"/>
    <s v="Sports Bras"/>
    <s v="B8A5U-WB57"/>
    <s v="Fundamental Sports Bras"/>
    <s v="M"/>
    <x v="0"/>
    <d v="2024-10-25T00:00:00"/>
    <d v="2024-12-04T00:00:00"/>
    <n v="2"/>
    <n v="109.7919"/>
    <n v="289.72000000000003"/>
    <n v="11"/>
    <n v="607.86879999999996"/>
    <n v="13"/>
  </r>
  <r>
    <s v="Brand ABC TDM"/>
    <x v="2"/>
    <x v="1"/>
    <s v="Sports Bras"/>
    <s v="B8A5U-WB57"/>
    <s v="Fundamental Sports Bras"/>
    <s v="S"/>
    <x v="0"/>
    <d v="2024-10-25T00:00:00"/>
    <d v="2024-12-17T00:00:00"/>
    <n v="3"/>
    <n v="165.10050000000001"/>
    <n v="434.58"/>
    <n v="6"/>
    <n v="331.01459999999997"/>
    <n v="9"/>
  </r>
  <r>
    <s v="Brand ABC TDM"/>
    <x v="2"/>
    <x v="1"/>
    <s v="Sports Bras"/>
    <s v="B8A5U-WB57"/>
    <s v="Fundamental Sports Bras"/>
    <s v="XS"/>
    <x v="0"/>
    <d v="2024-10-25T00:00:00"/>
    <d v="2024-12-16T00:00:00"/>
    <n v="1"/>
    <n v="54.762300000000003"/>
    <n v="144.86000000000001"/>
    <n v="4"/>
    <n v="221.89680000000001"/>
    <n v="5"/>
  </r>
  <r>
    <s v="Brand ABC TDM"/>
    <x v="2"/>
    <x v="1"/>
    <s v="Sports Bras"/>
    <s v="B8A5V-BB2J"/>
    <s v="Fundamental Sports Bras"/>
    <s v="L"/>
    <x v="0"/>
    <d v="2024-10-25T00:00:00"/>
    <d v="2024-12-17T00:00:00"/>
    <n v="3"/>
    <n v="164.41800000000001"/>
    <n v="434.58"/>
    <n v="7"/>
    <n v="383.642"/>
    <n v="10"/>
  </r>
  <r>
    <s v="Brand ABC TDM"/>
    <x v="2"/>
    <x v="1"/>
    <s v="Sports Bras"/>
    <s v="B8A5V-BB2J"/>
    <s v="Fundamental Sports Bras"/>
    <s v="M"/>
    <x v="0"/>
    <d v="2024-10-25T00:00:00"/>
    <d v="2024-12-17T00:00:00"/>
    <n v="13"/>
    <n v="713.54700000000003"/>
    <n v="1899.25"/>
    <n v="11"/>
    <n v="616.42349999999999"/>
    <n v="24"/>
  </r>
  <r>
    <s v="Brand ABC TDM"/>
    <x v="2"/>
    <x v="1"/>
    <s v="Sports Bras"/>
    <s v="B8A5V-BB2J"/>
    <s v="Fundamental Sports Bras"/>
    <s v="S"/>
    <x v="0"/>
    <d v="2024-10-25T00:00:00"/>
    <d v="2024-12-17T00:00:00"/>
    <n v="14"/>
    <n v="773.89589999999998"/>
    <n v="2060.21"/>
    <n v="5"/>
    <n v="282.00599999999997"/>
    <n v="19"/>
  </r>
  <r>
    <s v="Brand ABC TDM"/>
    <x v="2"/>
    <x v="1"/>
    <s v="Sports Bras"/>
    <s v="B8A5V-BB2J"/>
    <s v="Fundamental Sports Bras"/>
    <s v="XS"/>
    <x v="0"/>
    <d v="2024-10-25T00:00:00"/>
    <d v="2024-12-04T00:00:00"/>
    <n v="3"/>
    <n v="164.43389999999999"/>
    <n v="418.48"/>
    <n v="4"/>
    <n v="222.12360000000001"/>
    <n v="7"/>
  </r>
  <r>
    <s v="Brand ABC TDM"/>
    <x v="2"/>
    <x v="1"/>
    <s v="Sports Bras"/>
    <s v="B8A5V-ECDN"/>
    <s v="Fundamental Sports Bras"/>
    <s v="L"/>
    <x v="1"/>
    <d v="2024-10-26T00:00:00"/>
    <d v="2024-11-23T00:00:00"/>
    <n v="2"/>
    <n v="109.99679999999999"/>
    <n v="257.52999999999997"/>
    <n v="0"/>
    <n v="0"/>
    <n v="2"/>
  </r>
  <r>
    <s v="Brand ABC TDM"/>
    <x v="2"/>
    <x v="1"/>
    <s v="Sports Bras"/>
    <s v="B8A5V-ECDN"/>
    <s v="Fundamental Sports Bras"/>
    <s v="M"/>
    <x v="1"/>
    <d v="2024-10-26T00:00:00"/>
    <d v="2024-12-04T00:00:00"/>
    <n v="6"/>
    <n v="333.45499999999998"/>
    <n v="869.14"/>
    <n v="0"/>
    <n v="0"/>
    <n v="6"/>
  </r>
  <r>
    <s v="Brand ABC TDM"/>
    <x v="2"/>
    <x v="1"/>
    <s v="Sports Bras"/>
    <s v="B8A5V-ECDN"/>
    <s v="Fundamental Sports Bras"/>
    <s v="S"/>
    <x v="1"/>
    <d v="2024-10-26T00:00:00"/>
    <d v="2024-12-03T00:00:00"/>
    <n v="2"/>
    <n v="110.0932"/>
    <n v="289.72000000000003"/>
    <n v="0"/>
    <n v="0"/>
    <n v="2"/>
  </r>
  <r>
    <s v="Brand ABC TDM"/>
    <x v="2"/>
    <x v="1"/>
    <s v="Sports Bras"/>
    <s v="B8A5V-ECDN"/>
    <s v="Fundamental Sports Bras"/>
    <s v="XS"/>
    <x v="1"/>
    <d v="2024-10-26T00:00:00"/>
    <d v="2024-11-26T00:00:00"/>
    <n v="1"/>
    <n v="54.757599999999996"/>
    <n v="144.86000000000001"/>
    <n v="0"/>
    <n v="0"/>
    <n v="1"/>
  </r>
  <r>
    <s v="Brand ABC TDM"/>
    <x v="2"/>
    <x v="1"/>
    <s v="Sports Bras"/>
    <s v="B8A5V-WB57"/>
    <s v="Fundamental Sports Bras"/>
    <s v="L"/>
    <x v="0"/>
    <d v="2024-10-25T00:00:00"/>
    <d v="2024-12-19T00:00:00"/>
    <n v="0"/>
    <n v="0"/>
    <n v="0"/>
    <n v="8"/>
    <n v="438.38319999999999"/>
    <n v="8"/>
  </r>
  <r>
    <s v="Brand ABC TDM"/>
    <x v="2"/>
    <x v="1"/>
    <s v="Sports Bras"/>
    <s v="B8A5V-WB57"/>
    <s v="Fundamental Sports Bras"/>
    <s v="M"/>
    <x v="0"/>
    <d v="2024-10-25T00:00:00"/>
    <d v="2024-12-17T00:00:00"/>
    <n v="3"/>
    <n v="164.97210000000001"/>
    <n v="434.58"/>
    <n v="10"/>
    <n v="556.07600000000002"/>
    <n v="13"/>
  </r>
  <r>
    <s v="Brand ABC TDM"/>
    <x v="2"/>
    <x v="1"/>
    <s v="Sports Bras"/>
    <s v="B8A5V-WB57"/>
    <s v="Fundamental Sports Bras"/>
    <s v="S"/>
    <x v="0"/>
    <d v="2024-10-25T00:00:00"/>
    <d v="2024-12-06T00:00:00"/>
    <n v="3"/>
    <n v="165.2191"/>
    <n v="434.57"/>
    <n v="7"/>
    <n v="391.43299999999999"/>
    <n v="10"/>
  </r>
  <r>
    <s v="Brand ABC TDM"/>
    <x v="2"/>
    <x v="1"/>
    <s v="Sports Bras"/>
    <s v="B8A5V-WB57"/>
    <s v="Fundamental Sports Bras"/>
    <s v="XL"/>
    <x v="0"/>
    <d v="2024-10-26T00:00:00"/>
    <d v="2024-10-26T00:00:00"/>
    <n v="0"/>
    <n v="0"/>
    <n v="0"/>
    <n v="4"/>
    <n v="219.19159999999999"/>
    <n v="4"/>
  </r>
  <r>
    <s v="Brand ABC TDM"/>
    <x v="2"/>
    <x v="1"/>
    <s v="Sports Bras"/>
    <s v="B8A5V-WB57"/>
    <s v="Fundamental Sports Bras"/>
    <s v="XS"/>
    <x v="0"/>
    <d v="2024-10-25T00:00:00"/>
    <d v="2024-10-25T00:00:00"/>
    <n v="0"/>
    <n v="0"/>
    <n v="0"/>
    <n v="4"/>
    <n v="219.19159999999999"/>
    <n v="4"/>
  </r>
  <r>
    <s v="Brand ABC TDM"/>
    <x v="2"/>
    <x v="1"/>
    <s v="Sports Bras"/>
    <s v="B8A5X-GBCN"/>
    <s v="Fundamental Sports Bras"/>
    <s v="L"/>
    <x v="0"/>
    <d v="2024-10-26T00:00:00"/>
    <d v="2024-10-26T00:00:00"/>
    <n v="0"/>
    <n v="0"/>
    <n v="0"/>
    <n v="6"/>
    <n v="257.0172"/>
    <n v="6"/>
  </r>
  <r>
    <s v="Brand ABC TDM"/>
    <x v="2"/>
    <x v="1"/>
    <s v="Sports Bras"/>
    <s v="B8A5X-GBCN"/>
    <s v="Fundamental Sports Bras"/>
    <s v="M"/>
    <x v="0"/>
    <d v="2024-10-26T00:00:00"/>
    <d v="2024-10-26T00:00:00"/>
    <n v="0"/>
    <n v="0"/>
    <n v="0"/>
    <n v="7"/>
    <n v="299.85340000000002"/>
    <n v="7"/>
  </r>
  <r>
    <s v="Brand ABC TDM"/>
    <x v="2"/>
    <x v="1"/>
    <s v="Sports Bras"/>
    <s v="B8A5X-GBCN"/>
    <s v="Fundamental Sports Bras"/>
    <s v="S"/>
    <x v="0"/>
    <d v="2024-10-26T00:00:00"/>
    <d v="2024-11-19T00:00:00"/>
    <n v="1"/>
    <n v="42.836199999999998"/>
    <n v="119.14"/>
    <n v="5"/>
    <n v="214.18100000000001"/>
    <n v="6"/>
  </r>
  <r>
    <s v="Brand ABC TDM"/>
    <x v="2"/>
    <x v="1"/>
    <s v="Sports Bras"/>
    <s v="B8A5X-GBCN"/>
    <s v="Fundamental Sports Bras"/>
    <s v="XL"/>
    <x v="0"/>
    <d v="2024-10-26T00:00:00"/>
    <d v="2024-10-26T00:00:00"/>
    <n v="0"/>
    <n v="0"/>
    <n v="0"/>
    <n v="1"/>
    <n v="42.836199999999998"/>
    <n v="1"/>
  </r>
  <r>
    <s v="Brand ABC TDM"/>
    <x v="2"/>
    <x v="1"/>
    <s v="Sports Bras"/>
    <s v="B8A5X-GBCN"/>
    <s v="Fundamental Sports Bras"/>
    <s v="XS"/>
    <x v="0"/>
    <d v="2024-10-26T00:00:00"/>
    <d v="2024-10-26T00:00:00"/>
    <n v="0"/>
    <n v="0"/>
    <n v="0"/>
    <n v="3"/>
    <n v="128.5086"/>
    <n v="3"/>
  </r>
  <r>
    <s v="Brand ABC TDM"/>
    <x v="2"/>
    <x v="1"/>
    <s v="Sports Bras"/>
    <s v="B8A5Y-BB2J"/>
    <s v="Fundamental Sports Bras"/>
    <s v="L"/>
    <x v="0"/>
    <d v="2024-10-26T00:00:00"/>
    <d v="2024-10-26T00:00:00"/>
    <n v="0"/>
    <n v="0"/>
    <n v="0"/>
    <n v="6"/>
    <n v="257.0172"/>
    <n v="6"/>
  </r>
  <r>
    <s v="Brand ABC TDM"/>
    <x v="2"/>
    <x v="1"/>
    <s v="Sports Bras"/>
    <s v="B8A5Y-BB2J"/>
    <s v="Fundamental Sports Bras"/>
    <s v="M"/>
    <x v="0"/>
    <d v="2024-10-26T00:00:00"/>
    <d v="2024-11-25T00:00:00"/>
    <n v="5"/>
    <n v="215.29490000000001"/>
    <n v="565.14"/>
    <n v="3"/>
    <n v="129.6225"/>
    <n v="8"/>
  </r>
  <r>
    <s v="Brand ABC TDM"/>
    <x v="2"/>
    <x v="1"/>
    <s v="Sports Bras"/>
    <s v="B8A5Y-BB2J"/>
    <s v="Fundamental Sports Bras"/>
    <s v="S"/>
    <x v="0"/>
    <d v="2024-10-26T00:00:00"/>
    <d v="2024-10-26T00:00:00"/>
    <n v="3"/>
    <n v="128.5086"/>
    <n v="331.71"/>
    <n v="1"/>
    <n v="42.836199999999998"/>
    <n v="4"/>
  </r>
  <r>
    <s v="Brand ABC TDM"/>
    <x v="2"/>
    <x v="1"/>
    <s v="Sports Bras"/>
    <s v="B8A5Y-BB2J"/>
    <s v="Fundamental Sports Bras"/>
    <s v="XL"/>
    <x v="0"/>
    <d v="2024-10-26T00:00:00"/>
    <d v="2024-10-26T00:00:00"/>
    <n v="0"/>
    <n v="0"/>
    <n v="0"/>
    <n v="2"/>
    <n v="85.672399999999996"/>
    <n v="2"/>
  </r>
  <r>
    <s v="Brand ABC TDM"/>
    <x v="2"/>
    <x v="1"/>
    <s v="Sports Bras"/>
    <s v="B8A5Y-BB2J"/>
    <s v="Fundamental Sports Bras"/>
    <s v="XS"/>
    <x v="0"/>
    <d v="2024-10-26T00:00:00"/>
    <d v="2024-10-26T00:00:00"/>
    <n v="1"/>
    <n v="42.836199999999998"/>
    <n v="110.57"/>
    <n v="0"/>
    <n v="0"/>
    <n v="1"/>
  </r>
  <r>
    <s v="Brand ABC TDM"/>
    <x v="2"/>
    <x v="1"/>
    <s v="Sports Bras"/>
    <s v="B8A5Y-WB57"/>
    <s v="Fundamental Sports Bras"/>
    <s v="S"/>
    <x v="0"/>
    <d v="2024-11-25T00:00:00"/>
    <d v="2024-11-25T00:00:00"/>
    <n v="0"/>
    <n v="0"/>
    <n v="0"/>
    <n v="2"/>
    <n v="90.127399999999994"/>
    <n v="2"/>
  </r>
  <r>
    <s v="Brand ABC TDM"/>
    <x v="2"/>
    <x v="1"/>
    <s v="Sports Bras"/>
    <s v="B8A6A-BB2J"/>
    <s v="Fundamental Sports Bras"/>
    <s v="L"/>
    <x v="0"/>
    <d v="2024-10-25T00:00:00"/>
    <d v="2024-12-18T00:00:00"/>
    <n v="4"/>
    <n v="192.6465"/>
    <n v="510.85"/>
    <n v="8"/>
    <n v="390.27760000000001"/>
    <n v="12"/>
  </r>
  <r>
    <s v="Brand ABC TDM"/>
    <x v="2"/>
    <x v="1"/>
    <s v="Sports Bras"/>
    <s v="B8A6A-BB2J"/>
    <s v="Fundamental Sports Bras"/>
    <s v="M"/>
    <x v="0"/>
    <d v="2024-10-25T00:00:00"/>
    <d v="2024-12-14T00:00:00"/>
    <n v="27"/>
    <n v="1330.3285000000001"/>
    <n v="3434.05"/>
    <n v="10"/>
    <n v="502.80599999999998"/>
    <n v="37"/>
  </r>
  <r>
    <s v="Brand ABC TDM"/>
    <x v="2"/>
    <x v="1"/>
    <s v="Sports Bras"/>
    <s v="B8A6A-BB2J"/>
    <s v="Fundamental Sports Bras"/>
    <s v="S"/>
    <x v="0"/>
    <d v="2024-10-25T00:00:00"/>
    <d v="2024-12-09T00:00:00"/>
    <n v="27"/>
    <n v="1336.825"/>
    <n v="3412.79"/>
    <n v="7"/>
    <n v="352.8476"/>
    <n v="34"/>
  </r>
  <r>
    <s v="Brand ABC TDM"/>
    <x v="2"/>
    <x v="1"/>
    <s v="Sports Bras"/>
    <s v="B8A6A-BB2J"/>
    <s v="Fundamental Sports Bras"/>
    <s v="XL"/>
    <x v="0"/>
    <d v="2024-10-26T00:00:00"/>
    <d v="2024-12-09T00:00:00"/>
    <n v="1"/>
    <n v="47.941499999999998"/>
    <n v="127.72"/>
    <n v="4"/>
    <n v="194.2448"/>
    <n v="5"/>
  </r>
  <r>
    <s v="Brand ABC TDM"/>
    <x v="2"/>
    <x v="1"/>
    <s v="Sports Bras"/>
    <s v="B8A6A-BB2J"/>
    <s v="Fundamental Sports Bras"/>
    <s v="XS"/>
    <x v="0"/>
    <d v="2024-10-25T00:00:00"/>
    <d v="2024-12-12T00:00:00"/>
    <n v="11"/>
    <n v="540.27750000000003"/>
    <n v="1419.04"/>
    <n v="4"/>
    <n v="200.6088"/>
    <n v="15"/>
  </r>
  <r>
    <s v="Brand ABC TDM"/>
    <x v="2"/>
    <x v="1"/>
    <s v="Sports Bras"/>
    <s v="B8A6A-PBZR"/>
    <s v="Fundamental Sports Bras"/>
    <s v="L"/>
    <x v="1"/>
    <d v="2024-10-28T00:00:00"/>
    <d v="2024-12-04T00:00:00"/>
    <n v="6"/>
    <n v="290.89100000000002"/>
    <n v="766.27"/>
    <n v="6"/>
    <n v="299.19900000000001"/>
    <n v="12"/>
  </r>
  <r>
    <s v="Brand ABC TDM"/>
    <x v="2"/>
    <x v="1"/>
    <s v="Sports Bras"/>
    <s v="B8A6A-PBZR"/>
    <s v="Fundamental Sports Bras"/>
    <s v="M"/>
    <x v="1"/>
    <d v="2024-10-28T00:00:00"/>
    <d v="2024-12-21T00:00:00"/>
    <n v="6"/>
    <n v="292.0514"/>
    <n v="766.3"/>
    <n v="7"/>
    <n v="345.96730000000002"/>
    <n v="13"/>
  </r>
  <r>
    <s v="Brand ABC TDM"/>
    <x v="2"/>
    <x v="1"/>
    <s v="Sports Bras"/>
    <s v="B8A6A-PBZR"/>
    <s v="Fundamental Sports Bras"/>
    <s v="S"/>
    <x v="1"/>
    <d v="2024-10-28T00:00:00"/>
    <d v="2024-12-21T00:00:00"/>
    <n v="8"/>
    <n v="392.1771"/>
    <n v="1035.8900000000001"/>
    <n v="5"/>
    <n v="250.82550000000001"/>
    <n v="13"/>
  </r>
  <r>
    <s v="Brand ABC TDM"/>
    <x v="2"/>
    <x v="1"/>
    <s v="Sports Bras"/>
    <s v="B8A6A-PBZR"/>
    <s v="Fundamental Sports Bras"/>
    <s v="XS"/>
    <x v="1"/>
    <d v="2024-10-28T00:00:00"/>
    <d v="2024-12-21T00:00:00"/>
    <n v="2"/>
    <n v="95.579099999999997"/>
    <n v="255.42"/>
    <n v="4"/>
    <n v="199.46559999999999"/>
    <n v="6"/>
  </r>
  <r>
    <s v="Brand ABC TDM"/>
    <x v="2"/>
    <x v="1"/>
    <s v="Sports Bras"/>
    <s v="B8A6A-TBNH"/>
    <s v="Fundamental Sports Bras"/>
    <s v="L"/>
    <x v="0"/>
    <d v="2024-10-26T00:00:00"/>
    <d v="2024-10-26T00:00:00"/>
    <n v="3"/>
    <n v="143.90520000000001"/>
    <n v="383.15"/>
    <n v="3"/>
    <n v="143.90520000000001"/>
    <n v="6"/>
  </r>
  <r>
    <s v="Brand ABC TDM"/>
    <x v="2"/>
    <x v="1"/>
    <s v="Sports Bras"/>
    <s v="B8A6A-TBNH"/>
    <s v="Fundamental Sports Bras"/>
    <s v="M"/>
    <x v="0"/>
    <d v="2024-10-26T00:00:00"/>
    <d v="2024-10-26T00:00:00"/>
    <n v="3"/>
    <n v="143.90520000000001"/>
    <n v="383.14"/>
    <n v="4"/>
    <n v="191.87360000000001"/>
    <n v="7"/>
  </r>
  <r>
    <s v="Brand ABC TDM"/>
    <x v="2"/>
    <x v="1"/>
    <s v="Sports Bras"/>
    <s v="B8A6A-TBNH"/>
    <s v="Fundamental Sports Bras"/>
    <s v="S"/>
    <x v="0"/>
    <d v="2024-10-26T00:00:00"/>
    <d v="2024-12-13T00:00:00"/>
    <n v="2"/>
    <n v="96.435699999999997"/>
    <n v="255.42"/>
    <n v="5"/>
    <n v="244.33199999999999"/>
    <n v="7"/>
  </r>
  <r>
    <s v="Brand ABC TDM"/>
    <x v="2"/>
    <x v="1"/>
    <s v="Sports Bras"/>
    <s v="B8A6A-TBNH"/>
    <s v="Fundamental Sports Bras"/>
    <s v="XS"/>
    <x v="0"/>
    <d v="2024-10-26T00:00:00"/>
    <d v="2024-10-26T00:00:00"/>
    <n v="0"/>
    <n v="0"/>
    <n v="0"/>
    <n v="3"/>
    <n v="143.90520000000001"/>
    <n v="3"/>
  </r>
  <r>
    <s v="Brand ABC TDM"/>
    <x v="2"/>
    <x v="1"/>
    <s v="Sports Bras"/>
    <s v="B8A9D-KB0V"/>
    <s v="Fundamental Sports Bras"/>
    <s v="L"/>
    <x v="0"/>
    <d v="2024-05-20T00:00:00"/>
    <d v="2024-11-09T00:00:00"/>
    <n v="1"/>
    <n v="47.968400000000003"/>
    <n v="127.71"/>
    <n v="0"/>
    <n v="0"/>
    <n v="1"/>
  </r>
  <r>
    <s v="Brand ABC TDM"/>
    <x v="2"/>
    <x v="1"/>
    <s v="Sports Bras"/>
    <s v="B8A9D-KB0V"/>
    <s v="Fundamental Sports Bras"/>
    <s v="M"/>
    <x v="0"/>
    <d v="2024-05-20T00:00:00"/>
    <d v="2024-11-09T00:00:00"/>
    <n v="7"/>
    <n v="335.77879999999999"/>
    <n v="908.2"/>
    <n v="0"/>
    <n v="0"/>
    <n v="7"/>
  </r>
  <r>
    <s v="Brand ABC TDM"/>
    <x v="2"/>
    <x v="1"/>
    <s v="Sports Bras"/>
    <s v="B8A9D-KB0V"/>
    <s v="Fundamental Sports Bras"/>
    <s v="S"/>
    <x v="0"/>
    <d v="2024-05-20T00:00:00"/>
    <d v="2024-11-14T00:00:00"/>
    <n v="9"/>
    <n v="431.71559999999999"/>
    <n v="1149.3900000000001"/>
    <n v="0"/>
    <n v="0"/>
    <n v="9"/>
  </r>
  <r>
    <s v="Brand ABC TDM"/>
    <x v="2"/>
    <x v="1"/>
    <s v="Sports Bras"/>
    <s v="B8A9D-KB0V"/>
    <s v="Fundamental Sports Bras"/>
    <s v="XS"/>
    <x v="0"/>
    <d v="2024-05-20T00:00:00"/>
    <d v="2024-11-09T00:00:00"/>
    <n v="2"/>
    <n v="95.936800000000005"/>
    <n v="255.42"/>
    <n v="0"/>
    <n v="0"/>
    <n v="2"/>
  </r>
  <r>
    <s v="Brand ABC TDM"/>
    <x v="2"/>
    <x v="1"/>
    <s v="Sports Bras"/>
    <s v="B8A9D-WB57"/>
    <s v="Fundamental Sports Bras"/>
    <s v="S"/>
    <x v="0"/>
    <d v="2024-11-25T00:00:00"/>
    <d v="2024-11-25T00:00:00"/>
    <n v="0"/>
    <n v="0"/>
    <n v="0"/>
    <n v="2"/>
    <n v="100.9256"/>
    <n v="2"/>
  </r>
  <r>
    <s v="Brand ABC TDM"/>
    <x v="2"/>
    <x v="1"/>
    <s v="Sports Bras"/>
    <s v="B9A8C-UCDW"/>
    <s v="Adapt Camo"/>
    <s v="L"/>
    <x v="1"/>
    <d v="2024-10-28T00:00:00"/>
    <d v="2024-10-28T00:00:00"/>
    <n v="1"/>
    <n v="65.022000000000006"/>
    <n v="179.14"/>
    <n v="0"/>
    <n v="0"/>
    <n v="1"/>
  </r>
  <r>
    <s v="Brand ABC TDM"/>
    <x v="2"/>
    <x v="1"/>
    <s v="Sports Bras"/>
    <s v="B9A8C-UCDW"/>
    <s v="Adapt Camo"/>
    <s v="M"/>
    <x v="1"/>
    <d v="2024-10-28T00:00:00"/>
    <d v="2024-12-04T00:00:00"/>
    <n v="5"/>
    <n v="328.49099999999999"/>
    <n v="865.86"/>
    <n v="1"/>
    <n v="67.022999999999996"/>
    <n v="6"/>
  </r>
  <r>
    <s v="Brand ABC TDM"/>
    <x v="2"/>
    <x v="1"/>
    <s v="Sports Bras"/>
    <s v="B9A8C-UCDW"/>
    <s v="Adapt Camo"/>
    <s v="S"/>
    <x v="1"/>
    <d v="2024-10-28T00:00:00"/>
    <d v="2024-12-04T00:00:00"/>
    <n v="5"/>
    <n v="330.30340000000001"/>
    <n v="875.79"/>
    <n v="1"/>
    <n v="67.364500000000007"/>
    <n v="6"/>
  </r>
  <r>
    <s v="Brand ABC TDM"/>
    <x v="2"/>
    <x v="1"/>
    <s v="Crop Tops"/>
    <s v="B1A3D-EBTF"/>
    <s v="Vital"/>
    <s v="L"/>
    <x v="0"/>
    <d v="2024-10-25T00:00:00"/>
    <d v="2024-11-25T00:00:00"/>
    <n v="4"/>
    <n v="239.71860000000001"/>
    <n v="648"/>
    <n v="7"/>
    <n v="422.62220000000002"/>
    <n v="11"/>
  </r>
  <r>
    <s v="Brand ABC TDM"/>
    <x v="2"/>
    <x v="1"/>
    <s v="Crop Tops"/>
    <s v="B1A3D-EBTF"/>
    <s v="Vital"/>
    <s v="M"/>
    <x v="0"/>
    <d v="2024-10-25T00:00:00"/>
    <d v="2024-12-04T00:00:00"/>
    <n v="16"/>
    <n v="968.37450000000001"/>
    <n v="2600.9499999999998"/>
    <n v="7"/>
    <n v="438.04739999999998"/>
    <n v="23"/>
  </r>
  <r>
    <s v="Brand ABC TDM"/>
    <x v="2"/>
    <x v="1"/>
    <s v="Crop Tops"/>
    <s v="B1A3D-EBTF"/>
    <s v="Vital"/>
    <s v="S"/>
    <x v="0"/>
    <d v="2024-10-25T00:00:00"/>
    <d v="2024-11-30T00:00:00"/>
    <n v="18"/>
    <n v="1091.1805999999999"/>
    <n v="2934"/>
    <n v="6"/>
    <n v="378.267"/>
    <n v="24"/>
  </r>
  <r>
    <s v="Brand ABC TDM"/>
    <x v="2"/>
    <x v="1"/>
    <s v="Crop Tops"/>
    <s v="B1A3D-EBTF"/>
    <s v="Vital"/>
    <s v="XL"/>
    <x v="0"/>
    <d v="2024-10-25T00:00:00"/>
    <d v="2024-12-07T00:00:00"/>
    <n v="0"/>
    <n v="0"/>
    <n v="0"/>
    <n v="4"/>
    <n v="242.79480000000001"/>
    <n v="4"/>
  </r>
  <r>
    <s v="Brand ABC TDM"/>
    <x v="2"/>
    <x v="1"/>
    <s v="Crop Tops"/>
    <s v="B1A3D-EBTF"/>
    <s v="Vital"/>
    <s v="XS"/>
    <x v="0"/>
    <d v="2024-10-25T00:00:00"/>
    <d v="2024-11-22T00:00:00"/>
    <n v="8"/>
    <n v="481.7722"/>
    <n v="1296"/>
    <n v="4"/>
    <n v="249.84399999999999"/>
    <n v="12"/>
  </r>
  <r>
    <s v="Brand ABC TDM"/>
    <x v="2"/>
    <x v="1"/>
    <s v="Crop Tops"/>
    <s v="B1B7S-BB2J"/>
    <s v="Linear Seamless"/>
    <s v="L"/>
    <x v="1"/>
    <d v="2024-10-26T00:00:00"/>
    <d v="2024-11-26T00:00:00"/>
    <n v="2"/>
    <n v="119.7796"/>
    <n v="324"/>
    <n v="1"/>
    <n v="60.927900000000001"/>
    <n v="3"/>
  </r>
  <r>
    <s v="Brand ABC TDM"/>
    <x v="2"/>
    <x v="1"/>
    <s v="Crop Tops"/>
    <s v="B1B7S-BB2J"/>
    <s v="Linear Seamless"/>
    <s v="M"/>
    <x v="1"/>
    <d v="2024-10-26T00:00:00"/>
    <d v="2024-11-20T00:00:00"/>
    <n v="2"/>
    <n v="120.3909"/>
    <n v="288"/>
    <n v="1"/>
    <n v="60.455199999999998"/>
    <n v="3"/>
  </r>
  <r>
    <s v="Brand ABC TDM"/>
    <x v="2"/>
    <x v="1"/>
    <s v="Crop Tops"/>
    <s v="B1B7S-BB2J"/>
    <s v="Linear Seamless"/>
    <s v="S"/>
    <x v="1"/>
    <d v="2024-10-26T00:00:00"/>
    <d v="2024-11-26T00:00:00"/>
    <n v="2"/>
    <n v="119.7796"/>
    <n v="324"/>
    <n v="1"/>
    <n v="61.1355"/>
    <n v="3"/>
  </r>
  <r>
    <s v="Brand ABC TDM"/>
    <x v="2"/>
    <x v="1"/>
    <s v="Crop Tops"/>
    <s v="B1B7S-BB2J"/>
    <s v="Linear Seamless"/>
    <s v="XS"/>
    <x v="1"/>
    <d v="2024-10-26T00:00:00"/>
    <d v="2024-11-26T00:00:00"/>
    <n v="1"/>
    <n v="59.889800000000001"/>
    <n v="162"/>
    <n v="0"/>
    <n v="0"/>
    <n v="1"/>
  </r>
  <r>
    <s v="Brand ABC TDM"/>
    <x v="2"/>
    <x v="1"/>
    <s v="Crop Tops"/>
    <s v="B1C5Q-BB67"/>
    <s v="Premium Legacy"/>
    <s v="L"/>
    <x v="1"/>
    <d v="2024-10-28T00:00:00"/>
    <d v="2024-10-28T00:00:00"/>
    <n v="0"/>
    <n v="0"/>
    <n v="0"/>
    <n v="5"/>
    <n v="273.78800000000001"/>
    <n v="5"/>
  </r>
  <r>
    <s v="Brand ABC TDM"/>
    <x v="2"/>
    <x v="1"/>
    <s v="Crop Tops"/>
    <s v="B1C5Q-BB67"/>
    <s v="Premium Legacy"/>
    <s v="M"/>
    <x v="1"/>
    <d v="2024-10-28T00:00:00"/>
    <d v="2024-12-17T00:00:00"/>
    <n v="10"/>
    <n v="562.3596"/>
    <n v="1464.68"/>
    <n v="5"/>
    <n v="287.4785"/>
    <n v="15"/>
  </r>
  <r>
    <s v="Brand ABC TDM"/>
    <x v="2"/>
    <x v="1"/>
    <s v="Crop Tops"/>
    <s v="B1C5Q-BB67"/>
    <s v="Premium Legacy"/>
    <s v="S"/>
    <x v="1"/>
    <d v="2024-10-28T00:00:00"/>
    <d v="2024-12-17T00:00:00"/>
    <n v="6"/>
    <n v="335.84219999999999"/>
    <n v="885.25"/>
    <n v="4"/>
    <n v="228.81880000000001"/>
    <n v="10"/>
  </r>
  <r>
    <s v="Brand ABC TDM"/>
    <x v="2"/>
    <x v="1"/>
    <s v="Crop Tops"/>
    <s v="B1C5Q-BB67"/>
    <s v="Premium Legacy"/>
    <s v="XS"/>
    <x v="1"/>
    <d v="2024-10-28T00:00:00"/>
    <d v="2024-12-13T00:00:00"/>
    <n v="4"/>
    <n v="222.5898"/>
    <n v="595.53"/>
    <n v="3"/>
    <n v="171.39150000000001"/>
    <n v="7"/>
  </r>
  <r>
    <s v="Brand ABC TDM"/>
    <x v="2"/>
    <x v="1"/>
    <s v="Crop Tops"/>
    <s v="B1C5Q-PB1M"/>
    <s v="Premium Legacy"/>
    <s v="L"/>
    <x v="1"/>
    <d v="2024-10-28T00:00:00"/>
    <d v="2024-12-12T00:00:00"/>
    <n v="2"/>
    <n v="110.0847"/>
    <n v="289.72000000000003"/>
    <n v="5"/>
    <n v="278.9135"/>
    <n v="7"/>
  </r>
  <r>
    <s v="Brand ABC TDM"/>
    <x v="2"/>
    <x v="1"/>
    <s v="Crop Tops"/>
    <s v="B1C5Q-PB1M"/>
    <s v="Premium Legacy"/>
    <s v="M"/>
    <x v="1"/>
    <d v="2024-10-28T00:00:00"/>
    <d v="2024-12-17T00:00:00"/>
    <n v="2"/>
    <n v="109.51519999999999"/>
    <n v="289.70999999999998"/>
    <n v="5"/>
    <n v="279.483"/>
    <n v="7"/>
  </r>
  <r>
    <s v="Brand ABC TDM"/>
    <x v="2"/>
    <x v="1"/>
    <s v="Crop Tops"/>
    <s v="B1C5Q-PB1M"/>
    <s v="Premium Legacy"/>
    <s v="S"/>
    <x v="1"/>
    <d v="2024-10-28T00:00:00"/>
    <d v="2024-12-13T00:00:00"/>
    <n v="4"/>
    <n v="221.87780000000001"/>
    <n v="579.44000000000005"/>
    <n v="4"/>
    <n v="227.5728"/>
    <n v="8"/>
  </r>
  <r>
    <s v="Brand ABC TDM"/>
    <x v="2"/>
    <x v="1"/>
    <s v="Crop Tops"/>
    <s v="B1C5Q-PB1M"/>
    <s v="Premium Legacy"/>
    <s v="XS"/>
    <x v="1"/>
    <d v="2024-10-28T00:00:00"/>
    <d v="2024-12-06T00:00:00"/>
    <n v="3"/>
    <n v="166.17099999999999"/>
    <n v="434.58"/>
    <n v="1"/>
    <n v="55.706699999999998"/>
    <n v="4"/>
  </r>
  <r>
    <s v="Brand ABC TDM"/>
    <x v="2"/>
    <x v="1"/>
    <s v="Crop Tops"/>
    <s v="B1C5W-BB29"/>
    <s v="Caged"/>
    <s v="L"/>
    <x v="2"/>
    <d v="2024-12-12T00:00:00"/>
    <d v="2024-12-12T00:00:00"/>
    <n v="0"/>
    <n v="0"/>
    <n v="0"/>
    <n v="5"/>
    <n v="342.01549999999997"/>
    <n v="5"/>
  </r>
  <r>
    <s v="Brand ABC TDM"/>
    <x v="2"/>
    <x v="1"/>
    <s v="Crop Tops"/>
    <s v="B1C5W-BB29"/>
    <s v="Caged"/>
    <s v="M"/>
    <x v="2"/>
    <d v="2024-12-12T00:00:00"/>
    <d v="2024-12-21T00:00:00"/>
    <n v="0"/>
    <n v="0"/>
    <n v="0"/>
    <n v="5"/>
    <n v="342.01549999999997"/>
    <n v="5"/>
  </r>
  <r>
    <s v="Brand ABC TDM"/>
    <x v="2"/>
    <x v="1"/>
    <s v="Crop Tops"/>
    <s v="B1C5W-BB29"/>
    <s v="Caged"/>
    <s v="S"/>
    <x v="2"/>
    <d v="2024-12-12T00:00:00"/>
    <d v="2024-12-18T00:00:00"/>
    <n v="0"/>
    <n v="0"/>
    <n v="0"/>
    <n v="4"/>
    <n v="273.61239999999998"/>
    <n v="4"/>
  </r>
  <r>
    <s v="Brand ABC TDM"/>
    <x v="2"/>
    <x v="1"/>
    <s v="Crop Tops"/>
    <s v="B1C5W-BB29"/>
    <s v="Caged"/>
    <s v="XS"/>
    <x v="2"/>
    <d v="2024-12-12T00:00:00"/>
    <d v="2024-12-12T00:00:00"/>
    <n v="0"/>
    <n v="0"/>
    <n v="0"/>
    <n v="3"/>
    <n v="205.20930000000001"/>
    <n v="3"/>
  </r>
  <r>
    <s v="Brand ABC TDM"/>
    <x v="2"/>
    <x v="1"/>
    <s v="Crop Tops"/>
    <s v="B1C5W-UCY1"/>
    <s v="Caged"/>
    <s v="L"/>
    <x v="2"/>
    <d v="2024-12-12T00:00:00"/>
    <d v="2024-12-20T00:00:00"/>
    <n v="0"/>
    <n v="0"/>
    <n v="0"/>
    <n v="5"/>
    <n v="342.01549999999997"/>
    <n v="5"/>
  </r>
  <r>
    <s v="Brand ABC TDM"/>
    <x v="2"/>
    <x v="1"/>
    <s v="Crop Tops"/>
    <s v="B1C5W-UCY1"/>
    <s v="Caged"/>
    <s v="M"/>
    <x v="2"/>
    <d v="2024-12-12T00:00:00"/>
    <d v="2024-12-20T00:00:00"/>
    <n v="0"/>
    <n v="0"/>
    <n v="0"/>
    <n v="5"/>
    <n v="342.01549999999997"/>
    <n v="5"/>
  </r>
  <r>
    <s v="Brand ABC TDM"/>
    <x v="2"/>
    <x v="1"/>
    <s v="Crop Tops"/>
    <s v="B1C5W-UCY1"/>
    <s v="Caged"/>
    <s v="S"/>
    <x v="2"/>
    <d v="2024-12-12T00:00:00"/>
    <d v="2024-12-21T00:00:00"/>
    <n v="0"/>
    <n v="0"/>
    <n v="0"/>
    <n v="4"/>
    <n v="273.61239999999998"/>
    <n v="4"/>
  </r>
  <r>
    <s v="Brand ABC TDM"/>
    <x v="2"/>
    <x v="1"/>
    <s v="Crop Tops"/>
    <s v="B1C5W-UCY1"/>
    <s v="Caged"/>
    <s v="XS"/>
    <x v="2"/>
    <d v="2024-12-12T00:00:00"/>
    <d v="2024-12-21T00:00:00"/>
    <n v="0"/>
    <n v="0"/>
    <n v="0"/>
    <n v="3"/>
    <n v="205.20930000000001"/>
    <n v="3"/>
  </r>
  <r>
    <s v="Brand ABC TDM"/>
    <x v="2"/>
    <x v="1"/>
    <s v="Crop Tops"/>
    <s v="B4A6W-BBF3"/>
    <s v="Vital"/>
    <s v="L"/>
    <x v="0"/>
    <d v="2024-05-20T00:00:00"/>
    <d v="2024-11-30T00:00:00"/>
    <n v="6"/>
    <n v="307.71769999999998"/>
    <n v="836.96"/>
    <n v="8"/>
    <n v="421.4744"/>
    <n v="14"/>
  </r>
  <r>
    <s v="Brand ABC TDM"/>
    <x v="2"/>
    <x v="1"/>
    <s v="Crop Tops"/>
    <s v="B4A6W-BBF3"/>
    <s v="Vital"/>
    <s v="M"/>
    <x v="0"/>
    <d v="2024-05-20T00:00:00"/>
    <d v="2024-12-20T00:00:00"/>
    <n v="14"/>
    <n v="773.77909999999997"/>
    <n v="2044.09"/>
    <n v="7"/>
    <n v="411.80579999999998"/>
    <n v="21"/>
  </r>
  <r>
    <s v="Brand ABC TDM"/>
    <x v="2"/>
    <x v="1"/>
    <s v="Crop Tops"/>
    <s v="B4A6W-BBF3"/>
    <s v="Vital"/>
    <s v="S"/>
    <x v="0"/>
    <d v="2024-05-20T00:00:00"/>
    <d v="2024-12-21T00:00:00"/>
    <n v="17"/>
    <n v="975.31479999999999"/>
    <n v="2446.4899999999998"/>
    <n v="5"/>
    <n v="302.70749999999998"/>
    <n v="22"/>
  </r>
  <r>
    <s v="Brand ABC TDM"/>
    <x v="2"/>
    <x v="1"/>
    <s v="Crop Tops"/>
    <s v="B4A6W-BBF3"/>
    <s v="Vital"/>
    <s v="XS"/>
    <x v="0"/>
    <d v="2024-05-20T00:00:00"/>
    <d v="2024-12-18T00:00:00"/>
    <n v="13"/>
    <n v="696.07349999999997"/>
    <n v="1899.22"/>
    <n v="3"/>
    <n v="167.2689"/>
    <n v="16"/>
  </r>
  <r>
    <s v="Brand ABC TDM"/>
    <x v="2"/>
    <x v="1"/>
    <s v="Crop Tops"/>
    <s v="B4A6W-UCW6"/>
    <s v="Vital"/>
    <s v="L"/>
    <x v="1"/>
    <d v="2024-10-26T00:00:00"/>
    <d v="2024-12-21T00:00:00"/>
    <n v="1"/>
    <n v="51.322600000000001"/>
    <n v="144.86000000000001"/>
    <n v="5"/>
    <n v="266.05149999999998"/>
    <n v="6"/>
  </r>
  <r>
    <s v="Brand ABC TDM"/>
    <x v="2"/>
    <x v="1"/>
    <s v="Crop Tops"/>
    <s v="B4A6W-UCW6"/>
    <s v="Vital"/>
    <s v="M"/>
    <x v="1"/>
    <d v="2024-10-26T00:00:00"/>
    <d v="2024-12-21T00:00:00"/>
    <n v="1"/>
    <n v="51.322600000000001"/>
    <n v="144.85"/>
    <n v="5"/>
    <n v="263.80149999999998"/>
    <n v="6"/>
  </r>
  <r>
    <s v="Brand ABC TDM"/>
    <x v="2"/>
    <x v="1"/>
    <s v="Crop Tops"/>
    <s v="B4A6W-UCW6"/>
    <s v="Vital"/>
    <s v="S"/>
    <x v="1"/>
    <d v="2024-10-26T00:00:00"/>
    <d v="2024-12-21T00:00:00"/>
    <n v="2"/>
    <n v="102.3116"/>
    <n v="289.70999999999998"/>
    <n v="5"/>
    <n v="264.95299999999997"/>
    <n v="7"/>
  </r>
  <r>
    <s v="Brand ABC TDM"/>
    <x v="2"/>
    <x v="1"/>
    <s v="Crop Tops"/>
    <s v="B4A6W-UCW6"/>
    <s v="Vital"/>
    <s v="XS"/>
    <x v="1"/>
    <d v="2024-10-26T00:00:00"/>
    <d v="2024-12-21T00:00:00"/>
    <n v="1"/>
    <n v="51.322600000000001"/>
    <n v="144.86000000000001"/>
    <n v="3"/>
    <n v="158.8836"/>
    <n v="4"/>
  </r>
  <r>
    <s v="Brand ABC TDM"/>
    <x v="2"/>
    <x v="1"/>
    <s v="Crop Tops"/>
    <s v="B4A6W-UCW7"/>
    <s v="Vital"/>
    <s v="L"/>
    <x v="2"/>
    <d v="2024-10-26T00:00:00"/>
    <d v="2024-10-26T00:00:00"/>
    <n v="0"/>
    <n v="0"/>
    <n v="0"/>
    <n v="5"/>
    <n v="256.613"/>
    <n v="5"/>
  </r>
  <r>
    <s v="Brand ABC TDM"/>
    <x v="2"/>
    <x v="1"/>
    <s v="Crop Tops"/>
    <s v="B4A6W-UCW7"/>
    <s v="Vital"/>
    <s v="M"/>
    <x v="2"/>
    <d v="2024-10-26T00:00:00"/>
    <d v="2024-11-23T00:00:00"/>
    <n v="0"/>
    <n v="0"/>
    <n v="0"/>
    <n v="5"/>
    <n v="259.28199999999998"/>
    <n v="5"/>
  </r>
  <r>
    <s v="Brand ABC TDM"/>
    <x v="2"/>
    <x v="1"/>
    <s v="Crop Tops"/>
    <s v="B4A6W-UCW7"/>
    <s v="Vital"/>
    <s v="S"/>
    <x v="2"/>
    <d v="2024-10-26T00:00:00"/>
    <d v="2024-12-04T00:00:00"/>
    <n v="0"/>
    <n v="0"/>
    <n v="0"/>
    <n v="4"/>
    <n v="212.9632"/>
    <n v="4"/>
  </r>
  <r>
    <s v="Brand ABC TDM"/>
    <x v="2"/>
    <x v="1"/>
    <s v="Crop Tops"/>
    <s v="B4A6W-UCW7"/>
    <s v="Vital"/>
    <s v="XS"/>
    <x v="2"/>
    <d v="2024-10-26T00:00:00"/>
    <d v="2024-11-30T00:00:00"/>
    <n v="0"/>
    <n v="0"/>
    <n v="0"/>
    <n v="6"/>
    <n v="322.76220000000001"/>
    <n v="6"/>
  </r>
  <r>
    <s v="Brand ABC TDM"/>
    <x v="2"/>
    <x v="1"/>
    <s v="Crop Tops"/>
    <s v="B6A3Q-BCBF"/>
    <s v="GFX Core"/>
    <s v="L"/>
    <x v="0"/>
    <d v="2024-12-07T00:00:00"/>
    <d v="2024-12-07T00:00:00"/>
    <n v="0"/>
    <n v="0"/>
    <n v="0"/>
    <n v="5"/>
    <n v="180.042"/>
    <n v="5"/>
  </r>
  <r>
    <s v="Brand ABC TDM"/>
    <x v="2"/>
    <x v="1"/>
    <s v="Crop Tops"/>
    <s v="B6A3Q-BCBF"/>
    <s v="GFX Core"/>
    <s v="M"/>
    <x v="0"/>
    <d v="2024-12-07T00:00:00"/>
    <d v="2024-12-07T00:00:00"/>
    <n v="0"/>
    <n v="0"/>
    <n v="0"/>
    <n v="5"/>
    <n v="180.042"/>
    <n v="5"/>
  </r>
  <r>
    <s v="Brand ABC TDM"/>
    <x v="2"/>
    <x v="1"/>
    <s v="Crop Tops"/>
    <s v="B6A3Q-BCBF"/>
    <s v="GFX Core"/>
    <s v="S"/>
    <x v="0"/>
    <d v="2024-12-07T00:00:00"/>
    <d v="2024-12-12T00:00:00"/>
    <n v="4"/>
    <n v="144.03360000000001"/>
    <n v="384.1"/>
    <n v="3"/>
    <n v="108.0252"/>
    <n v="7"/>
  </r>
  <r>
    <s v="Brand ABC TDM"/>
    <x v="2"/>
    <x v="1"/>
    <s v="Crop Tops"/>
    <s v="B6A3Q-BCBF"/>
    <s v="GFX Core"/>
    <s v="XS"/>
    <x v="0"/>
    <d v="2024-12-07T00:00:00"/>
    <d v="2024-12-11T00:00:00"/>
    <n v="2"/>
    <n v="72.016800000000003"/>
    <n v="186.86"/>
    <n v="3"/>
    <n v="108.0252"/>
    <n v="5"/>
  </r>
  <r>
    <s v="Brand ABC TDM"/>
    <x v="2"/>
    <x v="1"/>
    <s v="Crop Tops"/>
    <s v="B6A3Q-KB7B"/>
    <s v="GFX Core"/>
    <s v="L"/>
    <x v="1"/>
    <d v="2024-12-07T00:00:00"/>
    <d v="2024-12-07T00:00:00"/>
    <n v="0"/>
    <n v="0"/>
    <n v="0"/>
    <n v="5"/>
    <n v="180.042"/>
    <n v="5"/>
  </r>
  <r>
    <s v="Brand ABC TDM"/>
    <x v="2"/>
    <x v="1"/>
    <s v="Crop Tops"/>
    <s v="B6A3Q-KB7B"/>
    <s v="GFX Core"/>
    <s v="M"/>
    <x v="1"/>
    <d v="2024-12-07T00:00:00"/>
    <d v="2024-12-07T00:00:00"/>
    <n v="0"/>
    <n v="0"/>
    <n v="0"/>
    <n v="5"/>
    <n v="180.042"/>
    <n v="5"/>
  </r>
  <r>
    <s v="Brand ABC TDM"/>
    <x v="2"/>
    <x v="1"/>
    <s v="Crop Tops"/>
    <s v="B6A3Q-KB7B"/>
    <s v="GFX Core"/>
    <s v="S"/>
    <x v="1"/>
    <d v="2024-12-07T00:00:00"/>
    <d v="2024-12-07T00:00:00"/>
    <n v="0"/>
    <n v="0"/>
    <n v="0"/>
    <n v="4"/>
    <n v="144.03360000000001"/>
    <n v="4"/>
  </r>
  <r>
    <s v="Brand ABC TDM"/>
    <x v="2"/>
    <x v="1"/>
    <s v="Crop Tops"/>
    <s v="B6A3Q-KB7B"/>
    <s v="GFX Core"/>
    <s v="XS"/>
    <x v="1"/>
    <d v="2024-12-07T00:00:00"/>
    <d v="2024-12-07T00:00:00"/>
    <n v="0"/>
    <n v="0"/>
    <n v="0"/>
    <n v="3"/>
    <n v="108.0252"/>
    <n v="3"/>
  </r>
  <r>
    <s v="Brand ABC TDM"/>
    <x v="2"/>
    <x v="1"/>
    <s v="Crop Tops"/>
    <s v="B6A3Q-WB57"/>
    <s v="GFX Core"/>
    <s v="L"/>
    <x v="0"/>
    <d v="2024-12-07T00:00:00"/>
    <d v="2024-12-07T00:00:00"/>
    <n v="0"/>
    <n v="0"/>
    <n v="0"/>
    <n v="5"/>
    <n v="180.042"/>
    <n v="5"/>
  </r>
  <r>
    <s v="Brand ABC TDM"/>
    <x v="2"/>
    <x v="1"/>
    <s v="Crop Tops"/>
    <s v="B6A3Q-WB57"/>
    <s v="GFX Core"/>
    <s v="M"/>
    <x v="0"/>
    <d v="2024-12-07T00:00:00"/>
    <d v="2024-12-07T00:00:00"/>
    <n v="0"/>
    <n v="0"/>
    <n v="0"/>
    <n v="5"/>
    <n v="180.042"/>
    <n v="5"/>
  </r>
  <r>
    <s v="Brand ABC TDM"/>
    <x v="2"/>
    <x v="1"/>
    <s v="Crop Tops"/>
    <s v="B6A3Q-WB57"/>
    <s v="GFX Core"/>
    <s v="S"/>
    <x v="0"/>
    <d v="2024-12-07T00:00:00"/>
    <d v="2024-12-12T00:00:00"/>
    <n v="2"/>
    <n v="72.016800000000003"/>
    <n v="186.85"/>
    <n v="4"/>
    <n v="144.03360000000001"/>
    <n v="6"/>
  </r>
  <r>
    <s v="Brand ABC TDM"/>
    <x v="2"/>
    <x v="1"/>
    <s v="Crop Tops"/>
    <s v="B6A3Q-WB57"/>
    <s v="GFX Core"/>
    <s v="XS"/>
    <x v="0"/>
    <d v="2024-12-07T00:00:00"/>
    <d v="2024-12-07T00:00:00"/>
    <n v="0"/>
    <n v="0"/>
    <n v="0"/>
    <n v="3"/>
    <n v="108.0252"/>
    <n v="3"/>
  </r>
  <r>
    <s v="Brand ABC TDM"/>
    <x v="2"/>
    <x v="1"/>
    <s v="Crop Tops"/>
    <s v="B7A1Q-BB2J"/>
    <s v="Elevate"/>
    <s v="XS"/>
    <x v="3"/>
    <d v="2024-11-07T00:00:00"/>
    <d v="2024-11-07T00:00:00"/>
    <n v="0"/>
    <n v="0"/>
    <n v="0"/>
    <n v="1"/>
    <n v="59.930199999999999"/>
    <n v="1"/>
  </r>
  <r>
    <s v="Brand ABC TDM"/>
    <x v="2"/>
    <x v="1"/>
    <s v="Crop Tops"/>
    <s v="B7A2S-ECJH"/>
    <s v="Everyday Seamless"/>
    <s v="L"/>
    <x v="1"/>
    <d v="2024-10-28T00:00:00"/>
    <d v="2024-12-06T00:00:00"/>
    <n v="3"/>
    <n v="145.1798"/>
    <n v="383.13"/>
    <n v="5"/>
    <n v="245.72149999999999"/>
    <n v="8"/>
  </r>
  <r>
    <s v="Brand ABC TDM"/>
    <x v="2"/>
    <x v="1"/>
    <s v="Crop Tops"/>
    <s v="B7A2S-ECJH"/>
    <s v="Everyday Seamless"/>
    <s v="M"/>
    <x v="1"/>
    <d v="2024-10-28T00:00:00"/>
    <d v="2024-12-10T00:00:00"/>
    <n v="6"/>
    <n v="293.00069999999999"/>
    <n v="766.26"/>
    <n v="6"/>
    <n v="299.58179999999999"/>
    <n v="12"/>
  </r>
  <r>
    <s v="Brand ABC TDM"/>
    <x v="2"/>
    <x v="1"/>
    <s v="Crop Tops"/>
    <s v="B7A2S-ECJH"/>
    <s v="Everyday Seamless"/>
    <s v="S"/>
    <x v="1"/>
    <d v="2024-10-28T00:00:00"/>
    <d v="2024-12-10T00:00:00"/>
    <n v="8"/>
    <n v="394.18189999999998"/>
    <n v="1007.5"/>
    <n v="4"/>
    <n v="200.89279999999999"/>
    <n v="12"/>
  </r>
  <r>
    <s v="Brand ABC TDM"/>
    <x v="2"/>
    <x v="1"/>
    <s v="Crop Tops"/>
    <s v="B7A2S-ECJH"/>
    <s v="Everyday Seamless"/>
    <s v="XS"/>
    <x v="1"/>
    <d v="2024-10-28T00:00:00"/>
    <d v="2024-12-10T00:00:00"/>
    <n v="5"/>
    <n v="245.60919999999999"/>
    <n v="638.58000000000004"/>
    <n v="3"/>
    <n v="150.27629999999999"/>
    <n v="8"/>
  </r>
  <r>
    <s v="Brand ABC TDM"/>
    <x v="2"/>
    <x v="1"/>
    <s v="Crop Tops"/>
    <s v="B7A2S-TBNG"/>
    <s v="Everyday Seamless"/>
    <s v="L"/>
    <x v="0"/>
    <d v="2024-10-26T00:00:00"/>
    <d v="2024-10-26T00:00:00"/>
    <n v="0"/>
    <n v="0"/>
    <n v="0"/>
    <n v="5"/>
    <n v="239.84200000000001"/>
    <n v="5"/>
  </r>
  <r>
    <s v="Brand ABC TDM"/>
    <x v="2"/>
    <x v="1"/>
    <s v="Crop Tops"/>
    <s v="B7A2S-TBNG"/>
    <s v="Everyday Seamless"/>
    <s v="M"/>
    <x v="0"/>
    <d v="2024-10-26T00:00:00"/>
    <d v="2024-10-26T00:00:00"/>
    <n v="0"/>
    <n v="0"/>
    <n v="0"/>
    <n v="5"/>
    <n v="239.84200000000001"/>
    <n v="5"/>
  </r>
  <r>
    <s v="Brand ABC TDM"/>
    <x v="2"/>
    <x v="1"/>
    <s v="Crop Tops"/>
    <s v="B7A2S-TBNG"/>
    <s v="Everyday Seamless"/>
    <s v="S"/>
    <x v="0"/>
    <d v="2024-10-26T00:00:00"/>
    <d v="2024-10-26T00:00:00"/>
    <n v="0"/>
    <n v="0"/>
    <n v="0"/>
    <n v="4"/>
    <n v="191.87360000000001"/>
    <n v="4"/>
  </r>
  <r>
    <s v="Brand ABC TDM"/>
    <x v="2"/>
    <x v="1"/>
    <s v="Crop Tops"/>
    <s v="B7A2S-TBNG"/>
    <s v="Everyday Seamless"/>
    <s v="XS"/>
    <x v="0"/>
    <d v="2024-10-26T00:00:00"/>
    <d v="2024-10-26T00:00:00"/>
    <n v="0"/>
    <n v="0"/>
    <n v="0"/>
    <n v="3"/>
    <n v="143.90520000000001"/>
    <n v="3"/>
  </r>
  <r>
    <s v="Brand ABC TDM"/>
    <x v="2"/>
    <x v="1"/>
    <s v="Crop Tops"/>
    <s v="B8A4P-RBQV"/>
    <s v="Everyday Seamless"/>
    <s v="L"/>
    <x v="0"/>
    <d v="2024-10-25T00:00:00"/>
    <d v="2024-10-25T00:00:00"/>
    <n v="0"/>
    <n v="0"/>
    <n v="0"/>
    <n v="5"/>
    <n v="214.18100000000001"/>
    <n v="5"/>
  </r>
  <r>
    <s v="Brand ABC TDM"/>
    <x v="2"/>
    <x v="1"/>
    <s v="Crop Tops"/>
    <s v="B8A4P-RBQV"/>
    <s v="Everyday Seamless"/>
    <s v="M"/>
    <x v="0"/>
    <d v="2024-10-25T00:00:00"/>
    <d v="2024-12-05T00:00:00"/>
    <n v="4"/>
    <n v="171.34479999999999"/>
    <n v="442.28"/>
    <n v="5"/>
    <n v="216.4085"/>
    <n v="9"/>
  </r>
  <r>
    <s v="Brand ABC TDM"/>
    <x v="2"/>
    <x v="1"/>
    <s v="Crop Tops"/>
    <s v="B8A4P-RBQV"/>
    <s v="Everyday Seamless"/>
    <s v="S"/>
    <x v="0"/>
    <d v="2024-10-25T00:00:00"/>
    <d v="2024-11-09T00:00:00"/>
    <n v="4"/>
    <n v="171.34479999999999"/>
    <n v="442.29"/>
    <n v="3"/>
    <n v="128.5086"/>
    <n v="7"/>
  </r>
  <r>
    <s v="Brand ABC TDM"/>
    <x v="2"/>
    <x v="1"/>
    <s v="Crop Tops"/>
    <s v="B8A4P-RBQV"/>
    <s v="Everyday Seamless"/>
    <s v="XL"/>
    <x v="0"/>
    <d v="2024-10-25T00:00:00"/>
    <d v="2024-10-25T00:00:00"/>
    <n v="0"/>
    <n v="0"/>
    <n v="0"/>
    <n v="2"/>
    <n v="85.672399999999996"/>
    <n v="2"/>
  </r>
  <r>
    <s v="Brand ABC TDM"/>
    <x v="2"/>
    <x v="1"/>
    <s v="Crop Tops"/>
    <s v="B8A4P-RBQV"/>
    <s v="Everyday Seamless"/>
    <s v="XS"/>
    <x v="0"/>
    <d v="2024-10-25T00:00:00"/>
    <d v="2024-12-03T00:00:00"/>
    <n v="5"/>
    <n v="217.39850000000001"/>
    <n v="577.44000000000005"/>
    <n v="1"/>
    <n v="44.073700000000002"/>
    <n v="6"/>
  </r>
  <r>
    <s v="Brand ABC TDM"/>
    <x v="2"/>
    <x v="1"/>
    <s v="Crop Tops"/>
    <s v="B9A5J-PBVR"/>
    <s v="Vital"/>
    <s v="L"/>
    <x v="1"/>
    <d v="2024-10-28T00:00:00"/>
    <d v="2024-12-17T00:00:00"/>
    <n v="0"/>
    <n v="0"/>
    <n v="0"/>
    <n v="5"/>
    <n v="359.25799999999998"/>
    <n v="5"/>
  </r>
  <r>
    <s v="Brand ABC TDM"/>
    <x v="2"/>
    <x v="1"/>
    <s v="Crop Tops"/>
    <s v="B9A5J-PBVR"/>
    <s v="Vital"/>
    <s v="M"/>
    <x v="1"/>
    <d v="2024-10-28T00:00:00"/>
    <d v="2024-12-17T00:00:00"/>
    <n v="3"/>
    <n v="217.04939999999999"/>
    <n v="632.48"/>
    <n v="3"/>
    <n v="217.79669999999999"/>
    <n v="6"/>
  </r>
  <r>
    <s v="Brand ABC TDM"/>
    <x v="2"/>
    <x v="1"/>
    <s v="Crop Tops"/>
    <s v="B9A5J-PBVR"/>
    <s v="Vital"/>
    <s v="S"/>
    <x v="1"/>
    <d v="2024-10-28T00:00:00"/>
    <d v="2024-12-14T00:00:00"/>
    <n v="3"/>
    <n v="217.423"/>
    <n v="610.65"/>
    <n v="4"/>
    <n v="296.74720000000002"/>
    <n v="7"/>
  </r>
  <r>
    <s v="Brand ABC TDM"/>
    <x v="2"/>
    <x v="1"/>
    <s v="Crop Tops"/>
    <s v="B9A5J-PBVR"/>
    <s v="Vital"/>
    <s v="XS"/>
    <x v="1"/>
    <d v="2024-10-28T00:00:00"/>
    <d v="2024-12-17T00:00:00"/>
    <n v="2"/>
    <n v="143.70320000000001"/>
    <n v="414.39"/>
    <n v="1"/>
    <n v="71.851600000000005"/>
    <n v="3"/>
  </r>
  <r>
    <s v="Brand ABC TDM"/>
    <x v="2"/>
    <x v="1"/>
    <s v="Crop Tops"/>
    <s v="B9A5J-RBWT"/>
    <s v="Vital"/>
    <s v="L"/>
    <x v="1"/>
    <d v="2024-10-28T00:00:00"/>
    <d v="2024-12-16T00:00:00"/>
    <n v="1"/>
    <n v="71.851600000000005"/>
    <n v="196.29"/>
    <n v="5"/>
    <n v="362.99450000000002"/>
    <n v="6"/>
  </r>
  <r>
    <s v="Brand ABC TDM"/>
    <x v="2"/>
    <x v="1"/>
    <s v="Crop Tops"/>
    <s v="B9A5J-RBWT"/>
    <s v="Vital"/>
    <s v="M"/>
    <x v="1"/>
    <d v="2024-10-28T00:00:00"/>
    <d v="2024-12-17T00:00:00"/>
    <n v="3"/>
    <n v="217.04939999999999"/>
    <n v="632.49"/>
    <n v="3"/>
    <n v="217.79669999999999"/>
    <n v="6"/>
  </r>
  <r>
    <s v="Brand ABC TDM"/>
    <x v="2"/>
    <x v="1"/>
    <s v="Crop Tops"/>
    <s v="B9A5J-RBWT"/>
    <s v="Vital"/>
    <s v="S"/>
    <x v="1"/>
    <d v="2024-10-28T00:00:00"/>
    <d v="2024-12-16T00:00:00"/>
    <n v="4"/>
    <n v="291.60980000000001"/>
    <n v="806.97"/>
    <n v="4"/>
    <n v="298.14839999999998"/>
    <n v="8"/>
  </r>
  <r>
    <s v="Brand ABC TDM"/>
    <x v="2"/>
    <x v="1"/>
    <s v="Crop Tops"/>
    <s v="B9A5J-RBWT"/>
    <s v="Vital"/>
    <s v="XS"/>
    <x v="1"/>
    <d v="2024-10-28T00:00:00"/>
    <d v="2024-12-16T00:00:00"/>
    <n v="2"/>
    <n v="144.9486"/>
    <n v="392.57"/>
    <n v="3"/>
    <n v="221.78190000000001"/>
    <n v="5"/>
  </r>
  <r>
    <s v="Brand ABC TDM"/>
    <x v="2"/>
    <x v="1"/>
    <s v="Crop Tops"/>
    <s v="B9A5J-TBQQ"/>
    <s v="Vital"/>
    <s v="L"/>
    <x v="1"/>
    <d v="2024-10-28T00:00:00"/>
    <d v="2024-10-28T00:00:00"/>
    <n v="0"/>
    <n v="0"/>
    <n v="0"/>
    <n v="2"/>
    <n v="143.70320000000001"/>
    <n v="2"/>
  </r>
  <r>
    <s v="Brand ABC TDM"/>
    <x v="2"/>
    <x v="1"/>
    <s v="Crop Tops"/>
    <s v="B9A5J-TBQQ"/>
    <s v="Vital"/>
    <s v="M"/>
    <x v="1"/>
    <d v="2024-10-28T00:00:00"/>
    <d v="2024-10-28T00:00:00"/>
    <n v="0"/>
    <n v="0"/>
    <n v="0"/>
    <n v="4"/>
    <n v="287.40640000000002"/>
    <n v="4"/>
  </r>
  <r>
    <s v="Brand ABC TDM"/>
    <x v="2"/>
    <x v="1"/>
    <s v="Crop Tops"/>
    <s v="B9A5J-TBQQ"/>
    <s v="Vital"/>
    <s v="S"/>
    <x v="1"/>
    <d v="2024-10-28T00:00:00"/>
    <d v="2024-10-28T00:00:00"/>
    <n v="0"/>
    <n v="0"/>
    <n v="0"/>
    <n v="4"/>
    <n v="287.40640000000002"/>
    <n v="4"/>
  </r>
  <r>
    <s v="Brand ABC TDM"/>
    <x v="2"/>
    <x v="1"/>
    <s v="Crop Tops"/>
    <s v="B9A5J-TBQQ"/>
    <s v="Vital"/>
    <s v="XS"/>
    <x v="1"/>
    <d v="2024-10-28T00:00:00"/>
    <d v="2024-10-28T00:00:00"/>
    <n v="0"/>
    <n v="0"/>
    <n v="0"/>
    <n v="1"/>
    <n v="71.851600000000005"/>
    <n v="1"/>
  </r>
  <r>
    <s v="Brand ABC TDM"/>
    <x v="2"/>
    <x v="1"/>
    <s v="Crop Tops"/>
    <s v="B9A5M-BB2J"/>
    <s v="Linear Seamless"/>
    <s v="L"/>
    <x v="1"/>
    <d v="2024-10-26T00:00:00"/>
    <d v="2024-11-26T00:00:00"/>
    <n v="4"/>
    <n v="241.98150000000001"/>
    <n v="648"/>
    <n v="4"/>
    <n v="246.2492"/>
    <n v="8"/>
  </r>
  <r>
    <s v="Brand ABC TDM"/>
    <x v="2"/>
    <x v="1"/>
    <s v="Crop Tops"/>
    <s v="B9A5M-BB2J"/>
    <s v="Linear Seamless"/>
    <s v="M"/>
    <x v="1"/>
    <d v="2024-10-26T00:00:00"/>
    <d v="2024-11-30T00:00:00"/>
    <n v="8"/>
    <n v="488.23059999999998"/>
    <n v="1296"/>
    <n v="5"/>
    <n v="316.83"/>
    <n v="13"/>
  </r>
  <r>
    <s v="Brand ABC TDM"/>
    <x v="2"/>
    <x v="1"/>
    <s v="Crop Tops"/>
    <s v="B9A5M-BB2J"/>
    <s v="Linear Seamless"/>
    <s v="S"/>
    <x v="1"/>
    <d v="2024-10-26T00:00:00"/>
    <d v="2024-11-30T00:00:00"/>
    <n v="5"/>
    <n v="304.23270000000002"/>
    <n v="810"/>
    <n v="5"/>
    <n v="315.14999999999998"/>
    <n v="10"/>
  </r>
  <r>
    <s v="Brand ABC TDM"/>
    <x v="2"/>
    <x v="1"/>
    <s v="Crop Tops"/>
    <s v="B9A5M-BB2J"/>
    <s v="Linear Seamless"/>
    <s v="XS"/>
    <x v="1"/>
    <d v="2024-10-26T00:00:00"/>
    <d v="2024-11-25T00:00:00"/>
    <n v="2"/>
    <n v="120.8177"/>
    <n v="288"/>
    <n v="1"/>
    <n v="61.62"/>
    <n v="3"/>
  </r>
  <r>
    <s v="Brand ABC TDM"/>
    <x v="2"/>
    <x v="1"/>
    <s v="Crop Tops"/>
    <s v="B9A5M-PBZT"/>
    <s v="Linear Seamless"/>
    <s v="L"/>
    <x v="1"/>
    <d v="2024-10-26T00:00:00"/>
    <d v="2024-11-23T00:00:00"/>
    <n v="3"/>
    <n v="181.14009999999999"/>
    <n v="486"/>
    <n v="1"/>
    <n v="61.201900000000002"/>
    <n v="4"/>
  </r>
  <r>
    <s v="Brand ABC TDM"/>
    <x v="2"/>
    <x v="1"/>
    <s v="Crop Tops"/>
    <s v="B9A5M-PBZT"/>
    <s v="Linear Seamless"/>
    <s v="M"/>
    <x v="1"/>
    <d v="2024-10-26T00:00:00"/>
    <d v="2024-11-21T00:00:00"/>
    <n v="1"/>
    <n v="59.457299999999996"/>
    <n v="162.1"/>
    <n v="1"/>
    <n v="60.8414"/>
    <n v="2"/>
  </r>
  <r>
    <s v="Brand ABC TDM"/>
    <x v="2"/>
    <x v="1"/>
    <s v="Crop Tops"/>
    <s v="B9A5M-PBZT"/>
    <s v="Linear Seamless"/>
    <s v="S"/>
    <x v="1"/>
    <d v="2024-10-26T00:00:00"/>
    <d v="2024-11-26T00:00:00"/>
    <n v="1"/>
    <n v="59.889800000000001"/>
    <n v="162"/>
    <n v="1"/>
    <n v="60.512700000000002"/>
    <n v="2"/>
  </r>
  <r>
    <s v="Brand ABC TDM"/>
    <x v="2"/>
    <x v="1"/>
    <s v="Crop Tops"/>
    <s v="B9A5M-PBZT"/>
    <s v="Linear Seamless"/>
    <s v="XS"/>
    <x v="1"/>
    <d v="2024-10-26T00:00:00"/>
    <d v="2024-11-23T00:00:00"/>
    <n v="2"/>
    <n v="120.8177"/>
    <n v="324"/>
    <n v="0"/>
    <n v="0"/>
    <n v="2"/>
  </r>
  <r>
    <s v="Brand ABC TDM"/>
    <x v="2"/>
    <x v="1"/>
    <s v="Jackets / Outerwear"/>
    <s v="B1B7P-BB2J"/>
    <s v="Everyday Seamless"/>
    <s v="L"/>
    <x v="2"/>
    <d v="2024-10-25T00:00:00"/>
    <d v="2024-12-10T00:00:00"/>
    <n v="0"/>
    <n v="0"/>
    <n v="0"/>
    <n v="6"/>
    <n v="423.8664"/>
    <n v="6"/>
  </r>
  <r>
    <s v="Brand ABC TDM"/>
    <x v="2"/>
    <x v="1"/>
    <s v="Jackets / Outerwear"/>
    <s v="B1B7P-BB2J"/>
    <s v="Everyday Seamless"/>
    <s v="M"/>
    <x v="2"/>
    <d v="2024-10-26T00:00:00"/>
    <d v="2024-12-20T00:00:00"/>
    <n v="1"/>
    <n v="71.101900000000001"/>
    <n v="208.57"/>
    <n v="7"/>
    <n v="498.62819999999999"/>
    <n v="8"/>
  </r>
  <r>
    <s v="Brand ABC TDM"/>
    <x v="2"/>
    <x v="1"/>
    <s v="Jackets / Outerwear"/>
    <s v="B1B7P-BB2J"/>
    <s v="Everyday Seamless"/>
    <s v="S"/>
    <x v="2"/>
    <d v="2024-10-26T00:00:00"/>
    <d v="2024-12-18T00:00:00"/>
    <n v="6"/>
    <n v="432.10140000000001"/>
    <n v="1167.99"/>
    <n v="4"/>
    <n v="288.06760000000003"/>
    <n v="10"/>
  </r>
  <r>
    <s v="Brand ABC TDM"/>
    <x v="2"/>
    <x v="1"/>
    <s v="Jackets / Outerwear"/>
    <s v="B1B7P-BB2J"/>
    <s v="Everyday Seamless"/>
    <s v="XS"/>
    <x v="2"/>
    <d v="2024-10-25T00:00:00"/>
    <d v="2024-12-03T00:00:00"/>
    <n v="1"/>
    <n v="71.349500000000006"/>
    <n v="187.71"/>
    <n v="0"/>
    <n v="0"/>
    <n v="1"/>
  </r>
  <r>
    <s v="Brand ABC TDM"/>
    <x v="2"/>
    <x v="1"/>
    <s v="Jackets / Outerwear"/>
    <s v="B5A9Q-BBF3"/>
    <s v="Vital"/>
    <s v="L"/>
    <x v="0"/>
    <d v="2024-10-26T00:00:00"/>
    <d v="2024-12-04T00:00:00"/>
    <n v="11"/>
    <n v="858.02779999999996"/>
    <n v="2207.92"/>
    <n v="6"/>
    <n v="478.71899999999999"/>
    <n v="17"/>
  </r>
  <r>
    <s v="Brand ABC TDM"/>
    <x v="2"/>
    <x v="1"/>
    <s v="Jackets / Outerwear"/>
    <s v="B5A9Q-BBF3"/>
    <s v="Vital"/>
    <s v="M"/>
    <x v="0"/>
    <d v="2024-10-26T00:00:00"/>
    <d v="2024-12-17T00:00:00"/>
    <n v="35"/>
    <n v="2766.8672000000001"/>
    <n v="7124.51"/>
    <n v="6"/>
    <n v="485.62200000000001"/>
    <n v="41"/>
  </r>
  <r>
    <s v="Brand ABC TDM"/>
    <x v="2"/>
    <x v="1"/>
    <s v="Jackets / Outerwear"/>
    <s v="B5A9Q-BBF3"/>
    <s v="Vital"/>
    <s v="S"/>
    <x v="0"/>
    <d v="2024-10-26T00:00:00"/>
    <d v="2024-12-18T00:00:00"/>
    <n v="31"/>
    <n v="2454.5835999999999"/>
    <n v="6327.85"/>
    <n v="4"/>
    <n v="323.91680000000002"/>
    <n v="35"/>
  </r>
  <r>
    <s v="Brand ABC TDM"/>
    <x v="2"/>
    <x v="1"/>
    <s v="Jackets / Outerwear"/>
    <s v="B5A9Q-BBF3"/>
    <s v="Vital"/>
    <s v="XL"/>
    <x v="0"/>
    <d v="2024-10-26T00:00:00"/>
    <d v="2024-10-26T00:00:00"/>
    <n v="2"/>
    <n v="153.9676"/>
    <n v="409.71"/>
    <n v="0"/>
    <n v="0"/>
    <n v="2"/>
  </r>
  <r>
    <s v="Brand ABC TDM"/>
    <x v="2"/>
    <x v="1"/>
    <s v="Jackets / Outerwear"/>
    <s v="B5A9Q-BBF3"/>
    <s v="Vital"/>
    <s v="XS"/>
    <x v="0"/>
    <d v="2024-10-26T00:00:00"/>
    <d v="2024-11-26T00:00:00"/>
    <n v="13"/>
    <n v="1024.8087"/>
    <n v="2663.12"/>
    <n v="0"/>
    <n v="0"/>
    <n v="13"/>
  </r>
  <r>
    <s v="Brand ABC TDM"/>
    <x v="2"/>
    <x v="1"/>
    <s v="Jackets / Outerwear"/>
    <s v="B5A9Q-KB80"/>
    <s v="Vital"/>
    <s v="L"/>
    <x v="1"/>
    <d v="2024-10-28T00:00:00"/>
    <d v="2024-11-29T00:00:00"/>
    <n v="3"/>
    <n v="232.55260000000001"/>
    <n v="580.41999999999996"/>
    <n v="3"/>
    <n v="233.35319999999999"/>
    <n v="6"/>
  </r>
  <r>
    <s v="Brand ABC TDM"/>
    <x v="2"/>
    <x v="1"/>
    <s v="Jackets / Outerwear"/>
    <s v="B5A9Q-KB80"/>
    <s v="Vital"/>
    <s v="M"/>
    <x v="1"/>
    <d v="2024-10-28T00:00:00"/>
    <d v="2024-12-17T00:00:00"/>
    <n v="4"/>
    <n v="312.13040000000001"/>
    <n v="819.43"/>
    <n v="5"/>
    <n v="396.73599999999999"/>
    <n v="9"/>
  </r>
  <r>
    <s v="Brand ABC TDM"/>
    <x v="2"/>
    <x v="1"/>
    <s v="Jackets / Outerwear"/>
    <s v="B5A9Q-KB80"/>
    <s v="Vital"/>
    <s v="S"/>
    <x v="1"/>
    <d v="2024-10-28T00:00:00"/>
    <d v="2024-12-17T00:00:00"/>
    <n v="10"/>
    <n v="794.33240000000001"/>
    <n v="2094.12"/>
    <n v="3"/>
    <n v="242.48609999999999"/>
    <n v="13"/>
  </r>
  <r>
    <s v="Brand ABC TDM"/>
    <x v="2"/>
    <x v="1"/>
    <s v="Jackets / Outerwear"/>
    <s v="B5A9Q-KB80"/>
    <s v="Vital"/>
    <s v="XS"/>
    <x v="1"/>
    <d v="2024-10-28T00:00:00"/>
    <d v="2024-12-11T00:00:00"/>
    <n v="5"/>
    <n v="393.815"/>
    <n v="1024.28"/>
    <n v="1"/>
    <n v="80.097399999999993"/>
    <n v="6"/>
  </r>
  <r>
    <s v="Brand ABC TDM"/>
    <x v="2"/>
    <x v="1"/>
    <s v="One Pieces"/>
    <s v="B1C4S-BB2J"/>
    <s v="Everyday Seamless"/>
    <s v="L"/>
    <x v="1"/>
    <d v="2024-10-28T00:00:00"/>
    <d v="2024-10-28T00:00:00"/>
    <n v="0"/>
    <n v="0"/>
    <n v="0"/>
    <n v="3"/>
    <n v="195.066"/>
    <n v="3"/>
  </r>
  <r>
    <s v="Brand ABC TDM"/>
    <x v="2"/>
    <x v="1"/>
    <s v="One Pieces"/>
    <s v="B1C4S-BB2J"/>
    <s v="Everyday Seamless"/>
    <s v="M"/>
    <x v="1"/>
    <d v="2024-10-28T00:00:00"/>
    <d v="2024-11-27T00:00:00"/>
    <n v="1"/>
    <n v="65.022000000000006"/>
    <n v="179.14"/>
    <n v="3"/>
    <n v="198.447"/>
    <n v="4"/>
  </r>
  <r>
    <s v="Brand ABC TDM"/>
    <x v="2"/>
    <x v="1"/>
    <s v="One Pieces"/>
    <s v="B1C4S-BB2J"/>
    <s v="Everyday Seamless"/>
    <s v="S"/>
    <x v="1"/>
    <d v="2024-10-28T00:00:00"/>
    <d v="2024-12-04T00:00:00"/>
    <n v="2"/>
    <n v="131.7346"/>
    <n v="358.28"/>
    <n v="2"/>
    <n v="135.11580000000001"/>
    <n v="4"/>
  </r>
  <r>
    <s v="Brand ABC TDM"/>
    <x v="2"/>
    <x v="1"/>
    <s v="One Pieces"/>
    <s v="B1C4T-UCY1"/>
    <s v="Caged"/>
    <s v="L"/>
    <x v="2"/>
    <d v="2024-12-12T00:00:00"/>
    <d v="2024-12-12T00:00:00"/>
    <n v="0"/>
    <n v="0"/>
    <n v="0"/>
    <n v="5"/>
    <n v="449.99900000000002"/>
    <n v="5"/>
  </r>
  <r>
    <s v="Brand ABC TDM"/>
    <x v="2"/>
    <x v="1"/>
    <s v="One Pieces"/>
    <s v="B1C4T-UCY1"/>
    <s v="Caged"/>
    <s v="M"/>
    <x v="2"/>
    <d v="2024-12-12T00:00:00"/>
    <d v="2024-12-20T00:00:00"/>
    <n v="0"/>
    <n v="0"/>
    <n v="0"/>
    <n v="3"/>
    <n v="269.99939999999998"/>
    <n v="3"/>
  </r>
  <r>
    <s v="Brand ABC TDM"/>
    <x v="2"/>
    <x v="1"/>
    <s v="One Pieces"/>
    <s v="B1C4T-UCY1"/>
    <s v="Caged"/>
    <s v="S"/>
    <x v="2"/>
    <d v="2024-12-12T00:00:00"/>
    <d v="2024-12-12T00:00:00"/>
    <n v="0"/>
    <n v="0"/>
    <n v="0"/>
    <n v="5"/>
    <n v="449.99900000000002"/>
    <n v="5"/>
  </r>
  <r>
    <s v="Brand ABC TDM"/>
    <x v="2"/>
    <x v="1"/>
    <s v="One Pieces"/>
    <s v="B1C4T-UCY1"/>
    <s v="Caged"/>
    <s v="XS"/>
    <x v="2"/>
    <d v="2024-12-12T00:00:00"/>
    <d v="2024-12-12T00:00:00"/>
    <n v="0"/>
    <n v="0"/>
    <n v="0"/>
    <n v="3"/>
    <n v="269.99939999999998"/>
    <n v="3"/>
  </r>
  <r>
    <s v="Brand ABC TDM"/>
    <x v="2"/>
    <x v="1"/>
    <s v="One Pieces"/>
    <s v="B8A5E-BCBT"/>
    <s v="Vital"/>
    <s v="L"/>
    <x v="0"/>
    <d v="2024-12-12T00:00:00"/>
    <d v="2024-12-12T00:00:00"/>
    <n v="0"/>
    <n v="0"/>
    <n v="0"/>
    <n v="5"/>
    <n v="360.29649999999998"/>
    <n v="5"/>
  </r>
  <r>
    <s v="Brand ABC TDM"/>
    <x v="2"/>
    <x v="1"/>
    <s v="One Pieces"/>
    <s v="B8A5E-BCBT"/>
    <s v="Vital"/>
    <s v="M"/>
    <x v="0"/>
    <d v="2024-12-12T00:00:00"/>
    <d v="2024-12-12T00:00:00"/>
    <n v="0"/>
    <n v="0"/>
    <n v="0"/>
    <n v="3"/>
    <n v="216.17789999999999"/>
    <n v="3"/>
  </r>
  <r>
    <s v="Brand ABC TDM"/>
    <x v="2"/>
    <x v="1"/>
    <s v="One Pieces"/>
    <s v="B8A5E-BCBT"/>
    <s v="Vital"/>
    <s v="S"/>
    <x v="0"/>
    <d v="2024-12-12T00:00:00"/>
    <d v="2024-12-19T00:00:00"/>
    <n v="0"/>
    <n v="0"/>
    <n v="0"/>
    <n v="5"/>
    <n v="360.29649999999998"/>
    <n v="5"/>
  </r>
  <r>
    <s v="Brand ABC TDM"/>
    <x v="2"/>
    <x v="1"/>
    <s v="One Pieces"/>
    <s v="B8A5E-BCBT"/>
    <s v="Vital"/>
    <s v="XL"/>
    <x v="0"/>
    <d v="2024-12-12T00:00:00"/>
    <d v="2024-12-14T00:00:00"/>
    <n v="0"/>
    <n v="0"/>
    <n v="0"/>
    <n v="2"/>
    <n v="144.11859999999999"/>
    <n v="2"/>
  </r>
  <r>
    <s v="Brand ABC TDM"/>
    <x v="2"/>
    <x v="1"/>
    <s v="One Pieces"/>
    <s v="B8A5E-BCBT"/>
    <s v="Vital"/>
    <s v="XS"/>
    <x v="0"/>
    <d v="2024-12-12T00:00:00"/>
    <d v="2024-12-21T00:00:00"/>
    <n v="0"/>
    <n v="0"/>
    <n v="0"/>
    <n v="2"/>
    <n v="144.11859999999999"/>
    <n v="2"/>
  </r>
  <r>
    <s v="Brand ABC TDM"/>
    <x v="2"/>
    <x v="1"/>
    <s v="Pants"/>
    <s v="B1B5F-BB67"/>
    <s v="Premium Legacy"/>
    <s v="L"/>
    <x v="1"/>
    <d v="2024-10-28T00:00:00"/>
    <d v="2024-12-18T00:00:00"/>
    <n v="3"/>
    <n v="284.3125"/>
    <n v="825.82"/>
    <n v="3"/>
    <n v="285.29129999999998"/>
    <n v="6"/>
  </r>
  <r>
    <s v="Brand ABC TDM"/>
    <x v="2"/>
    <x v="1"/>
    <s v="Pants"/>
    <s v="B1B5F-BB67"/>
    <s v="Premium Legacy"/>
    <s v="M"/>
    <x v="1"/>
    <d v="2024-10-28T00:00:00"/>
    <d v="2024-12-19T00:00:00"/>
    <n v="9"/>
    <n v="870.96780000000001"/>
    <n v="2334.96"/>
    <n v="5"/>
    <n v="493.18299999999999"/>
    <n v="14"/>
  </r>
  <r>
    <s v="Brand ABC TDM"/>
    <x v="2"/>
    <x v="1"/>
    <s v="Pants"/>
    <s v="B1B5F-BB67"/>
    <s v="Premium Legacy"/>
    <s v="S"/>
    <x v="1"/>
    <d v="2024-10-28T00:00:00"/>
    <d v="2024-12-19T00:00:00"/>
    <n v="8"/>
    <n v="775.93920000000003"/>
    <n v="2078.77"/>
    <n v="4"/>
    <n v="394.67360000000002"/>
    <n v="12"/>
  </r>
  <r>
    <s v="Brand ABC TDM"/>
    <x v="2"/>
    <x v="1"/>
    <s v="Pants"/>
    <s v="B1B5F-BB67"/>
    <s v="Premium Legacy"/>
    <s v="XS"/>
    <x v="1"/>
    <d v="2024-10-28T00:00:00"/>
    <d v="2024-12-17T00:00:00"/>
    <n v="8"/>
    <n v="777.84709999999995"/>
    <n v="2107.2399999999998"/>
    <n v="1"/>
    <n v="98.582800000000006"/>
    <n v="9"/>
  </r>
  <r>
    <s v="Brand ABC TDM"/>
    <x v="2"/>
    <x v="1"/>
    <s v="Pants"/>
    <s v="B1C9Z-BB2J"/>
    <s v="GFX Embroidered Brand ABC"/>
    <s v="L"/>
    <x v="1"/>
    <d v="2024-12-12T00:00:00"/>
    <d v="2024-12-12T00:00:00"/>
    <n v="0"/>
    <n v="0"/>
    <n v="0"/>
    <n v="5"/>
    <n v="431.93049999999999"/>
    <n v="5"/>
  </r>
  <r>
    <s v="Brand ABC TDM"/>
    <x v="2"/>
    <x v="1"/>
    <s v="Pants"/>
    <s v="B1C9Z-BB2J"/>
    <s v="GFX Embroidered Brand ABC"/>
    <s v="M"/>
    <x v="1"/>
    <d v="2024-12-12T00:00:00"/>
    <d v="2024-12-20T00:00:00"/>
    <n v="0"/>
    <n v="0"/>
    <n v="0"/>
    <n v="5"/>
    <n v="431.93049999999999"/>
    <n v="5"/>
  </r>
  <r>
    <s v="Brand ABC TDM"/>
    <x v="2"/>
    <x v="1"/>
    <s v="Pants"/>
    <s v="B1C9Z-BB2J"/>
    <s v="GFX Embroidered Brand ABC"/>
    <s v="S"/>
    <x v="1"/>
    <d v="2024-12-12T00:00:00"/>
    <d v="2024-12-21T00:00:00"/>
    <n v="0"/>
    <n v="0"/>
    <n v="0"/>
    <n v="4"/>
    <n v="345.5444"/>
    <n v="4"/>
  </r>
  <r>
    <s v="Brand ABC TDM"/>
    <x v="2"/>
    <x v="1"/>
    <s v="Pants"/>
    <s v="B1C9Z-BB2J"/>
    <s v="GFX Embroidered Brand ABC"/>
    <s v="XS"/>
    <x v="1"/>
    <d v="2024-12-12T00:00:00"/>
    <d v="2024-12-21T00:00:00"/>
    <n v="0"/>
    <n v="0"/>
    <n v="0"/>
    <n v="3"/>
    <n v="259.1583"/>
    <n v="3"/>
  </r>
  <r>
    <s v="Brand ABC TDM"/>
    <x v="2"/>
    <x v="1"/>
    <s v="Pants"/>
    <s v="B1C9Z-GCHK"/>
    <s v="GFX Embroidered Brand ABC"/>
    <s v="L"/>
    <x v="1"/>
    <d v="2024-12-12T00:00:00"/>
    <d v="2024-12-20T00:00:00"/>
    <n v="0"/>
    <n v="0"/>
    <n v="0"/>
    <n v="5"/>
    <n v="431.93049999999999"/>
    <n v="5"/>
  </r>
  <r>
    <s v="Brand ABC TDM"/>
    <x v="2"/>
    <x v="1"/>
    <s v="Pants"/>
    <s v="B1C9Z-GCHK"/>
    <s v="GFX Embroidered Brand ABC"/>
    <s v="M"/>
    <x v="1"/>
    <d v="2024-12-12T00:00:00"/>
    <d v="2024-12-21T00:00:00"/>
    <n v="0"/>
    <n v="0"/>
    <n v="0"/>
    <n v="5"/>
    <n v="431.93049999999999"/>
    <n v="5"/>
  </r>
  <r>
    <s v="Brand ABC TDM"/>
    <x v="2"/>
    <x v="1"/>
    <s v="Pants"/>
    <s v="B1C9Z-GCHK"/>
    <s v="GFX Embroidered Brand ABC"/>
    <s v="S"/>
    <x v="1"/>
    <d v="2024-12-12T00:00:00"/>
    <d v="2024-12-21T00:00:00"/>
    <n v="0"/>
    <n v="0"/>
    <n v="0"/>
    <n v="4"/>
    <n v="345.5444"/>
    <n v="4"/>
  </r>
  <r>
    <s v="Brand ABC TDM"/>
    <x v="2"/>
    <x v="1"/>
    <s v="Pants"/>
    <s v="B1C9Z-GCHK"/>
    <s v="GFX Embroidered Brand ABC"/>
    <s v="XS"/>
    <x v="1"/>
    <d v="2024-12-12T00:00:00"/>
    <d v="2024-12-19T00:00:00"/>
    <n v="0"/>
    <n v="0"/>
    <n v="0"/>
    <n v="3"/>
    <n v="259.1583"/>
    <n v="3"/>
  </r>
  <r>
    <s v="Brand ABC TDM"/>
    <x v="2"/>
    <x v="1"/>
    <s v="Pants"/>
    <s v="B7A4D-BB2J"/>
    <s v="Training"/>
    <s v="L"/>
    <x v="0"/>
    <d v="2024-10-26T00:00:00"/>
    <d v="2024-12-19T00:00:00"/>
    <n v="3"/>
    <n v="179.6694"/>
    <n v="450"/>
    <n v="7"/>
    <n v="422.34289999999999"/>
    <n v="10"/>
  </r>
  <r>
    <s v="Brand ABC TDM"/>
    <x v="2"/>
    <x v="1"/>
    <s v="Pants"/>
    <s v="B7A4D-BB2J"/>
    <s v="Training"/>
    <s v="M"/>
    <x v="0"/>
    <d v="2024-10-26T00:00:00"/>
    <d v="2024-12-21T00:00:00"/>
    <n v="18"/>
    <n v="1082.7831000000001"/>
    <n v="2880"/>
    <n v="7"/>
    <n v="433.4015"/>
    <n v="25"/>
  </r>
  <r>
    <s v="Brand ABC TDM"/>
    <x v="2"/>
    <x v="1"/>
    <s v="Pants"/>
    <s v="B7A4D-BB2J"/>
    <s v="Training"/>
    <s v="S"/>
    <x v="0"/>
    <d v="2024-10-26T00:00:00"/>
    <d v="2024-12-20T00:00:00"/>
    <n v="19"/>
    <n v="1150.4385"/>
    <n v="3042"/>
    <n v="5"/>
    <n v="311.83150000000001"/>
    <n v="24"/>
  </r>
  <r>
    <s v="Brand ABC TDM"/>
    <x v="2"/>
    <x v="1"/>
    <s v="Pants"/>
    <s v="B7A4D-BB2J"/>
    <s v="Training"/>
    <s v="XS"/>
    <x v="0"/>
    <d v="2024-10-26T00:00:00"/>
    <d v="2024-12-04T00:00:00"/>
    <n v="16"/>
    <n v="968.89380000000006"/>
    <n v="2610"/>
    <n v="2"/>
    <n v="124.6944"/>
    <n v="18"/>
  </r>
  <r>
    <s v="Brand ABC TDM"/>
    <x v="2"/>
    <x v="1"/>
    <s v="Pullovers"/>
    <s v="B2B1W-BB2J"/>
    <s v="Strength In Numbers"/>
    <s v="L"/>
    <x v="1"/>
    <d v="2024-12-07T00:00:00"/>
    <d v="2024-12-21T00:00:00"/>
    <n v="3"/>
    <n v="297.03750000000002"/>
    <n v="825.8"/>
    <n v="3"/>
    <n v="297.03750000000002"/>
    <n v="6"/>
  </r>
  <r>
    <s v="Brand ABC TDM"/>
    <x v="2"/>
    <x v="1"/>
    <s v="Pullovers"/>
    <s v="B2B1W-BB2J"/>
    <s v="Strength In Numbers"/>
    <s v="M"/>
    <x v="1"/>
    <d v="2024-12-07T00:00:00"/>
    <d v="2024-12-21T00:00:00"/>
    <n v="5"/>
    <n v="495.0625"/>
    <n v="1281.45"/>
    <n v="4"/>
    <n v="396.05"/>
    <n v="9"/>
  </r>
  <r>
    <s v="Brand ABC TDM"/>
    <x v="2"/>
    <x v="1"/>
    <s v="Pullovers"/>
    <s v="B2B1W-BB2J"/>
    <s v="Strength In Numbers"/>
    <s v="S"/>
    <x v="1"/>
    <d v="2024-12-07T00:00:00"/>
    <d v="2024-12-21T00:00:00"/>
    <n v="1"/>
    <n v="99.012500000000003"/>
    <n v="256.29000000000002"/>
    <n v="4"/>
    <n v="396.05"/>
    <n v="5"/>
  </r>
  <r>
    <s v="Brand ABC TDM"/>
    <x v="2"/>
    <x v="1"/>
    <s v="Pullovers"/>
    <s v="B2B1W-BB2J"/>
    <s v="Strength In Numbers"/>
    <s v="XS"/>
    <x v="1"/>
    <d v="2024-12-07T00:00:00"/>
    <d v="2024-12-21T00:00:00"/>
    <n v="2"/>
    <n v="198.02500000000001"/>
    <n v="569.52"/>
    <n v="2"/>
    <n v="198.02500000000001"/>
    <n v="4"/>
  </r>
  <r>
    <s v="Brand ABC TDM"/>
    <x v="2"/>
    <x v="1"/>
    <s v="Pullovers"/>
    <s v="B2B2J-NCNZ"/>
    <s v="Lifting Club"/>
    <s v="L"/>
    <x v="1"/>
    <d v="2024-11-29T00:00:00"/>
    <d v="2024-12-13T00:00:00"/>
    <n v="1"/>
    <n v="99.012500000000003"/>
    <n v="256.29000000000002"/>
    <n v="6"/>
    <n v="594.07500000000005"/>
    <n v="7"/>
  </r>
  <r>
    <s v="Brand ABC TDM"/>
    <x v="2"/>
    <x v="1"/>
    <s v="Pullovers"/>
    <s v="B2B2J-NCNZ"/>
    <s v="Lifting Club"/>
    <s v="M"/>
    <x v="1"/>
    <d v="2024-11-29T00:00:00"/>
    <d v="2024-12-13T00:00:00"/>
    <n v="5"/>
    <n v="495.0625"/>
    <n v="1224.47"/>
    <n v="6"/>
    <n v="594.07500000000005"/>
    <n v="11"/>
  </r>
  <r>
    <s v="Brand ABC TDM"/>
    <x v="2"/>
    <x v="1"/>
    <s v="Pullovers"/>
    <s v="B2B2J-NCNZ"/>
    <s v="Lifting Club"/>
    <s v="S"/>
    <x v="1"/>
    <d v="2024-11-29T00:00:00"/>
    <d v="2024-12-21T00:00:00"/>
    <n v="3"/>
    <n v="297.03750000000002"/>
    <n v="768.86"/>
    <n v="6"/>
    <n v="594.07500000000005"/>
    <n v="9"/>
  </r>
  <r>
    <s v="Brand ABC TDM"/>
    <x v="2"/>
    <x v="1"/>
    <s v="Pullovers"/>
    <s v="B2B2J-NCNZ"/>
    <s v="Lifting Club"/>
    <s v="XS"/>
    <x v="1"/>
    <d v="2024-11-29T00:00:00"/>
    <d v="2024-12-13T00:00:00"/>
    <n v="3"/>
    <n v="297.03750000000002"/>
    <n v="768.85"/>
    <n v="4"/>
    <n v="396.05"/>
    <n v="7"/>
  </r>
  <r>
    <s v="Brand ABC TDM"/>
    <x v="2"/>
    <x v="1"/>
    <s v="Pullovers"/>
    <s v="B2B2J-NCNZ"/>
    <s v="Lifting Club"/>
    <s v="XXL"/>
    <x v="1"/>
    <d v="2024-11-29T00:00:00"/>
    <d v="2024-11-29T00:00:00"/>
    <n v="0"/>
    <n v="0"/>
    <n v="0"/>
    <n v="1"/>
    <n v="99.012500000000003"/>
    <n v="1"/>
  </r>
  <r>
    <s v="Brand ABC TDM"/>
    <x v="2"/>
    <x v="1"/>
    <s v="Pullovers"/>
    <s v="B2B2J-UB9P"/>
    <s v="Lifting Club"/>
    <s v="L"/>
    <x v="1"/>
    <d v="2024-11-29T00:00:00"/>
    <d v="2024-11-29T00:00:00"/>
    <n v="1"/>
    <n v="99.012500000000003"/>
    <n v="256.29000000000002"/>
    <n v="4"/>
    <n v="396.05"/>
    <n v="5"/>
  </r>
  <r>
    <s v="Brand ABC TDM"/>
    <x v="2"/>
    <x v="1"/>
    <s v="Pullovers"/>
    <s v="B2B2J-UB9P"/>
    <s v="Lifting Club"/>
    <s v="M"/>
    <x v="1"/>
    <d v="2024-11-29T00:00:00"/>
    <d v="2024-12-12T00:00:00"/>
    <n v="6"/>
    <n v="594.07500000000005"/>
    <n v="1566.19"/>
    <n v="7"/>
    <n v="693.08749999999998"/>
    <n v="13"/>
  </r>
  <r>
    <s v="Brand ABC TDM"/>
    <x v="2"/>
    <x v="1"/>
    <s v="Pullovers"/>
    <s v="B2B2J-UB9P"/>
    <s v="Lifting Club"/>
    <s v="S"/>
    <x v="1"/>
    <d v="2024-11-29T00:00:00"/>
    <d v="2024-12-12T00:00:00"/>
    <n v="4"/>
    <n v="396.05"/>
    <n v="1025.1600000000001"/>
    <n v="6"/>
    <n v="594.07500000000005"/>
    <n v="10"/>
  </r>
  <r>
    <s v="Brand ABC TDM"/>
    <x v="2"/>
    <x v="1"/>
    <s v="Pullovers"/>
    <s v="B2B2J-UB9P"/>
    <s v="Lifting Club"/>
    <s v="XS"/>
    <x v="1"/>
    <d v="2024-11-29T00:00:00"/>
    <d v="2024-12-21T00:00:00"/>
    <n v="4"/>
    <n v="396.05"/>
    <n v="1025.1500000000001"/>
    <n v="3"/>
    <n v="297.03750000000002"/>
    <n v="7"/>
  </r>
  <r>
    <s v="Brand ABC TDM"/>
    <x v="2"/>
    <x v="1"/>
    <s v="Pullovers"/>
    <s v="B2B2J-UB9P"/>
    <s v="Lifting Club"/>
    <s v="XXL"/>
    <x v="1"/>
    <d v="2024-11-29T00:00:00"/>
    <d v="2024-11-29T00:00:00"/>
    <n v="0"/>
    <n v="0"/>
    <n v="0"/>
    <n v="1"/>
    <n v="99.012500000000003"/>
    <n v="1"/>
  </r>
  <r>
    <s v="Brand ABC TDM"/>
    <x v="2"/>
    <x v="1"/>
    <s v="Pullovers"/>
    <s v="B5A9R-BB2J"/>
    <s v="Training"/>
    <s v="L"/>
    <x v="0"/>
    <d v="2024-10-26T00:00:00"/>
    <d v="2024-12-20T00:00:00"/>
    <n v="4"/>
    <n v="239.5924"/>
    <n v="612"/>
    <n v="5"/>
    <n v="302.60500000000002"/>
    <n v="9"/>
  </r>
  <r>
    <s v="Brand ABC TDM"/>
    <x v="2"/>
    <x v="1"/>
    <s v="Pullovers"/>
    <s v="B5A9R-BB2J"/>
    <s v="Training"/>
    <s v="M"/>
    <x v="0"/>
    <d v="2024-10-25T00:00:00"/>
    <d v="2024-12-20T00:00:00"/>
    <n v="12"/>
    <n v="724.97159999999997"/>
    <n v="1962"/>
    <n v="5"/>
    <n v="315.04899999999998"/>
    <n v="17"/>
  </r>
  <r>
    <s v="Brand ABC TDM"/>
    <x v="2"/>
    <x v="1"/>
    <s v="Pullovers"/>
    <s v="B5A9R-BB2J"/>
    <s v="Training"/>
    <s v="S"/>
    <x v="0"/>
    <d v="2024-10-26T00:00:00"/>
    <d v="2024-12-21T00:00:00"/>
    <n v="13"/>
    <n v="789.87289999999996"/>
    <n v="2088"/>
    <n v="7"/>
    <n v="440.08089999999999"/>
    <n v="20"/>
  </r>
  <r>
    <s v="Brand ABC TDM"/>
    <x v="2"/>
    <x v="1"/>
    <s v="Pullovers"/>
    <s v="B5A9R-BB2J"/>
    <s v="Training"/>
    <s v="XL"/>
    <x v="0"/>
    <d v="2024-10-26T00:00:00"/>
    <d v="2024-12-07T00:00:00"/>
    <n v="1"/>
    <n v="59.889899999999997"/>
    <n v="162"/>
    <n v="2"/>
    <n v="122.89400000000001"/>
    <n v="3"/>
  </r>
  <r>
    <s v="Brand ABC TDM"/>
    <x v="2"/>
    <x v="1"/>
    <s v="Pullovers"/>
    <s v="B5A9R-BB2J"/>
    <s v="Training"/>
    <s v="XS"/>
    <x v="0"/>
    <d v="2024-10-25T00:00:00"/>
    <d v="2024-12-14T00:00:00"/>
    <n v="11"/>
    <n v="671.245"/>
    <n v="1782"/>
    <n v="3"/>
    <n v="189.01230000000001"/>
    <n v="14"/>
  </r>
  <r>
    <s v="Brand ABC TDM"/>
    <x v="2"/>
    <x v="1"/>
    <s v="Pullovers"/>
    <s v="B5A9R-ECH1"/>
    <s v="Training"/>
    <s v="L"/>
    <x v="0"/>
    <d v="2024-10-26T00:00:00"/>
    <d v="2024-11-09T00:00:00"/>
    <n v="2"/>
    <n v="119.7796"/>
    <n v="314.95"/>
    <n v="6"/>
    <n v="359.33879999999999"/>
    <n v="8"/>
  </r>
  <r>
    <s v="Brand ABC TDM"/>
    <x v="2"/>
    <x v="1"/>
    <s v="Pullovers"/>
    <s v="B5A9R-ECH1"/>
    <s v="Training"/>
    <s v="M"/>
    <x v="0"/>
    <d v="2024-10-25T00:00:00"/>
    <d v="2024-11-26T00:00:00"/>
    <n v="9"/>
    <n v="542.74540000000002"/>
    <n v="1476"/>
    <n v="5"/>
    <n v="311.2835"/>
    <n v="14"/>
  </r>
  <r>
    <s v="Brand ABC TDM"/>
    <x v="2"/>
    <x v="1"/>
    <s v="Pullovers"/>
    <s v="B5A9R-ECH1"/>
    <s v="Training"/>
    <s v="S"/>
    <x v="0"/>
    <d v="2024-10-26T00:00:00"/>
    <d v="2024-12-16T00:00:00"/>
    <n v="12"/>
    <n v="726.87729999999999"/>
    <n v="1944"/>
    <n v="4"/>
    <n v="250.04599999999999"/>
    <n v="16"/>
  </r>
  <r>
    <s v="Brand ABC TDM"/>
    <x v="2"/>
    <x v="1"/>
    <s v="Pullovers"/>
    <s v="B5A9R-ECH1"/>
    <s v="Training"/>
    <s v="XS"/>
    <x v="0"/>
    <d v="2024-10-26T00:00:00"/>
    <d v="2024-11-30T00:00:00"/>
    <n v="8"/>
    <n v="485.34699999999998"/>
    <n v="1296"/>
    <n v="5"/>
    <n v="315.02050000000003"/>
    <n v="13"/>
  </r>
  <r>
    <s v="Brand ABC TDM"/>
    <x v="2"/>
    <x v="1"/>
    <s v="Pullovers"/>
    <s v="B9A6F-BB67"/>
    <s v="Premium Legacy"/>
    <s v="L"/>
    <x v="1"/>
    <d v="2024-10-28T00:00:00"/>
    <d v="2024-10-28T00:00:00"/>
    <n v="1"/>
    <n v="99.250600000000006"/>
    <n v="273.43"/>
    <n v="4"/>
    <n v="397.00240000000002"/>
    <n v="5"/>
  </r>
  <r>
    <s v="Brand ABC TDM"/>
    <x v="2"/>
    <x v="1"/>
    <s v="Pullovers"/>
    <s v="B9A6F-BB67"/>
    <s v="Premium Legacy"/>
    <s v="M"/>
    <x v="1"/>
    <d v="2024-10-28T00:00:00"/>
    <d v="2024-12-21T00:00:00"/>
    <n v="2"/>
    <n v="199.5334"/>
    <n v="546.85"/>
    <n v="5"/>
    <n v="505.54300000000001"/>
    <n v="7"/>
  </r>
  <r>
    <s v="Brand ABC TDM"/>
    <x v="2"/>
    <x v="1"/>
    <s v="Pullovers"/>
    <s v="B9A6F-BB67"/>
    <s v="Premium Legacy"/>
    <s v="S"/>
    <x v="1"/>
    <d v="2024-10-28T00:00:00"/>
    <d v="2024-12-16T00:00:00"/>
    <n v="10"/>
    <n v="1025.7370000000001"/>
    <n v="2825.43"/>
    <n v="2"/>
    <n v="208.279"/>
    <n v="12"/>
  </r>
  <r>
    <s v="Brand ABC TDM"/>
    <x v="2"/>
    <x v="1"/>
    <s v="Pullovers"/>
    <s v="B9A6F-BB67"/>
    <s v="Premium Legacy"/>
    <s v="XS"/>
    <x v="1"/>
    <d v="2024-10-28T00:00:00"/>
    <d v="2024-12-06T00:00:00"/>
    <n v="5"/>
    <n v="503.73070000000001"/>
    <n v="1367.14"/>
    <n v="0"/>
    <n v="0"/>
    <n v="5"/>
  </r>
  <r>
    <s v="Brand ABC TDM"/>
    <x v="2"/>
    <x v="1"/>
    <s v="Sleeveless Tops"/>
    <s v="B3A2Q-BBF3"/>
    <s v="Vital"/>
    <s v="L"/>
    <x v="0"/>
    <d v="2024-12-07T00:00:00"/>
    <d v="2024-12-20T00:00:00"/>
    <n v="1"/>
    <n v="50.427300000000002"/>
    <n v="141.9"/>
    <n v="4"/>
    <n v="201.70920000000001"/>
    <n v="5"/>
  </r>
  <r>
    <s v="Brand ABC TDM"/>
    <x v="2"/>
    <x v="1"/>
    <s v="Sleeveless Tops"/>
    <s v="B3A2Q-BBF3"/>
    <s v="Vital"/>
    <s v="M"/>
    <x v="0"/>
    <d v="2024-12-07T00:00:00"/>
    <d v="2024-12-20T00:00:00"/>
    <n v="1"/>
    <n v="50.4208"/>
    <n v="127.71"/>
    <n v="5"/>
    <n v="252.10400000000001"/>
    <n v="6"/>
  </r>
  <r>
    <s v="Brand ABC TDM"/>
    <x v="2"/>
    <x v="1"/>
    <s v="Sleeveless Tops"/>
    <s v="B3A2Q-BBF3"/>
    <s v="Vital"/>
    <s v="S"/>
    <x v="0"/>
    <d v="2024-12-07T00:00:00"/>
    <d v="2024-12-21T00:00:00"/>
    <n v="2"/>
    <n v="100.8608"/>
    <n v="255.42"/>
    <n v="3"/>
    <n v="151.2912"/>
    <n v="5"/>
  </r>
  <r>
    <s v="Brand ABC TDM"/>
    <x v="2"/>
    <x v="1"/>
    <s v="Sleeveless Tops"/>
    <s v="B3A2Q-BBF3"/>
    <s v="Vital"/>
    <s v="XS"/>
    <x v="0"/>
    <d v="2024-12-07T00:00:00"/>
    <d v="2024-12-17T00:00:00"/>
    <n v="3"/>
    <n v="151.29599999999999"/>
    <n v="383.13"/>
    <n v="2"/>
    <n v="100.864"/>
    <n v="5"/>
  </r>
  <r>
    <s v="Brand ABC TDM"/>
    <x v="2"/>
    <x v="1"/>
    <s v="Sleeveless Tops"/>
    <s v="B3A2Q-EBTF"/>
    <s v="Vital"/>
    <s v="L"/>
    <x v="0"/>
    <d v="2024-10-26T00:00:00"/>
    <d v="2024-11-09T00:00:00"/>
    <n v="1"/>
    <n v="47.968400000000003"/>
    <n v="127.71"/>
    <n v="5"/>
    <n v="239.84200000000001"/>
    <n v="6"/>
  </r>
  <r>
    <s v="Brand ABC TDM"/>
    <x v="2"/>
    <x v="1"/>
    <s v="Sleeveless Tops"/>
    <s v="B3A2Q-EBTF"/>
    <s v="Vital"/>
    <s v="M"/>
    <x v="0"/>
    <d v="2024-10-26T00:00:00"/>
    <d v="2024-12-17T00:00:00"/>
    <n v="10"/>
    <n v="484.62619999999998"/>
    <n v="1291.31"/>
    <n v="5"/>
    <n v="252.2895"/>
    <n v="15"/>
  </r>
  <r>
    <s v="Brand ABC TDM"/>
    <x v="2"/>
    <x v="1"/>
    <s v="Sleeveless Tops"/>
    <s v="B3A2Q-EBTF"/>
    <s v="Vital"/>
    <s v="S"/>
    <x v="0"/>
    <d v="2024-10-26T00:00:00"/>
    <d v="2024-11-26T00:00:00"/>
    <n v="8"/>
    <n v="384.99439999999998"/>
    <n v="1021.69"/>
    <n v="4"/>
    <n v="198.1096"/>
    <n v="12"/>
  </r>
  <r>
    <s v="Brand ABC TDM"/>
    <x v="2"/>
    <x v="1"/>
    <s v="Sleeveless Tops"/>
    <s v="B3A2Q-EBTF"/>
    <s v="Vital"/>
    <s v="XL"/>
    <x v="0"/>
    <d v="2024-10-26T00:00:00"/>
    <d v="2024-10-26T00:00:00"/>
    <n v="0"/>
    <n v="0"/>
    <n v="0"/>
    <n v="2"/>
    <n v="95.936800000000005"/>
    <n v="2"/>
  </r>
  <r>
    <s v="Brand ABC TDM"/>
    <x v="2"/>
    <x v="1"/>
    <s v="Sleeveless Tops"/>
    <s v="B3A2Q-EBTF"/>
    <s v="Vital"/>
    <s v="XS"/>
    <x v="0"/>
    <d v="2024-10-26T00:00:00"/>
    <d v="2024-11-26T00:00:00"/>
    <n v="4"/>
    <n v="193.3518"/>
    <n v="510.85"/>
    <n v="4"/>
    <n v="200.3732"/>
    <n v="8"/>
  </r>
  <r>
    <s v="Brand ABC TDM"/>
    <x v="2"/>
    <x v="1"/>
    <s v="Sleeveless Tops"/>
    <s v="B3A2Q-UBR3"/>
    <s v="Vital"/>
    <s v="M"/>
    <x v="0"/>
    <d v="2024-11-12T00:00:00"/>
    <d v="2024-11-26T00:00:00"/>
    <n v="1"/>
    <n v="47.968400000000003"/>
    <n v="127.71"/>
    <n v="1"/>
    <n v="48.467300000000002"/>
    <n v="2"/>
  </r>
  <r>
    <s v="Brand ABC TDM"/>
    <x v="2"/>
    <x v="1"/>
    <s v="Sleeveless Tops"/>
    <s v="B3A2Q-UBR3"/>
    <s v="Vital"/>
    <s v="S"/>
    <x v="0"/>
    <d v="2024-11-12T00:00:00"/>
    <d v="2024-11-21T00:00:00"/>
    <n v="1"/>
    <n v="47.968400000000003"/>
    <n v="127.71"/>
    <n v="0"/>
    <n v="0"/>
    <n v="1"/>
  </r>
  <r>
    <s v="Brand ABC TDM"/>
    <x v="2"/>
    <x v="1"/>
    <s v="Sleeveless Tops"/>
    <s v="B8A4S-BB2J"/>
    <s v="Everyday Seamless"/>
    <s v="L"/>
    <x v="0"/>
    <d v="2024-10-25T00:00:00"/>
    <d v="2024-12-18T00:00:00"/>
    <n v="7"/>
    <n v="300.512"/>
    <n v="827.33"/>
    <n v="5"/>
    <n v="219.80250000000001"/>
    <n v="12"/>
  </r>
  <r>
    <s v="Brand ABC TDM"/>
    <x v="2"/>
    <x v="1"/>
    <s v="Sleeveless Tops"/>
    <s v="B8A4S-BB2J"/>
    <s v="Everyday Seamless"/>
    <s v="M"/>
    <x v="0"/>
    <d v="2024-10-26T00:00:00"/>
    <d v="2024-12-20T00:00:00"/>
    <n v="11"/>
    <n v="472.6103"/>
    <n v="1231.17"/>
    <n v="5"/>
    <n v="223.36150000000001"/>
    <n v="16"/>
  </r>
  <r>
    <s v="Brand ABC TDM"/>
    <x v="2"/>
    <x v="1"/>
    <s v="Sleeveless Tops"/>
    <s v="B8A4S-BB2J"/>
    <s v="Everyday Seamless"/>
    <s v="S"/>
    <x v="0"/>
    <d v="2024-10-25T00:00:00"/>
    <d v="2024-12-21T00:00:00"/>
    <n v="12"/>
    <n v="525.05809999999997"/>
    <n v="1442.93"/>
    <n v="4"/>
    <n v="179.74279999999999"/>
    <n v="16"/>
  </r>
  <r>
    <s v="Brand ABC TDM"/>
    <x v="2"/>
    <x v="1"/>
    <s v="Sleeveless Tops"/>
    <s v="B8A4S-BB2J"/>
    <s v="Everyday Seamless"/>
    <s v="XL"/>
    <x v="0"/>
    <d v="2024-10-25T00:00:00"/>
    <d v="2024-12-12T00:00:00"/>
    <n v="2"/>
    <n v="86.7346"/>
    <n v="238.28"/>
    <n v="2"/>
    <n v="88.939800000000005"/>
    <n v="4"/>
  </r>
  <r>
    <s v="Brand ABC TDM"/>
    <x v="2"/>
    <x v="1"/>
    <s v="Sleeveless Tops"/>
    <s v="B8A4S-BB2J"/>
    <s v="Everyday Seamless"/>
    <s v="XS"/>
    <x v="0"/>
    <d v="2024-10-26T00:00:00"/>
    <d v="2024-11-09T00:00:00"/>
    <n v="2"/>
    <n v="85.604399999999998"/>
    <n v="238.29"/>
    <n v="3"/>
    <n v="128.4066"/>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6">
  <r>
    <s v="Brand ABC TDM"/>
    <x v="0"/>
    <s v="Unisex"/>
    <x v="0"/>
    <s v="I1A2J-BBBB"/>
    <x v="0"/>
    <s v="One Size"/>
    <x v="0"/>
    <d v="2024-10-25T00:00:00"/>
    <d v="2024-12-21T00:00:00"/>
    <n v="27"/>
    <n v="466.80070000000001"/>
    <n v="1382.26"/>
    <n v="14"/>
    <n v="247.9778"/>
  </r>
  <r>
    <s v="Brand ABC TDM"/>
    <x v="0"/>
    <s v="Unisex"/>
    <x v="0"/>
    <s v="I1A2J-PBVP"/>
    <x v="0"/>
    <s v="One Size"/>
    <x v="0"/>
    <d v="2024-10-25T00:00:00"/>
    <d v="2024-12-05T00:00:00"/>
    <n v="39"/>
    <n v="679.86620000000005"/>
    <n v="1989.16"/>
    <n v="0"/>
    <n v="0"/>
  </r>
  <r>
    <s v="Brand ABC TDM"/>
    <x v="0"/>
    <s v="Unisex"/>
    <x v="0"/>
    <s v="I1A2U-BBBB"/>
    <x v="0"/>
    <s v="One Size"/>
    <x v="0"/>
    <d v="2024-10-25T00:00:00"/>
    <d v="2024-12-21T00:00:00"/>
    <n v="59"/>
    <n v="1232.9165"/>
    <n v="3492.61"/>
    <n v="12"/>
    <n v="258.81119999999999"/>
  </r>
  <r>
    <s v="Brand ABC TDM"/>
    <x v="0"/>
    <s v="Unisex"/>
    <x v="0"/>
    <s v="I1A2U-ECJR"/>
    <x v="0"/>
    <s v="One Size"/>
    <x v="0"/>
    <d v="2024-05-20T00:00:00"/>
    <d v="2024-12-13T00:00:00"/>
    <n v="24"/>
    <n v="497.0215"/>
    <n v="1425.87"/>
    <n v="11"/>
    <n v="233.23519999999999"/>
  </r>
  <r>
    <s v="Brand ABC TDM"/>
    <x v="0"/>
    <s v="Unisex"/>
    <x v="0"/>
    <s v="I1A4T-BBBB"/>
    <x v="0"/>
    <s v="One Size"/>
    <x v="0"/>
    <d v="2024-10-28T00:00:00"/>
    <d v="2024-12-21T00:00:00"/>
    <n v="8"/>
    <n v="144.3296"/>
    <n v="421.42"/>
    <n v="11"/>
    <n v="198.45320000000001"/>
  </r>
  <r>
    <s v="Brand ABC TDM"/>
    <x v="0"/>
    <s v="Unisex"/>
    <x v="0"/>
    <s v="I2A6T-BBBB"/>
    <x v="0"/>
    <s v="OS"/>
    <x v="0"/>
    <d v="2024-12-07T00:00:00"/>
    <d v="2024-12-21T00:00:00"/>
    <n v="9"/>
    <n v="159.77539999999999"/>
    <n v="477.62"/>
    <n v="9"/>
    <n v="162.2295"/>
  </r>
  <r>
    <s v="Brand ABC TDM"/>
    <x v="0"/>
    <s v="Unisex"/>
    <x v="0"/>
    <s v="I3A2K-BBBB"/>
    <x v="1"/>
    <s v="One Size"/>
    <x v="0"/>
    <d v="2024-05-20T00:00:00"/>
    <d v="2024-10-26T00:00:00"/>
    <n v="3"/>
    <n v="76.983900000000006"/>
    <n v="228.86"/>
    <n v="9"/>
    <n v="230.95169999999999"/>
  </r>
  <r>
    <s v="Brand ABC TDM"/>
    <x v="0"/>
    <s v="Unisex"/>
    <x v="0"/>
    <s v="I3A2K-KB1J"/>
    <x v="1"/>
    <s v="One Size"/>
    <x v="0"/>
    <d v="2024-05-20T00:00:00"/>
    <d v="2024-11-09T00:00:00"/>
    <n v="13"/>
    <n v="333.59690000000001"/>
    <n v="966.3"/>
    <n v="2"/>
    <n v="51.322600000000001"/>
  </r>
  <r>
    <s v="Brand ABC TDM"/>
    <x v="0"/>
    <s v="Unisex"/>
    <x v="0"/>
    <s v="I3A2K-KCCG"/>
    <x v="1"/>
    <s v="OS"/>
    <x v="1"/>
    <d v="2024-12-07T00:00:00"/>
    <d v="2024-12-21T00:00:00"/>
    <n v="8"/>
    <n v="215.96559999999999"/>
    <n v="601.80999999999995"/>
    <n v="10"/>
    <n v="269.95699999999999"/>
  </r>
  <r>
    <s v="Brand ABC TDM"/>
    <x v="0"/>
    <s v="Unisex"/>
    <x v="0"/>
    <s v="I3A2K-UCZX"/>
    <x v="1"/>
    <s v="OS"/>
    <x v="1"/>
    <d v="2024-12-07T00:00:00"/>
    <d v="2024-12-20T00:00:00"/>
    <n v="7"/>
    <n v="188.9699"/>
    <n v="550.97"/>
    <n v="10"/>
    <n v="269.95699999999999"/>
  </r>
  <r>
    <s v="Brand ABC TDM"/>
    <x v="0"/>
    <s v="Unisex"/>
    <x v="1"/>
    <s v="I1A6R-BBF7"/>
    <x v="2"/>
    <s v="One Size"/>
    <x v="0"/>
    <d v="2024-05-20T00:00:00"/>
    <d v="2024-12-21T00:00:00"/>
    <n v="19"/>
    <n v="685.84699999999998"/>
    <n v="1806.29"/>
    <n v="9"/>
    <n v="324.07560000000001"/>
  </r>
  <r>
    <s v="Brand ABC TDM"/>
    <x v="0"/>
    <s v="Unisex"/>
    <x v="1"/>
    <s v="I1A6R-GBCN"/>
    <x v="2"/>
    <s v="OS"/>
    <x v="0"/>
    <d v="2024-10-25T00:00:00"/>
    <d v="2024-12-21T00:00:00"/>
    <n v="20"/>
    <n v="688.91070000000002"/>
    <n v="1889.36"/>
    <n v="11"/>
    <n v="386.4135"/>
  </r>
  <r>
    <s v="Brand ABC TDM"/>
    <x v="0"/>
    <s v="Unisex"/>
    <x v="1"/>
    <s v="I1A6R-NBY9"/>
    <x v="2"/>
    <s v="OS"/>
    <x v="0"/>
    <d v="2024-10-25T00:00:00"/>
    <d v="2024-12-21T00:00:00"/>
    <n v="47"/>
    <n v="1631.0148999999999"/>
    <n v="4401.5200000000004"/>
    <n v="12"/>
    <n v="429.42959999999999"/>
  </r>
  <r>
    <s v="Brand ABC TDM"/>
    <x v="0"/>
    <s v="Unisex"/>
    <x v="1"/>
    <s v="I1A6R-UCTM"/>
    <x v="2"/>
    <s v="OS"/>
    <x v="2"/>
    <d v="2024-10-25T00:00:00"/>
    <d v="2024-12-21T00:00:00"/>
    <n v="1"/>
    <n v="35.458399999999997"/>
    <n v="93.43"/>
    <n v="12"/>
    <n v="426.05040000000002"/>
  </r>
  <r>
    <s v="Brand ABC TDM"/>
    <x v="0"/>
    <s v="Unisex"/>
    <x v="1"/>
    <s v="I1A7G-BBBB"/>
    <x v="3"/>
    <s v="One Size"/>
    <x v="0"/>
    <d v="2024-10-11T00:00:00"/>
    <d v="2024-12-21T00:00:00"/>
    <n v="12"/>
    <n v="423.40379999999999"/>
    <n v="1110.78"/>
    <n v="4"/>
    <n v="144.03360000000001"/>
  </r>
  <r>
    <s v="Brand ABC TDM"/>
    <x v="0"/>
    <s v="Unisex"/>
    <x v="1"/>
    <s v="I1A7G-GBCN"/>
    <x v="3"/>
    <s v="One Size"/>
    <x v="0"/>
    <d v="2024-05-20T00:00:00"/>
    <d v="2024-12-21T00:00:00"/>
    <n v="8"/>
    <n v="280.72879999999998"/>
    <n v="747.43"/>
    <n v="5"/>
    <n v="179.02250000000001"/>
  </r>
  <r>
    <s v="Brand ABC TDM"/>
    <x v="0"/>
    <s v="Unisex"/>
    <x v="2"/>
    <s v="I1B2O-BB2J"/>
    <x v="0"/>
    <s v="L"/>
    <x v="1"/>
    <d v="2024-12-07T00:00:00"/>
    <d v="2024-12-20T00:00:00"/>
    <n v="0"/>
    <n v="0"/>
    <n v="0"/>
    <n v="10"/>
    <n v="144.119"/>
  </r>
  <r>
    <s v="Brand ABC TDM"/>
    <x v="0"/>
    <s v="Unisex"/>
    <x v="2"/>
    <s v="I1B2O-BB2J"/>
    <x v="0"/>
    <s v="M"/>
    <x v="1"/>
    <d v="2024-12-07T00:00:00"/>
    <d v="2024-12-20T00:00:00"/>
    <n v="3"/>
    <n v="43.235700000000001"/>
    <n v="140"/>
    <n v="10"/>
    <n v="144.119"/>
  </r>
  <r>
    <s v="Brand ABC TDM"/>
    <x v="0"/>
    <s v="Unisex"/>
    <x v="2"/>
    <s v="I1B2O-BB2J"/>
    <x v="0"/>
    <s v="S"/>
    <x v="1"/>
    <d v="2024-12-07T00:00:00"/>
    <d v="2024-12-19T00:00:00"/>
    <n v="3"/>
    <n v="39.291600000000003"/>
    <n v="140.01"/>
    <n v="8"/>
    <n v="104.77760000000001"/>
  </r>
  <r>
    <s v="Brand ABC TDM"/>
    <x v="0"/>
    <s v="Unisex"/>
    <x v="2"/>
    <s v="I2A1Z-GBCN"/>
    <x v="3"/>
    <s v="L"/>
    <x v="0"/>
    <d v="2024-10-28T00:00:00"/>
    <d v="2024-12-18T00:00:00"/>
    <n v="7"/>
    <n v="242.85120000000001"/>
    <n v="674.77"/>
    <n v="10"/>
    <n v="352.19600000000003"/>
  </r>
  <r>
    <s v="Brand ABC TDM"/>
    <x v="0"/>
    <s v="Unisex"/>
    <x v="2"/>
    <s v="I2A1Z-GBCN"/>
    <x v="3"/>
    <s v="M"/>
    <x v="0"/>
    <d v="2024-10-28T00:00:00"/>
    <d v="2024-12-21T00:00:00"/>
    <n v="2"/>
    <n v="68.716200000000001"/>
    <n v="186.86"/>
    <n v="10"/>
    <n v="346.07600000000002"/>
  </r>
  <r>
    <s v="Brand ABC TDM"/>
    <x v="0"/>
    <s v="Unisex"/>
    <x v="2"/>
    <s v="I2A1Z-GBCN"/>
    <x v="3"/>
    <s v="S"/>
    <x v="0"/>
    <d v="2024-10-28T00:00:00"/>
    <d v="2024-12-19T00:00:00"/>
    <n v="3"/>
    <n v="103.1634"/>
    <n v="290.67"/>
    <n v="10"/>
    <n v="347.68"/>
  </r>
  <r>
    <s v="Brand ABC TDM"/>
    <x v="0"/>
    <s v="Unisex"/>
    <x v="2"/>
    <s v="I2A1Z-NCDX"/>
    <x v="3"/>
    <s v="L"/>
    <x v="0"/>
    <d v="2024-05-20T00:00:00"/>
    <d v="2024-12-17T00:00:00"/>
    <n v="4"/>
    <n v="137.93100000000001"/>
    <n v="394.48"/>
    <n v="9"/>
    <n v="312.91109999999998"/>
  </r>
  <r>
    <s v="Brand ABC TDM"/>
    <x v="0"/>
    <s v="Unisex"/>
    <x v="2"/>
    <s v="I2A1Z-NCDX"/>
    <x v="3"/>
    <s v="M"/>
    <x v="0"/>
    <d v="2024-05-20T00:00:00"/>
    <d v="2024-12-17T00:00:00"/>
    <n v="4"/>
    <n v="138.0753"/>
    <n v="384.09"/>
    <n v="10"/>
    <n v="348.81700000000001"/>
  </r>
  <r>
    <s v="Brand ABC TDM"/>
    <x v="0"/>
    <s v="Unisex"/>
    <x v="2"/>
    <s v="I2A1Z-NCDX"/>
    <x v="3"/>
    <s v="S"/>
    <x v="0"/>
    <d v="2024-05-20T00:00:00"/>
    <d v="2024-12-14T00:00:00"/>
    <n v="3"/>
    <n v="103.3235"/>
    <n v="280.29000000000002"/>
    <n v="10"/>
    <n v="347.51799999999997"/>
  </r>
  <r>
    <s v="Brand ABC TDM"/>
    <x v="0"/>
    <s v="Unisex"/>
    <x v="2"/>
    <s v="I2A1Z-WBBM"/>
    <x v="3"/>
    <s v="M"/>
    <x v="0"/>
    <d v="2024-10-28T00:00:00"/>
    <d v="2024-12-21T00:00:00"/>
    <n v="13"/>
    <n v="455.08390000000003"/>
    <n v="1266.49"/>
    <n v="8"/>
    <n v="284.16399999999999"/>
  </r>
  <r>
    <s v="Brand ABC TDM"/>
    <x v="0"/>
    <s v="Unisex"/>
    <x v="2"/>
    <s v="I2A1Z-WBBM"/>
    <x v="3"/>
    <s v="S"/>
    <x v="0"/>
    <d v="2024-10-28T00:00:00"/>
    <d v="2024-12-21T00:00:00"/>
    <n v="12"/>
    <n v="419.50549999999998"/>
    <n v="1121.1500000000001"/>
    <n v="10"/>
    <n v="355.79599999999999"/>
  </r>
  <r>
    <s v="Brand ABC TDM"/>
    <x v="0"/>
    <s v="Unisex"/>
    <x v="2"/>
    <s v="I2A3B-BBBB"/>
    <x v="4"/>
    <s v="L"/>
    <x v="0"/>
    <d v="2024-11-12T00:00:00"/>
    <d v="2024-12-21T00:00:00"/>
    <n v="28"/>
    <n v="489.61880000000002"/>
    <n v="1438.44"/>
    <n v="10"/>
    <n v="179.99600000000001"/>
  </r>
  <r>
    <s v="Brand ABC TDM"/>
    <x v="0"/>
    <s v="Unisex"/>
    <x v="2"/>
    <s v="I2A3B-BBBB"/>
    <x v="4"/>
    <s v="M"/>
    <x v="0"/>
    <d v="2024-11-12T00:00:00"/>
    <d v="2024-12-18T00:00:00"/>
    <n v="7"/>
    <n v="120.9674"/>
    <n v="359.62"/>
    <n v="10"/>
    <n v="175.47200000000001"/>
  </r>
  <r>
    <s v="Brand ABC TDM"/>
    <x v="0"/>
    <s v="Unisex"/>
    <x v="2"/>
    <s v="I2A3B-BBBB"/>
    <x v="4"/>
    <s v="S"/>
    <x v="0"/>
    <d v="2024-11-12T00:00:00"/>
    <d v="2024-12-10T00:00:00"/>
    <n v="6"/>
    <n v="103.30840000000001"/>
    <n v="303.43"/>
    <n v="10"/>
    <n v="174.16900000000001"/>
  </r>
  <r>
    <s v="Brand ABC TDM"/>
    <x v="0"/>
    <s v="Unisex"/>
    <x v="2"/>
    <s v="I2A3B-WBBM"/>
    <x v="4"/>
    <s v="L"/>
    <x v="0"/>
    <d v="2024-11-12T00:00:00"/>
    <d v="2024-12-21T00:00:00"/>
    <n v="30"/>
    <n v="524.01049999999998"/>
    <n v="1533.97"/>
    <n v="9"/>
    <n v="162.04230000000001"/>
  </r>
  <r>
    <s v="Brand ABC TDM"/>
    <x v="0"/>
    <s v="Unisex"/>
    <x v="2"/>
    <s v="I2A3B-WBBM"/>
    <x v="4"/>
    <s v="M"/>
    <x v="0"/>
    <d v="2024-11-12T00:00:00"/>
    <d v="2024-12-18T00:00:00"/>
    <n v="19"/>
    <n v="329.9325"/>
    <n v="988.96"/>
    <n v="9"/>
    <n v="160.7895"/>
  </r>
  <r>
    <s v="Brand ABC TDM"/>
    <x v="0"/>
    <s v="Unisex"/>
    <x v="2"/>
    <s v="I2A3B-WBBM"/>
    <x v="4"/>
    <s v="S"/>
    <x v="0"/>
    <d v="2024-11-12T00:00:00"/>
    <d v="2024-12-17T00:00:00"/>
    <n v="7"/>
    <n v="121.8165"/>
    <n v="353.99"/>
    <n v="9"/>
    <n v="158.33969999999999"/>
  </r>
  <r>
    <s v="Brand ABC TDM"/>
    <x v="0"/>
    <s v="Unisex"/>
    <x v="2"/>
    <s v="I2A3B-WBTM"/>
    <x v="4"/>
    <s v="L"/>
    <x v="0"/>
    <d v="2024-05-20T00:00:00"/>
    <d v="2024-12-10T00:00:00"/>
    <n v="26"/>
    <n v="460.07229999999998"/>
    <n v="1326.06"/>
    <n v="1"/>
    <n v="17.941500000000001"/>
  </r>
  <r>
    <s v="Brand ABC TDM"/>
    <x v="0"/>
    <s v="Unisex"/>
    <x v="2"/>
    <s v="I2A3B-WBTM"/>
    <x v="4"/>
    <s v="M"/>
    <x v="0"/>
    <d v="2024-05-20T00:00:00"/>
    <d v="2024-12-21T00:00:00"/>
    <n v="15"/>
    <n v="263.19209999999998"/>
    <n v="764.2"/>
    <n v="8"/>
    <n v="142.6"/>
  </r>
  <r>
    <s v="Brand ABC TDM"/>
    <x v="0"/>
    <s v="Unisex"/>
    <x v="2"/>
    <s v="I2A3B-WBTM"/>
    <x v="4"/>
    <s v="S"/>
    <x v="0"/>
    <d v="2024-05-20T00:00:00"/>
    <d v="2024-12-20T00:00:00"/>
    <n v="10"/>
    <n v="173.7989"/>
    <n v="516.94000000000005"/>
    <n v="9"/>
    <n v="158.92019999999999"/>
  </r>
  <r>
    <s v="Brand ABC TDM"/>
    <x v="0"/>
    <s v="Unisex"/>
    <x v="2"/>
    <s v="I3A3P-BB2J"/>
    <x v="0"/>
    <s v="L"/>
    <x v="0"/>
    <d v="2024-10-26T00:00:00"/>
    <d v="2024-11-15T00:00:00"/>
    <n v="20"/>
    <n v="410.58"/>
    <n v="1339.21"/>
    <n v="0"/>
    <n v="0"/>
  </r>
  <r>
    <s v="Brand ABC TDM"/>
    <x v="0"/>
    <s v="Unisex"/>
    <x v="2"/>
    <s v="I3A3P-BB2J"/>
    <x v="0"/>
    <s v="M"/>
    <x v="0"/>
    <d v="2024-10-26T00:00:00"/>
    <d v="2024-12-09T00:00:00"/>
    <n v="26"/>
    <n v="544.31039999999996"/>
    <n v="1783.12"/>
    <n v="4"/>
    <n v="85.436800000000005"/>
  </r>
  <r>
    <s v="Brand ABC TDM"/>
    <x v="0"/>
    <s v="Unisex"/>
    <x v="2"/>
    <s v="I3A3P-BB2J"/>
    <x v="0"/>
    <s v="S"/>
    <x v="0"/>
    <d v="2024-10-26T00:00:00"/>
    <d v="2024-12-17T00:00:00"/>
    <n v="7"/>
    <n v="143.91650000000001"/>
    <n v="473.98"/>
    <n v="9"/>
    <n v="186.6825"/>
  </r>
  <r>
    <s v="Brand ABC TDM"/>
    <x v="0"/>
    <s v="Unisex"/>
    <x v="2"/>
    <s v="I3A3P-ECKQ"/>
    <x v="0"/>
    <s v="M"/>
    <x v="0"/>
    <d v="2024-10-26T00:00:00"/>
    <d v="2024-12-19T00:00:00"/>
    <n v="4"/>
    <n v="82.715100000000007"/>
    <n v="274.62"/>
    <n v="10"/>
    <n v="208.96199999999999"/>
  </r>
  <r>
    <s v="Brand ABC TDM"/>
    <x v="0"/>
    <s v="Unisex"/>
    <x v="2"/>
    <s v="I3A3P-ECKQ"/>
    <x v="0"/>
    <s v="S"/>
    <x v="0"/>
    <d v="2024-10-26T00:00:00"/>
    <d v="2024-12-19T00:00:00"/>
    <n v="2"/>
    <n v="41.1648"/>
    <n v="135.41999999999999"/>
    <n v="10"/>
    <n v="207.31899999999999"/>
  </r>
  <r>
    <s v="Brand ABC TDM"/>
    <x v="0"/>
    <s v="Unisex"/>
    <x v="2"/>
    <s v="I3A3P-KB1F"/>
    <x v="0"/>
    <s v="L"/>
    <x v="0"/>
    <d v="2024-10-26T00:00:00"/>
    <d v="2024-11-27T00:00:00"/>
    <n v="5"/>
    <n v="102.6806"/>
    <n v="323.52"/>
    <n v="30"/>
    <n v="617.97"/>
  </r>
  <r>
    <s v="Brand ABC TDM"/>
    <x v="0"/>
    <s v="Unisex"/>
    <x v="2"/>
    <s v="I3A3P-KB1F"/>
    <x v="0"/>
    <s v="M"/>
    <x v="0"/>
    <d v="2024-10-26T00:00:00"/>
    <d v="2024-12-04T00:00:00"/>
    <n v="18"/>
    <n v="370.76499999999999"/>
    <n v="1230.1199999999999"/>
    <n v="26"/>
    <n v="538.91759999999999"/>
  </r>
  <r>
    <s v="Brand ABC TDM"/>
    <x v="0"/>
    <s v="Unisex"/>
    <x v="2"/>
    <s v="I3A3P-KB1F"/>
    <x v="0"/>
    <s v="S"/>
    <x v="0"/>
    <d v="2024-10-26T00:00:00"/>
    <d v="2024-12-03T00:00:00"/>
    <n v="15"/>
    <n v="308.69"/>
    <n v="1000.63"/>
    <n v="30"/>
    <n v="623.57100000000003"/>
  </r>
  <r>
    <s v="Brand ABC TDM"/>
    <x v="0"/>
    <s v="Unisex"/>
    <x v="2"/>
    <s v="I3A3P-KB4C"/>
    <x v="0"/>
    <s v="L"/>
    <x v="0"/>
    <d v="2024-10-26T00:00:00"/>
    <d v="2024-11-26T00:00:00"/>
    <n v="5"/>
    <n v="102.6818"/>
    <n v="338.57"/>
    <n v="30"/>
    <n v="618.00599999999997"/>
  </r>
  <r>
    <s v="Brand ABC TDM"/>
    <x v="0"/>
    <s v="Unisex"/>
    <x v="2"/>
    <s v="I3A3P-KB4C"/>
    <x v="0"/>
    <s v="M"/>
    <x v="0"/>
    <d v="2024-10-26T00:00:00"/>
    <d v="2024-12-21T00:00:00"/>
    <n v="8"/>
    <n v="164.4409"/>
    <n v="545.45000000000005"/>
    <n v="30"/>
    <n v="619.93200000000002"/>
  </r>
  <r>
    <s v="Brand ABC TDM"/>
    <x v="0"/>
    <s v="Unisex"/>
    <x v="2"/>
    <s v="I3A3P-KB4C"/>
    <x v="0"/>
    <s v="S"/>
    <x v="0"/>
    <d v="2024-10-25T00:00:00"/>
    <d v="2024-12-20T00:00:00"/>
    <n v="8"/>
    <n v="164.3365"/>
    <n v="549.22"/>
    <n v="30"/>
    <n v="618.93600000000004"/>
  </r>
  <r>
    <s v="Brand ABC TDM"/>
    <x v="0"/>
    <s v="Unisex"/>
    <x v="2"/>
    <s v="I3A3P-PBV5"/>
    <x v="0"/>
    <s v="L"/>
    <x v="0"/>
    <d v="2024-10-26T00:00:00"/>
    <d v="2024-10-26T00:00:00"/>
    <n v="0"/>
    <n v="0"/>
    <n v="0"/>
    <n v="10"/>
    <n v="205.29"/>
  </r>
  <r>
    <s v="Brand ABC TDM"/>
    <x v="0"/>
    <s v="Unisex"/>
    <x v="2"/>
    <s v="I3A3P-PBV5"/>
    <x v="0"/>
    <s v="M"/>
    <x v="0"/>
    <d v="2024-10-26T00:00:00"/>
    <d v="2024-11-28T00:00:00"/>
    <n v="3"/>
    <n v="61.8005"/>
    <n v="188.09"/>
    <n v="10"/>
    <n v="208.279"/>
  </r>
  <r>
    <s v="Brand ABC TDM"/>
    <x v="0"/>
    <s v="Unisex"/>
    <x v="2"/>
    <s v="I3A3P-PBV5"/>
    <x v="0"/>
    <s v="S"/>
    <x v="0"/>
    <d v="2024-10-26T00:00:00"/>
    <d v="2024-11-29T00:00:00"/>
    <n v="3"/>
    <n v="61.896700000000003"/>
    <n v="203.14"/>
    <n v="10"/>
    <n v="208.184"/>
  </r>
  <r>
    <s v="Brand ABC TDM"/>
    <x v="0"/>
    <s v="Unisex"/>
    <x v="2"/>
    <s v="I3A3P-WB57"/>
    <x v="0"/>
    <s v="L"/>
    <x v="0"/>
    <d v="2024-05-20T00:00:00"/>
    <d v="2024-12-17T00:00:00"/>
    <n v="97"/>
    <n v="2218.6754999999998"/>
    <n v="6508.01"/>
    <n v="28"/>
    <n v="655.11879999999996"/>
  </r>
  <r>
    <s v="Brand ABC TDM"/>
    <x v="0"/>
    <s v="Unisex"/>
    <x v="2"/>
    <s v="I3A3P-WB57"/>
    <x v="0"/>
    <s v="M"/>
    <x v="0"/>
    <d v="2024-05-20T00:00:00"/>
    <d v="2024-12-09T00:00:00"/>
    <n v="77"/>
    <n v="1718.049"/>
    <n v="5225.17"/>
    <n v="18"/>
    <n v="410.07780000000002"/>
  </r>
  <r>
    <s v="Brand ABC TDM"/>
    <x v="0"/>
    <s v="Unisex"/>
    <x v="2"/>
    <s v="I3A3P-WB57"/>
    <x v="0"/>
    <s v="S"/>
    <x v="0"/>
    <d v="2024-05-20T00:00:00"/>
    <d v="2024-12-20T00:00:00"/>
    <n v="37"/>
    <n v="856.04290000000003"/>
    <n v="2516.6"/>
    <n v="28"/>
    <n v="659.48680000000002"/>
  </r>
  <r>
    <s v="Brand ABC TDM"/>
    <x v="0"/>
    <s v="Unisex"/>
    <x v="2"/>
    <s v="I3A3P-WB7Z"/>
    <x v="0"/>
    <s v="L"/>
    <x v="0"/>
    <d v="2024-10-26T00:00:00"/>
    <d v="2024-11-16T00:00:00"/>
    <n v="25"/>
    <n v="513.22500000000002"/>
    <n v="1715.41"/>
    <n v="1"/>
    <n v="20.529"/>
  </r>
  <r>
    <s v="Brand ABC TDM"/>
    <x v="0"/>
    <s v="Unisex"/>
    <x v="2"/>
    <s v="I3A3P-WB7Z"/>
    <x v="0"/>
    <s v="M"/>
    <x v="0"/>
    <d v="2024-10-26T00:00:00"/>
    <d v="2024-10-26T00:00:00"/>
    <n v="10"/>
    <n v="205.29"/>
    <n v="684.64"/>
    <n v="0"/>
    <n v="0"/>
  </r>
  <r>
    <s v="Brand ABC TDM"/>
    <x v="0"/>
    <s v="Unisex"/>
    <x v="2"/>
    <s v="I3A3P-WB7Z"/>
    <x v="0"/>
    <s v="S"/>
    <x v="0"/>
    <d v="2024-10-26T00:00:00"/>
    <d v="2024-11-26T00:00:00"/>
    <n v="22"/>
    <n v="456.7244"/>
    <n v="1485.85"/>
    <n v="4"/>
    <n v="84.503200000000007"/>
  </r>
  <r>
    <s v="Brand ABC TDM"/>
    <x v="0"/>
    <s v="Unisex"/>
    <x v="2"/>
    <s v="I3A3P-WCCH"/>
    <x v="0"/>
    <s v="L"/>
    <x v="0"/>
    <d v="2024-05-20T00:00:00"/>
    <d v="2024-12-21T00:00:00"/>
    <n v="30"/>
    <n v="627.09739999999999"/>
    <n v="2031.4"/>
    <n v="29"/>
    <n v="615.1422"/>
  </r>
  <r>
    <s v="Brand ABC TDM"/>
    <x v="0"/>
    <s v="Unisex"/>
    <x v="2"/>
    <s v="I3A3P-WCCH"/>
    <x v="0"/>
    <s v="M"/>
    <x v="0"/>
    <d v="2024-05-20T00:00:00"/>
    <d v="2024-12-21T00:00:00"/>
    <n v="20"/>
    <n v="415.75819999999999"/>
    <n v="1369.33"/>
    <n v="29"/>
    <n v="610.44709999999998"/>
  </r>
  <r>
    <s v="Brand ABC TDM"/>
    <x v="0"/>
    <s v="Unisex"/>
    <x v="2"/>
    <s v="I3A3P-WCCH"/>
    <x v="0"/>
    <s v="S"/>
    <x v="0"/>
    <d v="2024-05-20T00:00:00"/>
    <d v="2024-12-21T00:00:00"/>
    <n v="21"/>
    <n v="436.95800000000003"/>
    <n v="1437.04"/>
    <n v="30"/>
    <n v="632.54399999999998"/>
  </r>
  <r>
    <s v="Brand ABC TDM"/>
    <x v="0"/>
    <s v="Unisex"/>
    <x v="2"/>
    <s v="I3A3P-WCKM"/>
    <x v="0"/>
    <s v="L"/>
    <x v="0"/>
    <d v="2024-10-28T00:00:00"/>
    <d v="2024-12-18T00:00:00"/>
    <n v="12"/>
    <n v="251.22880000000001"/>
    <n v="812.54"/>
    <n v="10"/>
    <n v="213.21899999999999"/>
  </r>
  <r>
    <s v="Brand ABC TDM"/>
    <x v="0"/>
    <s v="Unisex"/>
    <x v="2"/>
    <s v="I3A3P-WCKM"/>
    <x v="0"/>
    <s v="M"/>
    <x v="0"/>
    <d v="2024-10-28T00:00:00"/>
    <d v="2024-12-21T00:00:00"/>
    <n v="7"/>
    <n v="145.48169999999999"/>
    <n v="481.52"/>
    <n v="10"/>
    <n v="210.98599999999999"/>
  </r>
  <r>
    <s v="Brand ABC TDM"/>
    <x v="0"/>
    <s v="Unisex"/>
    <x v="2"/>
    <s v="I3A3P-WCKM"/>
    <x v="0"/>
    <s v="S"/>
    <x v="0"/>
    <d v="2024-10-28T00:00:00"/>
    <d v="2024-12-12T00:00:00"/>
    <n v="2"/>
    <n v="41.1648"/>
    <n v="135.43"/>
    <n v="10"/>
    <n v="207.31899999999999"/>
  </r>
  <r>
    <s v="Brand ABC TDM"/>
    <x v="0"/>
    <s v="Unisex"/>
    <x v="2"/>
    <s v="I3A7W-BB2J"/>
    <x v="4"/>
    <s v="L"/>
    <x v="1"/>
    <d v="2024-12-07T00:00:00"/>
    <d v="2024-12-17T00:00:00"/>
    <n v="12"/>
    <n v="259.15800000000002"/>
    <n v="735.99"/>
    <n v="7"/>
    <n v="151.1755"/>
  </r>
  <r>
    <s v="Brand ABC TDM"/>
    <x v="0"/>
    <s v="Unisex"/>
    <x v="2"/>
    <s v="I3A7W-BB2J"/>
    <x v="4"/>
    <s v="M"/>
    <x v="1"/>
    <d v="2024-12-07T00:00:00"/>
    <d v="2024-12-21T00:00:00"/>
    <n v="4"/>
    <n v="86.385999999999996"/>
    <n v="236.57"/>
    <n v="11"/>
    <n v="237.5615"/>
  </r>
  <r>
    <s v="Brand ABC TDM"/>
    <x v="0"/>
    <s v="Unisex"/>
    <x v="2"/>
    <s v="I3A7W-BB2J"/>
    <x v="4"/>
    <s v="S"/>
    <x v="1"/>
    <d v="2024-12-07T00:00:00"/>
    <d v="2024-12-21T00:00:00"/>
    <n v="2"/>
    <n v="43.192999999999998"/>
    <n v="118.28"/>
    <n v="10"/>
    <n v="215.965"/>
  </r>
  <r>
    <s v="Brand ABC TDM"/>
    <x v="0"/>
    <s v="Unisex"/>
    <x v="2"/>
    <s v="I3A7W-WB57"/>
    <x v="4"/>
    <s v="L"/>
    <x v="1"/>
    <d v="2024-12-07T00:00:00"/>
    <d v="2024-12-21T00:00:00"/>
    <n v="7"/>
    <n v="151.1755"/>
    <n v="427.13"/>
    <n v="17"/>
    <n v="367.14049999999997"/>
  </r>
  <r>
    <s v="Brand ABC TDM"/>
    <x v="0"/>
    <s v="Unisex"/>
    <x v="2"/>
    <s v="I3A7W-WB57"/>
    <x v="4"/>
    <s v="M"/>
    <x v="1"/>
    <d v="2024-12-07T00:00:00"/>
    <d v="2024-12-20T00:00:00"/>
    <n v="7"/>
    <n v="151.1755"/>
    <n v="420.57"/>
    <n v="17"/>
    <n v="367.14049999999997"/>
  </r>
  <r>
    <s v="Brand ABC TDM"/>
    <x v="0"/>
    <s v="Unisex"/>
    <x v="2"/>
    <s v="I3A7W-WB57"/>
    <x v="4"/>
    <s v="S"/>
    <x v="1"/>
    <d v="2024-12-07T00:00:00"/>
    <d v="2024-12-19T00:00:00"/>
    <n v="1"/>
    <n v="21.596499999999999"/>
    <n v="65.709999999999994"/>
    <n v="20"/>
    <n v="431.93"/>
  </r>
  <r>
    <s v="Brand ABC TDM"/>
    <x v="0"/>
    <s v="Unisex"/>
    <x v="2"/>
    <s v="I3A9S-WB57"/>
    <x v="4"/>
    <s v="L"/>
    <x v="1"/>
    <d v="2024-12-07T00:00:00"/>
    <d v="2024-12-21T00:00:00"/>
    <n v="7"/>
    <n v="176.47069999999999"/>
    <n v="489.04"/>
    <n v="15"/>
    <n v="378.1515"/>
  </r>
  <r>
    <s v="Brand ABC TDM"/>
    <x v="0"/>
    <s v="Unisex"/>
    <x v="2"/>
    <s v="I3A9S-WB57"/>
    <x v="4"/>
    <s v="M"/>
    <x v="1"/>
    <d v="2024-12-07T00:00:00"/>
    <d v="2024-12-21T00:00:00"/>
    <n v="4"/>
    <n v="100.8404"/>
    <n v="278.38"/>
    <n v="14"/>
    <n v="352.94139999999999"/>
  </r>
  <r>
    <s v="Brand ABC TDM"/>
    <x v="0"/>
    <s v="Unisex"/>
    <x v="2"/>
    <s v="I3A9S-WB57"/>
    <x v="4"/>
    <s v="S"/>
    <x v="1"/>
    <d v="2024-12-07T00:00:00"/>
    <d v="2024-12-21T00:00:00"/>
    <n v="0"/>
    <n v="0"/>
    <n v="0"/>
    <n v="15"/>
    <n v="378.1515"/>
  </r>
  <r>
    <s v="Brand ABC TDM"/>
    <x v="0"/>
    <s v="Unisex"/>
    <x v="2"/>
    <s v="I3A9T-BCNS"/>
    <x v="4"/>
    <s v="L"/>
    <x v="2"/>
    <d v="2024-12-10T00:00:00"/>
    <d v="2024-12-10T00:00:00"/>
    <n v="0"/>
    <n v="0"/>
    <n v="0"/>
    <n v="10"/>
    <n v="180.255"/>
  </r>
  <r>
    <s v="Brand ABC TDM"/>
    <x v="0"/>
    <s v="Unisex"/>
    <x v="2"/>
    <s v="I3A9T-BCNS"/>
    <x v="4"/>
    <s v="M"/>
    <x v="2"/>
    <d v="2024-12-10T00:00:00"/>
    <d v="2024-12-10T00:00:00"/>
    <n v="0"/>
    <n v="0"/>
    <n v="0"/>
    <n v="10"/>
    <n v="180.255"/>
  </r>
  <r>
    <s v="Brand ABC TDM"/>
    <x v="0"/>
    <s v="Unisex"/>
    <x v="2"/>
    <s v="I3A9T-BCNS"/>
    <x v="4"/>
    <s v="S"/>
    <x v="2"/>
    <d v="2024-12-10T00:00:00"/>
    <d v="2024-12-19T00:00:00"/>
    <n v="0"/>
    <n v="0"/>
    <n v="0"/>
    <n v="10"/>
    <n v="180.255"/>
  </r>
  <r>
    <s v="Brand ABC TDM"/>
    <x v="0"/>
    <s v="Unisex"/>
    <x v="2"/>
    <s v="I3A9T-NCQ0"/>
    <x v="4"/>
    <s v="L"/>
    <x v="2"/>
    <d v="2024-12-10T00:00:00"/>
    <d v="2024-12-10T00:00:00"/>
    <n v="0"/>
    <n v="0"/>
    <n v="0"/>
    <n v="10"/>
    <n v="180.255"/>
  </r>
  <r>
    <s v="Brand ABC TDM"/>
    <x v="0"/>
    <s v="Unisex"/>
    <x v="2"/>
    <s v="I3A9T-NCQ0"/>
    <x v="4"/>
    <s v="M"/>
    <x v="2"/>
    <d v="2024-12-10T00:00:00"/>
    <d v="2024-12-18T00:00:00"/>
    <n v="0"/>
    <n v="0"/>
    <n v="0"/>
    <n v="10"/>
    <n v="180.255"/>
  </r>
  <r>
    <s v="Brand ABC TDM"/>
    <x v="0"/>
    <s v="Unisex"/>
    <x v="2"/>
    <s v="I3A9T-NCQ0"/>
    <x v="4"/>
    <s v="S"/>
    <x v="2"/>
    <d v="2024-12-10T00:00:00"/>
    <d v="2024-12-10T00:00:00"/>
    <n v="0"/>
    <n v="0"/>
    <n v="0"/>
    <n v="10"/>
    <n v="180.255"/>
  </r>
  <r>
    <s v="Brand ABC TDM"/>
    <x v="0"/>
    <s v="Unisex"/>
    <x v="2"/>
    <s v="I3A9T-NCQ1"/>
    <x v="4"/>
    <s v="L"/>
    <x v="2"/>
    <d v="2024-12-10T00:00:00"/>
    <d v="2024-12-10T00:00:00"/>
    <n v="0"/>
    <n v="0"/>
    <n v="0"/>
    <n v="10"/>
    <n v="180.255"/>
  </r>
  <r>
    <s v="Brand ABC TDM"/>
    <x v="0"/>
    <s v="Unisex"/>
    <x v="2"/>
    <s v="I3A9T-NCQ1"/>
    <x v="4"/>
    <s v="M"/>
    <x v="2"/>
    <d v="2024-12-10T00:00:00"/>
    <d v="2024-12-10T00:00:00"/>
    <n v="0"/>
    <n v="0"/>
    <n v="0"/>
    <n v="10"/>
    <n v="180.255"/>
  </r>
  <r>
    <s v="Brand ABC TDM"/>
    <x v="0"/>
    <s v="Unisex"/>
    <x v="2"/>
    <s v="I3A9T-NCQ1"/>
    <x v="4"/>
    <s v="S"/>
    <x v="2"/>
    <d v="2024-12-10T00:00:00"/>
    <d v="2024-12-10T00:00:00"/>
    <n v="0"/>
    <n v="0"/>
    <n v="0"/>
    <n v="10"/>
    <n v="180.255"/>
  </r>
  <r>
    <s v="Brand ABC TDM"/>
    <x v="0"/>
    <s v="Unisex"/>
    <x v="3"/>
    <s v="I1A2S-BBBB"/>
    <x v="3"/>
    <s v="L"/>
    <x v="0"/>
    <d v="2024-05-20T00:00:00"/>
    <d v="2024-12-21T00:00:00"/>
    <n v="9"/>
    <n v="315.76830000000001"/>
    <n v="861.62"/>
    <n v="5"/>
    <n v="177.8"/>
  </r>
  <r>
    <s v="Brand ABC TDM"/>
    <x v="0"/>
    <s v="Unisex"/>
    <x v="3"/>
    <s v="I1A2S-BBBB"/>
    <x v="3"/>
    <s v="M"/>
    <x v="0"/>
    <d v="2024-05-20T00:00:00"/>
    <d v="2024-11-29T00:00:00"/>
    <n v="11"/>
    <n v="385.41309999999999"/>
    <n v="1006.97"/>
    <n v="0"/>
    <n v="0"/>
  </r>
  <r>
    <s v="Brand ABC TDM"/>
    <x v="0"/>
    <s v="Unisex"/>
    <x v="3"/>
    <s v="I1A2S-BBBB"/>
    <x v="3"/>
    <s v="S"/>
    <x v="0"/>
    <d v="2024-05-20T00:00:00"/>
    <d v="2024-11-27T00:00:00"/>
    <n v="9"/>
    <n v="313.3965"/>
    <n v="840.87"/>
    <n v="0"/>
    <n v="0"/>
  </r>
  <r>
    <s v="Brand ABC TDM"/>
    <x v="0"/>
    <s v="Unisex"/>
    <x v="3"/>
    <s v="I1A2S-BBBB"/>
    <x v="3"/>
    <s v="XL"/>
    <x v="0"/>
    <d v="2024-05-20T00:00:00"/>
    <d v="2024-12-13T00:00:00"/>
    <n v="13"/>
    <n v="459.03519999999997"/>
    <n v="1245.71"/>
    <n v="5"/>
    <n v="179.49549999999999"/>
  </r>
  <r>
    <s v="Brand ABC TDM"/>
    <x v="0"/>
    <s v="Unisex"/>
    <x v="3"/>
    <s v="I1A2S-GB7P"/>
    <x v="3"/>
    <s v="L"/>
    <x v="0"/>
    <d v="2024-10-28T00:00:00"/>
    <d v="2024-10-28T00:00:00"/>
    <n v="1"/>
    <n v="34.268999999999998"/>
    <n v="103.81"/>
    <n v="1"/>
    <n v="34.268999999999998"/>
  </r>
  <r>
    <s v="Brand ABC TDM"/>
    <x v="0"/>
    <s v="Unisex"/>
    <x v="3"/>
    <s v="I1A2S-GB7P"/>
    <x v="3"/>
    <s v="M"/>
    <x v="0"/>
    <d v="2024-10-11T00:00:00"/>
    <d v="2024-10-28T00:00:00"/>
    <n v="2"/>
    <n v="68.537999999999997"/>
    <n v="166.1"/>
    <n v="0"/>
    <n v="0"/>
  </r>
  <r>
    <s v="Brand ABC TDM"/>
    <x v="0"/>
    <s v="Unisex"/>
    <x v="3"/>
    <s v="I1A2S-GB7P"/>
    <x v="3"/>
    <s v="S"/>
    <x v="0"/>
    <d v="2024-10-11T00:00:00"/>
    <d v="2024-10-28T00:00:00"/>
    <n v="2"/>
    <n v="68.537999999999997"/>
    <n v="186.86"/>
    <n v="0"/>
    <n v="0"/>
  </r>
  <r>
    <s v="Brand ABC TDM"/>
    <x v="0"/>
    <s v="Unisex"/>
    <x v="3"/>
    <s v="I1A2S-GB7P"/>
    <x v="3"/>
    <s v="XL"/>
    <x v="0"/>
    <d v="2024-10-28T00:00:00"/>
    <d v="2024-12-11T00:00:00"/>
    <n v="4"/>
    <n v="140.63999999999999"/>
    <n v="373.72"/>
    <n v="2"/>
    <n v="72.102000000000004"/>
  </r>
  <r>
    <s v="Brand ABC TDM"/>
    <x v="0"/>
    <s v="Unisex"/>
    <x v="3"/>
    <s v="I3A8K-BB2J"/>
    <x v="5"/>
    <s v="M/L"/>
    <x v="2"/>
    <d v="2024-10-26T00:00:00"/>
    <d v="2024-11-30T00:00:00"/>
    <n v="0"/>
    <n v="0"/>
    <n v="0"/>
    <n v="8"/>
    <n v="280.05759999999998"/>
  </r>
  <r>
    <s v="Brand ABC TDM"/>
    <x v="0"/>
    <s v="Unisex"/>
    <x v="3"/>
    <s v="I3A8K-BB2J"/>
    <x v="5"/>
    <s v="S/M"/>
    <x v="2"/>
    <d v="2024-10-26T00:00:00"/>
    <d v="2024-12-09T00:00:00"/>
    <n v="0"/>
    <n v="0"/>
    <n v="0"/>
    <n v="8"/>
    <n v="282.70240000000001"/>
  </r>
  <r>
    <s v="Brand ABC TDM"/>
    <x v="0"/>
    <s v="Womens"/>
    <x v="1"/>
    <s v="I2A9T-BBBB"/>
    <x v="1"/>
    <s v="M/L"/>
    <x v="0"/>
    <d v="2024-10-26T00:00:00"/>
    <d v="2024-12-19T00:00:00"/>
    <n v="4"/>
    <n v="134.0044"/>
    <n v="442.29"/>
    <n v="6"/>
    <n v="201.00659999999999"/>
  </r>
  <r>
    <s v="Brand ABC TDM"/>
    <x v="0"/>
    <s v="Womens"/>
    <x v="1"/>
    <s v="I2A9T-BBBB"/>
    <x v="1"/>
    <s v="S/M"/>
    <x v="0"/>
    <d v="2024-10-26T00:00:00"/>
    <d v="2024-12-17T00:00:00"/>
    <n v="5"/>
    <n v="167.50550000000001"/>
    <n v="565.14"/>
    <n v="5"/>
    <n v="167.50550000000001"/>
  </r>
  <r>
    <s v="Brand ABC TDM"/>
    <x v="0"/>
    <s v="Womens"/>
    <x v="1"/>
    <s v="I2A9T-KB7D"/>
    <x v="1"/>
    <s v="M/L"/>
    <x v="1"/>
    <d v="2024-12-12T00:00:00"/>
    <d v="2024-12-21T00:00:00"/>
    <n v="0"/>
    <n v="0"/>
    <n v="0"/>
    <n v="10"/>
    <n v="427.95699999999999"/>
  </r>
  <r>
    <s v="Brand ABC TDM"/>
    <x v="0"/>
    <s v="Womens"/>
    <x v="1"/>
    <s v="I2A9T-KB7D"/>
    <x v="1"/>
    <s v="S/M"/>
    <x v="1"/>
    <d v="2024-12-12T00:00:00"/>
    <d v="2024-12-12T00:00:00"/>
    <n v="0"/>
    <n v="0"/>
    <n v="0"/>
    <n v="10"/>
    <n v="427.95699999999999"/>
  </r>
  <r>
    <s v="Brand ABC TDM"/>
    <x v="0"/>
    <s v="Womens"/>
    <x v="1"/>
    <s v="I3A3X-NCCT"/>
    <x v="1"/>
    <s v="OS"/>
    <x v="0"/>
    <d v="2024-12-12T00:00:00"/>
    <d v="2024-12-12T00:00:00"/>
    <n v="0"/>
    <n v="0"/>
    <n v="0"/>
    <n v="10"/>
    <n v="428.36200000000002"/>
  </r>
  <r>
    <s v="Brand ABC TDM"/>
    <x v="0"/>
    <s v="Womens"/>
    <x v="1"/>
    <s v="I3A3X-PBZN"/>
    <x v="1"/>
    <s v="OS"/>
    <x v="1"/>
    <d v="2024-10-25T00:00:00"/>
    <d v="2024-11-26T00:00:00"/>
    <n v="3"/>
    <n v="128.3871"/>
    <n v="357.44"/>
    <n v="12"/>
    <n v="513.54840000000002"/>
  </r>
  <r>
    <s v="Brand ABC TDM"/>
    <x v="0"/>
    <s v="Womens"/>
    <x v="1"/>
    <s v="I3A3X-TBNG"/>
    <x v="1"/>
    <s v="OS"/>
    <x v="0"/>
    <d v="2024-12-12T00:00:00"/>
    <d v="2024-12-12T00:00:00"/>
    <n v="0"/>
    <n v="0"/>
    <n v="0"/>
    <n v="10"/>
    <n v="428.36200000000002"/>
  </r>
  <r>
    <s v="Brand ABC TDM"/>
    <x v="0"/>
    <s v="Womens"/>
    <x v="1"/>
    <s v="I4A1L-UC5L"/>
    <x v="1"/>
    <s v="OS"/>
    <x v="1"/>
    <d v="2024-12-07T00:00:00"/>
    <d v="2024-12-20T00:00:00"/>
    <n v="0"/>
    <n v="0"/>
    <n v="0"/>
    <n v="12"/>
    <n v="205.614"/>
  </r>
  <r>
    <s v="Brand ABC TDM"/>
    <x v="1"/>
    <s v="Unisex"/>
    <x v="4"/>
    <s v="I2A5Q-BBBB"/>
    <x v="6"/>
    <s v="OS"/>
    <x v="0"/>
    <d v="2024-10-26T00:00:00"/>
    <d v="2024-12-19T00:00:00"/>
    <n v="17"/>
    <n v="735.96640000000002"/>
    <n v="1945.98"/>
    <n v="7"/>
    <n v="311.45310000000001"/>
  </r>
  <r>
    <s v="Brand ABC TDM"/>
    <x v="1"/>
    <s v="Unisex"/>
    <x v="4"/>
    <s v="I2A5Q-GB7P"/>
    <x v="6"/>
    <s v="OS"/>
    <x v="0"/>
    <d v="2024-10-26T00:00:00"/>
    <d v="2024-10-26T00:00:00"/>
    <n v="6"/>
    <n v="256.77420000000001"/>
    <n v="714.84"/>
    <n v="0"/>
    <n v="0"/>
  </r>
  <r>
    <s v="Brand ABC TDM"/>
    <x v="1"/>
    <s v="Unisex"/>
    <x v="4"/>
    <s v="I2A5W-GB7P"/>
    <x v="6"/>
    <s v="OS"/>
    <x v="0"/>
    <d v="2024-10-28T00:00:00"/>
    <d v="2024-10-28T00:00:00"/>
    <n v="0"/>
    <n v="0"/>
    <n v="0"/>
    <n v="6"/>
    <n v="564.95280000000002"/>
  </r>
  <r>
    <s v="Brand ABC TDM"/>
    <x v="1"/>
    <s v="Unisex"/>
    <x v="4"/>
    <s v="I2A9I-BB3J"/>
    <x v="7"/>
    <s v="OS"/>
    <x v="0"/>
    <d v="2024-12-07T00:00:00"/>
    <d v="2024-12-19T00:00:00"/>
    <n v="0"/>
    <n v="0"/>
    <n v="0"/>
    <n v="6"/>
    <n v="270.38159999999999"/>
  </r>
  <r>
    <s v="Brand ABC TDM"/>
    <x v="1"/>
    <s v="Unisex"/>
    <x v="4"/>
    <s v="I2A9N-BB2J"/>
    <x v="7"/>
    <s v="OS"/>
    <x v="0"/>
    <d v="2024-12-07T00:00:00"/>
    <d v="2024-12-07T00:00:00"/>
    <n v="0"/>
    <n v="0"/>
    <n v="0"/>
    <n v="4"/>
    <n v="180.25479999999999"/>
  </r>
  <r>
    <s v="Brand ABC TDM"/>
    <x v="1"/>
    <s v="Unisex"/>
    <x v="4"/>
    <s v="I3A1V-BBBB"/>
    <x v="6"/>
    <s v="OS"/>
    <x v="0"/>
    <d v="2024-10-11T00:00:00"/>
    <d v="2024-12-21T00:00:00"/>
    <n v="44"/>
    <n v="2709.2134000000001"/>
    <n v="7145.42"/>
    <n v="6"/>
    <n v="375.47160000000002"/>
  </r>
  <r>
    <s v="Brand ABC TDM"/>
    <x v="1"/>
    <s v="Unisex"/>
    <x v="4"/>
    <s v="I3A2H-BBBB"/>
    <x v="6"/>
    <s v="OS"/>
    <x v="0"/>
    <d v="2024-10-26T00:00:00"/>
    <d v="2024-10-26T00:00:00"/>
    <n v="6"/>
    <n v="461.90280000000001"/>
    <n v="1274.68"/>
    <n v="0"/>
    <n v="0"/>
  </r>
  <r>
    <s v="Brand ABC TDM"/>
    <x v="1"/>
    <s v="Unisex"/>
    <x v="4"/>
    <s v="I3A2H-ECJK"/>
    <x v="6"/>
    <s v="OS"/>
    <x v="0"/>
    <d v="2024-10-28T00:00:00"/>
    <d v="2024-10-28T00:00:00"/>
    <n v="3"/>
    <n v="230.95140000000001"/>
    <n v="614.48"/>
    <n v="0"/>
    <n v="0"/>
  </r>
  <r>
    <s v="Brand ABC TDM"/>
    <x v="1"/>
    <s v="Unisex"/>
    <x v="4"/>
    <s v="I3A4R-BB2J"/>
    <x v="2"/>
    <s v="OS"/>
    <x v="0"/>
    <d v="2024-12-12T00:00:00"/>
    <d v="2024-12-12T00:00:00"/>
    <n v="2"/>
    <n v="90.127200000000002"/>
    <n v="233.43"/>
    <n v="6"/>
    <n v="270.38159999999999"/>
  </r>
  <r>
    <s v="Brand ABC TDM"/>
    <x v="1"/>
    <s v="Unisex"/>
    <x v="4"/>
    <s v="I4A1Z-BB2J"/>
    <x v="2"/>
    <s v="OS"/>
    <x v="2"/>
    <d v="2024-12-12T00:00:00"/>
    <d v="2024-12-18T00:00:00"/>
    <n v="0"/>
    <n v="0"/>
    <n v="0"/>
    <n v="8"/>
    <n v="215.9648"/>
  </r>
  <r>
    <s v="Brand ABC TDM"/>
    <x v="1"/>
    <s v="Unisex"/>
    <x v="4"/>
    <s v="I4A2K-BCYL"/>
    <x v="8"/>
    <s v="OS"/>
    <x v="0"/>
    <d v="2024-10-26T00:00:00"/>
    <d v="2024-12-18T00:00:00"/>
    <n v="19"/>
    <n v="1156.1458"/>
    <n v="3078"/>
    <n v="8"/>
    <n v="498.25040000000001"/>
  </r>
  <r>
    <s v="Brand ABC TDM"/>
    <x v="1"/>
    <s v="Unisex"/>
    <x v="4"/>
    <s v="I4A2K-WCTR"/>
    <x v="8"/>
    <s v="OS"/>
    <x v="1"/>
    <d v="2024-10-26T00:00:00"/>
    <d v="2024-12-20T00:00:00"/>
    <n v="10"/>
    <n v="612.77779999999996"/>
    <n v="1656"/>
    <n v="7"/>
    <n v="436.49130000000002"/>
  </r>
  <r>
    <s v="Brand ABC TDM"/>
    <x v="1"/>
    <s v="Unisex"/>
    <x v="4"/>
    <s v="I4A2T-BCYL"/>
    <x v="9"/>
    <s v="OS"/>
    <x v="0"/>
    <d v="2024-10-25T00:00:00"/>
    <d v="2024-12-06T00:00:00"/>
    <n v="8"/>
    <n v="824.75540000000001"/>
    <n v="2256"/>
    <n v="7"/>
    <n v="736.27049999999997"/>
  </r>
  <r>
    <s v="Brand ABC TDM"/>
    <x v="1"/>
    <s v="Unisex"/>
    <x v="4"/>
    <s v="I4A2T-WCTR"/>
    <x v="9"/>
    <s v="OS"/>
    <x v="1"/>
    <d v="2024-10-26T00:00:00"/>
    <d v="2024-12-04T00:00:00"/>
    <n v="2"/>
    <n v="206.05269999999999"/>
    <n v="564"/>
    <n v="7"/>
    <n v="728.42840000000001"/>
  </r>
  <r>
    <s v="Brand ABC TDM"/>
    <x v="2"/>
    <s v="Mens"/>
    <x v="5"/>
    <s v="A1A3E-BBBB"/>
    <x v="10"/>
    <s v="L"/>
    <x v="0"/>
    <d v="2024-12-12T00:00:00"/>
    <d v="2024-12-12T00:00:00"/>
    <n v="0"/>
    <n v="0"/>
    <n v="0"/>
    <n v="6"/>
    <n v="259.15800000000002"/>
  </r>
  <r>
    <s v="Brand ABC TDM"/>
    <x v="2"/>
    <s v="Mens"/>
    <x v="5"/>
    <s v="A1A3E-BBBB"/>
    <x v="10"/>
    <s v="M"/>
    <x v="0"/>
    <d v="2024-12-12T00:00:00"/>
    <d v="2024-12-12T00:00:00"/>
    <n v="0"/>
    <n v="0"/>
    <n v="0"/>
    <n v="7"/>
    <n v="302.351"/>
  </r>
  <r>
    <s v="Brand ABC TDM"/>
    <x v="2"/>
    <s v="Mens"/>
    <x v="5"/>
    <s v="A1A3E-BBBB"/>
    <x v="10"/>
    <s v="S"/>
    <x v="0"/>
    <d v="2024-12-12T00:00:00"/>
    <d v="2024-12-12T00:00:00"/>
    <n v="0"/>
    <n v="0"/>
    <n v="0"/>
    <n v="5"/>
    <n v="215.965"/>
  </r>
  <r>
    <s v="Brand ABC TDM"/>
    <x v="2"/>
    <s v="Mens"/>
    <x v="5"/>
    <s v="A1A3E-BBBB"/>
    <x v="10"/>
    <s v="XS"/>
    <x v="0"/>
    <d v="2024-12-12T00:00:00"/>
    <d v="2024-12-12T00:00:00"/>
    <n v="0"/>
    <n v="0"/>
    <n v="0"/>
    <n v="3"/>
    <n v="129.57929999999999"/>
  </r>
  <r>
    <s v="Brand ABC TDM"/>
    <x v="2"/>
    <s v="Mens"/>
    <x v="5"/>
    <s v="A1A3E-ECH1"/>
    <x v="10"/>
    <s v="M"/>
    <x v="1"/>
    <d v="2024-12-14T00:00:00"/>
    <d v="2024-12-14T00:00:00"/>
    <n v="0"/>
    <n v="0"/>
    <n v="0"/>
    <n v="4"/>
    <n v="172.7724"/>
  </r>
  <r>
    <s v="Brand ABC TDM"/>
    <x v="2"/>
    <s v="Mens"/>
    <x v="5"/>
    <s v="A1A3E-ECH1"/>
    <x v="10"/>
    <s v="S"/>
    <x v="1"/>
    <d v="2024-12-14T00:00:00"/>
    <d v="2024-12-14T00:00:00"/>
    <n v="0"/>
    <n v="0"/>
    <n v="0"/>
    <n v="4"/>
    <n v="172.77199999999999"/>
  </r>
  <r>
    <s v="Brand ABC TDM"/>
    <x v="2"/>
    <s v="Mens"/>
    <x v="5"/>
    <s v="A1A3E-ECH1"/>
    <x v="10"/>
    <s v="XS"/>
    <x v="1"/>
    <d v="2024-12-14T00:00:00"/>
    <d v="2024-12-14T00:00:00"/>
    <n v="0"/>
    <n v="0"/>
    <n v="0"/>
    <n v="3"/>
    <n v="129.57900000000001"/>
  </r>
  <r>
    <s v="Brand ABC TDM"/>
    <x v="2"/>
    <s v="Mens"/>
    <x v="5"/>
    <s v="A1A3E-GB7P"/>
    <x v="10"/>
    <s v="L"/>
    <x v="0"/>
    <d v="2024-12-07T00:00:00"/>
    <d v="2024-12-17T00:00:00"/>
    <n v="8"/>
    <n v="345.54399999999998"/>
    <n v="933.71"/>
    <n v="3"/>
    <n v="129.57900000000001"/>
  </r>
  <r>
    <s v="Brand ABC TDM"/>
    <x v="2"/>
    <s v="Mens"/>
    <x v="5"/>
    <s v="A1A3E-GB7P"/>
    <x v="10"/>
    <s v="M"/>
    <x v="0"/>
    <d v="2024-12-07T00:00:00"/>
    <d v="2024-12-17T00:00:00"/>
    <n v="8"/>
    <n v="345.54480000000001"/>
    <n v="909.14"/>
    <n v="5"/>
    <n v="215.96549999999999"/>
  </r>
  <r>
    <s v="Brand ABC TDM"/>
    <x v="2"/>
    <s v="Mens"/>
    <x v="5"/>
    <s v="A1A3E-GB7P"/>
    <x v="10"/>
    <s v="S"/>
    <x v="0"/>
    <d v="2024-12-07T00:00:00"/>
    <d v="2024-12-19T00:00:00"/>
    <n v="6"/>
    <n v="259.15800000000002"/>
    <n v="688"/>
    <n v="4"/>
    <n v="172.77199999999999"/>
  </r>
  <r>
    <s v="Brand ABC TDM"/>
    <x v="2"/>
    <s v="Mens"/>
    <x v="5"/>
    <s v="A1A3E-GB7P"/>
    <x v="10"/>
    <s v="XS"/>
    <x v="0"/>
    <d v="2024-12-07T00:00:00"/>
    <d v="2024-12-17T00:00:00"/>
    <n v="3"/>
    <n v="129.57929999999999"/>
    <n v="344"/>
    <n v="3"/>
    <n v="129.57929999999999"/>
  </r>
  <r>
    <s v="Brand ABC TDM"/>
    <x v="2"/>
    <s v="Mens"/>
    <x v="5"/>
    <s v="A1A3E-GBFH"/>
    <x v="10"/>
    <s v="L"/>
    <x v="0"/>
    <d v="2024-12-07T00:00:00"/>
    <d v="2024-12-13T00:00:00"/>
    <n v="1"/>
    <n v="43.192999999999998"/>
    <n v="122.86"/>
    <n v="6"/>
    <n v="259.15800000000002"/>
  </r>
  <r>
    <s v="Brand ABC TDM"/>
    <x v="2"/>
    <s v="Mens"/>
    <x v="5"/>
    <s v="A1A3E-GBFH"/>
    <x v="10"/>
    <s v="M"/>
    <x v="0"/>
    <d v="2024-12-07T00:00:00"/>
    <d v="2024-12-21T00:00:00"/>
    <n v="2"/>
    <n v="86.385999999999996"/>
    <n v="233.43"/>
    <n v="6"/>
    <n v="259.15800000000002"/>
  </r>
  <r>
    <s v="Brand ABC TDM"/>
    <x v="2"/>
    <s v="Mens"/>
    <x v="5"/>
    <s v="A1A3E-GBFH"/>
    <x v="10"/>
    <s v="S"/>
    <x v="0"/>
    <d v="2024-12-07T00:00:00"/>
    <d v="2024-12-16T00:00:00"/>
    <n v="0"/>
    <n v="0"/>
    <n v="0"/>
    <n v="6"/>
    <n v="259.15800000000002"/>
  </r>
  <r>
    <s v="Brand ABC TDM"/>
    <x v="2"/>
    <s v="Mens"/>
    <x v="5"/>
    <s v="A1A3E-GBFH"/>
    <x v="10"/>
    <s v="XS"/>
    <x v="0"/>
    <d v="2024-12-07T00:00:00"/>
    <d v="2024-12-16T00:00:00"/>
    <n v="2"/>
    <n v="86.386200000000002"/>
    <n v="221.14"/>
    <n v="3"/>
    <n v="129.57929999999999"/>
  </r>
  <r>
    <s v="Brand ABC TDM"/>
    <x v="2"/>
    <s v="Mens"/>
    <x v="5"/>
    <s v="A1A3E-NCCZ"/>
    <x v="10"/>
    <s v="L"/>
    <x v="1"/>
    <d v="2024-12-12T00:00:00"/>
    <d v="2024-12-12T00:00:00"/>
    <n v="0"/>
    <n v="0"/>
    <n v="0"/>
    <n v="6"/>
    <n v="259.15800000000002"/>
  </r>
  <r>
    <s v="Brand ABC TDM"/>
    <x v="2"/>
    <s v="Mens"/>
    <x v="5"/>
    <s v="A1A3E-NCCZ"/>
    <x v="10"/>
    <s v="M"/>
    <x v="1"/>
    <d v="2024-12-12T00:00:00"/>
    <d v="2024-12-21T00:00:00"/>
    <n v="0"/>
    <n v="0"/>
    <n v="0"/>
    <n v="7"/>
    <n v="302.35169999999999"/>
  </r>
  <r>
    <s v="Brand ABC TDM"/>
    <x v="2"/>
    <s v="Mens"/>
    <x v="5"/>
    <s v="A1A3E-NCCZ"/>
    <x v="10"/>
    <s v="S"/>
    <x v="1"/>
    <d v="2024-12-12T00:00:00"/>
    <d v="2024-12-17T00:00:00"/>
    <n v="0"/>
    <n v="0"/>
    <n v="0"/>
    <n v="5"/>
    <n v="215.965"/>
  </r>
  <r>
    <s v="Brand ABC TDM"/>
    <x v="2"/>
    <s v="Mens"/>
    <x v="5"/>
    <s v="A1A3E-NCCZ"/>
    <x v="10"/>
    <s v="XS"/>
    <x v="1"/>
    <d v="2024-12-12T00:00:00"/>
    <d v="2024-12-12T00:00:00"/>
    <n v="0"/>
    <n v="0"/>
    <n v="0"/>
    <n v="3"/>
    <n v="129.57900000000001"/>
  </r>
  <r>
    <s v="Brand ABC TDM"/>
    <x v="2"/>
    <s v="Mens"/>
    <x v="5"/>
    <s v="A1A3E-PBZS"/>
    <x v="10"/>
    <s v="L"/>
    <x v="1"/>
    <d v="2024-12-14T00:00:00"/>
    <d v="2024-12-14T00:00:00"/>
    <n v="0"/>
    <n v="0"/>
    <n v="0"/>
    <n v="1"/>
    <n v="43.193100000000001"/>
  </r>
  <r>
    <s v="Brand ABC TDM"/>
    <x v="2"/>
    <s v="Mens"/>
    <x v="5"/>
    <s v="A1A3E-PBZS"/>
    <x v="10"/>
    <s v="M"/>
    <x v="1"/>
    <d v="2024-12-12T00:00:00"/>
    <d v="2024-12-19T00:00:00"/>
    <n v="0"/>
    <n v="0"/>
    <n v="0"/>
    <n v="7"/>
    <n v="302.35169999999999"/>
  </r>
  <r>
    <s v="Brand ABC TDM"/>
    <x v="2"/>
    <s v="Mens"/>
    <x v="5"/>
    <s v="A1A3E-PBZS"/>
    <x v="10"/>
    <s v="S"/>
    <x v="1"/>
    <d v="2024-12-12T00:00:00"/>
    <d v="2024-12-19T00:00:00"/>
    <n v="0"/>
    <n v="0"/>
    <n v="0"/>
    <n v="4"/>
    <n v="172.7724"/>
  </r>
  <r>
    <s v="Brand ABC TDM"/>
    <x v="2"/>
    <s v="Mens"/>
    <x v="5"/>
    <s v="A1A3E-PBZS"/>
    <x v="10"/>
    <s v="XS"/>
    <x v="1"/>
    <d v="2024-12-12T00:00:00"/>
    <d v="2024-12-12T00:00:00"/>
    <n v="0"/>
    <n v="0"/>
    <n v="0"/>
    <n v="3"/>
    <n v="129.57900000000001"/>
  </r>
  <r>
    <s v="Brand ABC TDM"/>
    <x v="2"/>
    <s v="Mens"/>
    <x v="5"/>
    <s v="A1A3E-WBBM"/>
    <x v="10"/>
    <s v="L"/>
    <x v="0"/>
    <d v="2024-12-07T00:00:00"/>
    <d v="2024-12-21T00:00:00"/>
    <n v="5"/>
    <n v="215.965"/>
    <n v="589.72"/>
    <n v="4"/>
    <n v="172.77199999999999"/>
  </r>
  <r>
    <s v="Brand ABC TDM"/>
    <x v="2"/>
    <s v="Mens"/>
    <x v="5"/>
    <s v="A1A3E-WBBM"/>
    <x v="10"/>
    <s v="M"/>
    <x v="0"/>
    <d v="2024-12-07T00:00:00"/>
    <d v="2024-12-21T00:00:00"/>
    <n v="5"/>
    <n v="215.965"/>
    <n v="528.28"/>
    <n v="5"/>
    <n v="215.965"/>
  </r>
  <r>
    <s v="Brand ABC TDM"/>
    <x v="2"/>
    <s v="Mens"/>
    <x v="5"/>
    <s v="A1A3E-WBBM"/>
    <x v="10"/>
    <s v="S"/>
    <x v="0"/>
    <d v="2024-12-07T00:00:00"/>
    <d v="2024-12-21T00:00:00"/>
    <n v="1"/>
    <n v="43.192999999999998"/>
    <n v="122.85"/>
    <n v="5"/>
    <n v="215.965"/>
  </r>
  <r>
    <s v="Brand ABC TDM"/>
    <x v="2"/>
    <s v="Mens"/>
    <x v="5"/>
    <s v="A1A3E-WBBM"/>
    <x v="10"/>
    <s v="XL"/>
    <x v="0"/>
    <d v="2024-12-07T00:00:00"/>
    <d v="2024-12-12T00:00:00"/>
    <n v="2"/>
    <n v="86.385999999999996"/>
    <n v="233.43"/>
    <n v="2"/>
    <n v="86.385999999999996"/>
  </r>
  <r>
    <s v="Brand ABC TDM"/>
    <x v="2"/>
    <s v="Mens"/>
    <x v="5"/>
    <s v="A1A3E-WBBM"/>
    <x v="10"/>
    <s v="XS"/>
    <x v="0"/>
    <d v="2024-12-07T00:00:00"/>
    <d v="2024-12-21T00:00:00"/>
    <n v="0"/>
    <n v="0"/>
    <n v="0"/>
    <n v="3"/>
    <n v="129.57900000000001"/>
  </r>
  <r>
    <s v="Brand ABC TDM"/>
    <x v="2"/>
    <s v="Mens"/>
    <x v="5"/>
    <s v="A1A3J-BBBB"/>
    <x v="11"/>
    <s v="L"/>
    <x v="0"/>
    <d v="2024-10-26T00:00:00"/>
    <d v="2024-12-21T00:00:00"/>
    <n v="18"/>
    <n v="641.34050000000002"/>
    <n v="1870"/>
    <n v="7"/>
    <n v="258.08370000000002"/>
  </r>
  <r>
    <s v="Brand ABC TDM"/>
    <x v="2"/>
    <s v="Mens"/>
    <x v="5"/>
    <s v="A1A3J-BBBB"/>
    <x v="11"/>
    <s v="M"/>
    <x v="0"/>
    <d v="2024-10-26T00:00:00"/>
    <d v="2024-12-21T00:00:00"/>
    <n v="21"/>
    <n v="755.94569999999999"/>
    <n v="2164.66"/>
    <n v="14"/>
    <n v="520.48919999999998"/>
  </r>
  <r>
    <s v="Brand ABC TDM"/>
    <x v="2"/>
    <s v="Mens"/>
    <x v="5"/>
    <s v="A1A3J-BBBB"/>
    <x v="11"/>
    <s v="S"/>
    <x v="0"/>
    <d v="2024-10-26T00:00:00"/>
    <d v="2024-12-21T00:00:00"/>
    <n v="19"/>
    <n v="677.51559999999995"/>
    <n v="1937.99"/>
    <n v="10"/>
    <n v="366.98899999999998"/>
  </r>
  <r>
    <s v="Brand ABC TDM"/>
    <x v="2"/>
    <s v="Mens"/>
    <x v="5"/>
    <s v="A1A3J-BBBB"/>
    <x v="11"/>
    <s v="XL"/>
    <x v="0"/>
    <d v="2024-10-28T00:00:00"/>
    <d v="2024-12-21T00:00:00"/>
    <n v="11"/>
    <n v="413.56950000000001"/>
    <n v="1099.33"/>
    <n v="3"/>
    <n v="113.2503"/>
  </r>
  <r>
    <s v="Brand ABC TDM"/>
    <x v="2"/>
    <s v="Mens"/>
    <x v="5"/>
    <s v="A1A3J-BBBB"/>
    <x v="11"/>
    <s v="XS"/>
    <x v="0"/>
    <d v="2024-10-28T00:00:00"/>
    <d v="2024-12-21T00:00:00"/>
    <n v="11"/>
    <n v="387.79239999999999"/>
    <n v="1144.6600000000001"/>
    <n v="3"/>
    <n v="109.1901"/>
  </r>
  <r>
    <s v="Brand ABC TDM"/>
    <x v="2"/>
    <s v="Mens"/>
    <x v="5"/>
    <s v="A1A3J-GBFG"/>
    <x v="11"/>
    <s v="L"/>
    <x v="0"/>
    <d v="2024-11-09T00:00:00"/>
    <d v="2024-12-10T00:00:00"/>
    <n v="6"/>
    <n v="206.75649999999999"/>
    <n v="623.33000000000004"/>
    <n v="7"/>
    <n v="245.33320000000001"/>
  </r>
  <r>
    <s v="Brand ABC TDM"/>
    <x v="2"/>
    <s v="Mens"/>
    <x v="5"/>
    <s v="A1A3J-GBFG"/>
    <x v="11"/>
    <s v="M"/>
    <x v="0"/>
    <d v="2024-11-09T00:00:00"/>
    <d v="2024-11-26T00:00:00"/>
    <n v="3"/>
    <n v="103.19410000000001"/>
    <n v="283.33"/>
    <n v="7"/>
    <n v="244.43090000000001"/>
  </r>
  <r>
    <s v="Brand ABC TDM"/>
    <x v="2"/>
    <s v="Mens"/>
    <x v="5"/>
    <s v="A1A3J-GBFG"/>
    <x v="11"/>
    <s v="S"/>
    <x v="0"/>
    <d v="2024-11-09T00:00:00"/>
    <d v="2024-11-29T00:00:00"/>
    <n v="2"/>
    <n v="68.618799999999993"/>
    <n v="204"/>
    <n v="11"/>
    <n v="379.91140000000001"/>
  </r>
  <r>
    <s v="Brand ABC TDM"/>
    <x v="2"/>
    <s v="Mens"/>
    <x v="5"/>
    <s v="A1A3J-GBFG"/>
    <x v="11"/>
    <s v="XL"/>
    <x v="0"/>
    <d v="2024-11-09T00:00:00"/>
    <d v="2024-12-10T00:00:00"/>
    <n v="2"/>
    <n v="68.654799999999994"/>
    <n v="204"/>
    <n v="9"/>
    <n v="311.41890000000001"/>
  </r>
  <r>
    <s v="Brand ABC TDM"/>
    <x v="2"/>
    <s v="Mens"/>
    <x v="5"/>
    <s v="A1A3J-GBFG"/>
    <x v="11"/>
    <s v="XS"/>
    <x v="0"/>
    <d v="2024-11-09T00:00:00"/>
    <d v="2024-12-10T00:00:00"/>
    <n v="3"/>
    <n v="103.2017"/>
    <n v="306"/>
    <n v="10"/>
    <n v="347.10899999999998"/>
  </r>
  <r>
    <s v="Brand ABC TDM"/>
    <x v="2"/>
    <s v="Mens"/>
    <x v="5"/>
    <s v="A1A3J-NCCZ"/>
    <x v="11"/>
    <s v="L"/>
    <x v="1"/>
    <d v="2024-10-28T00:00:00"/>
    <d v="2024-12-17T00:00:00"/>
    <n v="9"/>
    <n v="315.63780000000003"/>
    <n v="929.34"/>
    <n v="5"/>
    <n v="178.39400000000001"/>
  </r>
  <r>
    <s v="Brand ABC TDM"/>
    <x v="2"/>
    <s v="Mens"/>
    <x v="5"/>
    <s v="A1A3J-NCCZ"/>
    <x v="11"/>
    <s v="M"/>
    <x v="1"/>
    <d v="2024-10-28T00:00:00"/>
    <d v="2024-12-17T00:00:00"/>
    <n v="21"/>
    <n v="744.14520000000005"/>
    <n v="2164.67"/>
    <n v="5"/>
    <n v="179.613"/>
  </r>
  <r>
    <s v="Brand ABC TDM"/>
    <x v="2"/>
    <s v="Mens"/>
    <x v="5"/>
    <s v="A1A3J-NCCZ"/>
    <x v="11"/>
    <s v="S"/>
    <x v="1"/>
    <d v="2024-10-28T00:00:00"/>
    <d v="2024-12-14T00:00:00"/>
    <n v="10"/>
    <n v="352.27800000000002"/>
    <n v="1031.33"/>
    <n v="5"/>
    <n v="178.9485"/>
  </r>
  <r>
    <s v="Brand ABC TDM"/>
    <x v="2"/>
    <s v="Mens"/>
    <x v="5"/>
    <s v="A1A3J-NCCZ"/>
    <x v="11"/>
    <s v="XL"/>
    <x v="1"/>
    <d v="2024-10-28T00:00:00"/>
    <d v="2024-12-16T00:00:00"/>
    <n v="6"/>
    <n v="210.7107"/>
    <n v="623.33000000000004"/>
    <n v="3"/>
    <n v="108.0252"/>
  </r>
  <r>
    <s v="Brand ABC TDM"/>
    <x v="2"/>
    <s v="Mens"/>
    <x v="5"/>
    <s v="A1A3J-NCCZ"/>
    <x v="11"/>
    <s v="XS"/>
    <x v="1"/>
    <d v="2024-10-28T00:00:00"/>
    <d v="2024-12-17T00:00:00"/>
    <n v="5"/>
    <n v="175.22970000000001"/>
    <n v="521.33000000000004"/>
    <n v="2"/>
    <n v="71.489400000000003"/>
  </r>
  <r>
    <s v="Brand ABC TDM"/>
    <x v="2"/>
    <s v="Mens"/>
    <x v="5"/>
    <s v="A1A3J-WBBM"/>
    <x v="11"/>
    <s v="L"/>
    <x v="0"/>
    <d v="2024-10-28T00:00:00"/>
    <d v="2024-12-20T00:00:00"/>
    <n v="15"/>
    <n v="532.98950000000002"/>
    <n v="1552.67"/>
    <n v="6"/>
    <n v="220.0386"/>
  </r>
  <r>
    <s v="Brand ABC TDM"/>
    <x v="2"/>
    <s v="Mens"/>
    <x v="5"/>
    <s v="A1A3J-WBBM"/>
    <x v="11"/>
    <s v="M"/>
    <x v="0"/>
    <d v="2024-10-28T00:00:00"/>
    <d v="2024-12-21T00:00:00"/>
    <n v="18"/>
    <n v="638.23609999999996"/>
    <n v="1881.32"/>
    <n v="6"/>
    <n v="218.2578"/>
  </r>
  <r>
    <s v="Brand ABC TDM"/>
    <x v="2"/>
    <s v="Mens"/>
    <x v="5"/>
    <s v="A1A3J-WBBM"/>
    <x v="11"/>
    <s v="S"/>
    <x v="0"/>
    <d v="2024-10-28T00:00:00"/>
    <d v="2024-12-21T00:00:00"/>
    <n v="15"/>
    <n v="525.89869999999996"/>
    <n v="1530"/>
    <n v="4"/>
    <n v="145.238"/>
  </r>
  <r>
    <s v="Brand ABC TDM"/>
    <x v="2"/>
    <s v="Mens"/>
    <x v="5"/>
    <s v="A1A3J-WBBM"/>
    <x v="11"/>
    <s v="XL"/>
    <x v="0"/>
    <d v="2024-10-28T00:00:00"/>
    <d v="2024-12-17T00:00:00"/>
    <n v="7"/>
    <n v="244.15880000000001"/>
    <n v="714"/>
    <n v="2"/>
    <n v="70.721199999999996"/>
  </r>
  <r>
    <s v="Brand ABC TDM"/>
    <x v="2"/>
    <s v="Mens"/>
    <x v="5"/>
    <s v="A1A3J-WBBM"/>
    <x v="11"/>
    <s v="XS"/>
    <x v="0"/>
    <d v="2024-10-28T00:00:00"/>
    <d v="2024-12-18T00:00:00"/>
    <n v="9"/>
    <n v="310.6275"/>
    <n v="918"/>
    <n v="3"/>
    <n v="107.2341"/>
  </r>
  <r>
    <s v="Brand ABC TDM"/>
    <x v="2"/>
    <s v="Mens"/>
    <x v="5"/>
    <s v="A1B1R-GB7N"/>
    <x v="12"/>
    <s v="L"/>
    <x v="1"/>
    <d v="2024-10-26T00:00:00"/>
    <d v="2024-12-04T00:00:00"/>
    <n v="4"/>
    <n v="276.59710000000001"/>
    <n v="750.86"/>
    <n v="0"/>
    <n v="0"/>
  </r>
  <r>
    <s v="Brand ABC TDM"/>
    <x v="2"/>
    <s v="Mens"/>
    <x v="5"/>
    <s v="A1B1R-GB7N"/>
    <x v="12"/>
    <s v="M"/>
    <x v="1"/>
    <d v="2024-10-26T00:00:00"/>
    <d v="2024-12-05T00:00:00"/>
    <n v="13"/>
    <n v="914.19820000000004"/>
    <n v="2440.2800000000002"/>
    <n v="0"/>
    <n v="0"/>
  </r>
  <r>
    <s v="Brand ABC TDM"/>
    <x v="2"/>
    <s v="Mens"/>
    <x v="5"/>
    <s v="A1B1R-GB7N"/>
    <x v="12"/>
    <s v="S"/>
    <x v="1"/>
    <d v="2024-10-26T00:00:00"/>
    <d v="2024-12-05T00:00:00"/>
    <n v="10"/>
    <n v="704.33870000000002"/>
    <n v="1877.14"/>
    <n v="0"/>
    <n v="0"/>
  </r>
  <r>
    <s v="Brand ABC TDM"/>
    <x v="2"/>
    <s v="Mens"/>
    <x v="5"/>
    <s v="A1B1R-GB7N"/>
    <x v="12"/>
    <s v="XL"/>
    <x v="1"/>
    <d v="2024-10-26T00:00:00"/>
    <d v="2024-10-26T00:00:00"/>
    <n v="2"/>
    <n v="136.91419999999999"/>
    <n v="375.42"/>
    <n v="0"/>
    <n v="0"/>
  </r>
  <r>
    <s v="Brand ABC TDM"/>
    <x v="2"/>
    <s v="Mens"/>
    <x v="5"/>
    <s v="A1B1R-GB7N"/>
    <x v="12"/>
    <s v="XS"/>
    <x v="1"/>
    <d v="2024-10-26T00:00:00"/>
    <d v="2024-12-04T00:00:00"/>
    <n v="8"/>
    <n v="565.9248"/>
    <n v="1501.72"/>
    <n v="0"/>
    <n v="0"/>
  </r>
  <r>
    <s v="Brand ABC TDM"/>
    <x v="2"/>
    <s v="Mens"/>
    <x v="5"/>
    <s v="A1B1R-GB7P"/>
    <x v="12"/>
    <s v="L"/>
    <x v="1"/>
    <d v="2024-10-26T00:00:00"/>
    <d v="2024-12-04T00:00:00"/>
    <n v="9"/>
    <n v="626.79309999999998"/>
    <n v="1731.15"/>
    <n v="0"/>
    <n v="0"/>
  </r>
  <r>
    <s v="Brand ABC TDM"/>
    <x v="2"/>
    <s v="Mens"/>
    <x v="5"/>
    <s v="A1B1R-GB7P"/>
    <x v="12"/>
    <s v="M"/>
    <x v="1"/>
    <d v="2024-10-26T00:00:00"/>
    <d v="2024-12-04T00:00:00"/>
    <n v="10"/>
    <n v="697.29459999999995"/>
    <n v="1877.13"/>
    <n v="0"/>
    <n v="0"/>
  </r>
  <r>
    <s v="Brand ABC TDM"/>
    <x v="2"/>
    <s v="Mens"/>
    <x v="5"/>
    <s v="A1B1R-GB7P"/>
    <x v="12"/>
    <s v="S"/>
    <x v="1"/>
    <d v="2024-10-26T00:00:00"/>
    <d v="2024-12-04T00:00:00"/>
    <n v="5"/>
    <n v="347.75360000000001"/>
    <n v="938.56"/>
    <n v="0"/>
    <n v="0"/>
  </r>
  <r>
    <s v="Brand ABC TDM"/>
    <x v="2"/>
    <s v="Mens"/>
    <x v="5"/>
    <s v="A1B1R-GB7P"/>
    <x v="12"/>
    <s v="XL"/>
    <x v="1"/>
    <d v="2024-10-26T00:00:00"/>
    <d v="2024-10-26T00:00:00"/>
    <n v="2"/>
    <n v="136.91419999999999"/>
    <n v="375.42"/>
    <n v="0"/>
    <n v="0"/>
  </r>
  <r>
    <s v="Brand ABC TDM"/>
    <x v="2"/>
    <s v="Mens"/>
    <x v="5"/>
    <s v="A1B1R-GB7P"/>
    <x v="12"/>
    <s v="XS"/>
    <x v="1"/>
    <d v="2024-10-26T00:00:00"/>
    <d v="2024-11-30T00:00:00"/>
    <n v="3"/>
    <n v="208.53559999999999"/>
    <n v="583.99"/>
    <n v="0"/>
    <n v="0"/>
  </r>
  <r>
    <s v="Brand ABC TDM"/>
    <x v="2"/>
    <s v="Mens"/>
    <x v="5"/>
    <s v="A1C2T-BB2J"/>
    <x v="13"/>
    <s v="L"/>
    <x v="0"/>
    <d v="2024-10-25T00:00:00"/>
    <d v="2024-12-12T00:00:00"/>
    <n v="25"/>
    <n v="1678.6149"/>
    <n v="4302.1499999999996"/>
    <n v="4"/>
    <n v="274.78519999999997"/>
  </r>
  <r>
    <s v="Brand ABC TDM"/>
    <x v="2"/>
    <s v="Mens"/>
    <x v="5"/>
    <s v="A1C2T-BB2J"/>
    <x v="13"/>
    <s v="M"/>
    <x v="0"/>
    <d v="2024-10-25T00:00:00"/>
    <d v="2024-12-12T00:00:00"/>
    <n v="36"/>
    <n v="2387.5376999999999"/>
    <n v="6121.59"/>
    <n v="11"/>
    <n v="749.64890000000003"/>
  </r>
  <r>
    <s v="Brand ABC TDM"/>
    <x v="2"/>
    <s v="Mens"/>
    <x v="5"/>
    <s v="A1C2T-BB2J"/>
    <x v="13"/>
    <s v="S"/>
    <x v="0"/>
    <d v="2024-10-25T00:00:00"/>
    <d v="2024-10-26T00:00:00"/>
    <n v="5"/>
    <n v="328.46449999999999"/>
    <n v="852.85"/>
    <n v="0"/>
    <n v="0"/>
  </r>
  <r>
    <s v="Brand ABC TDM"/>
    <x v="2"/>
    <s v="Mens"/>
    <x v="5"/>
    <s v="A1C2T-BB2J"/>
    <x v="13"/>
    <s v="XL"/>
    <x v="0"/>
    <d v="2024-10-25T00:00:00"/>
    <d v="2024-11-28T00:00:00"/>
    <n v="9"/>
    <n v="601.48410000000001"/>
    <n v="1535.14"/>
    <n v="0"/>
    <n v="0"/>
  </r>
  <r>
    <s v="Brand ABC TDM"/>
    <x v="2"/>
    <s v="Mens"/>
    <x v="5"/>
    <s v="A1C2T-BB2J"/>
    <x v="13"/>
    <s v="XS"/>
    <x v="0"/>
    <d v="2024-10-25T00:00:00"/>
    <d v="2024-11-28T00:00:00"/>
    <n v="3"/>
    <n v="198.2174"/>
    <n v="511.71"/>
    <n v="0"/>
    <n v="0"/>
  </r>
  <r>
    <s v="Brand ABC TDM"/>
    <x v="2"/>
    <s v="Mens"/>
    <x v="5"/>
    <s v="A1C2T-WB57"/>
    <x v="13"/>
    <s v="L"/>
    <x v="0"/>
    <d v="2024-10-25T00:00:00"/>
    <d v="2024-12-13T00:00:00"/>
    <n v="6"/>
    <n v="398.42910000000001"/>
    <n v="1023.34"/>
    <n v="7"/>
    <n v="476.07490000000001"/>
  </r>
  <r>
    <s v="Brand ABC TDM"/>
    <x v="2"/>
    <s v="Mens"/>
    <x v="5"/>
    <s v="A1C2T-WB57"/>
    <x v="13"/>
    <s v="M"/>
    <x v="0"/>
    <d v="2024-10-25T00:00:00"/>
    <d v="2024-12-19T00:00:00"/>
    <n v="11"/>
    <n v="732.81119999999999"/>
    <n v="1876.26"/>
    <n v="6"/>
    <n v="407.88"/>
  </r>
  <r>
    <s v="Brand ABC TDM"/>
    <x v="2"/>
    <s v="Mens"/>
    <x v="5"/>
    <s v="A1C2T-WB57"/>
    <x v="13"/>
    <s v="S"/>
    <x v="0"/>
    <d v="2024-10-25T00:00:00"/>
    <d v="2024-12-05T00:00:00"/>
    <n v="15"/>
    <n v="1006.897"/>
    <n v="2615.44"/>
    <n v="2"/>
    <n v="137.21039999999999"/>
  </r>
  <r>
    <s v="Brand ABC TDM"/>
    <x v="2"/>
    <s v="Mens"/>
    <x v="5"/>
    <s v="A1C2T-WB57"/>
    <x v="13"/>
    <s v="XL"/>
    <x v="0"/>
    <d v="2024-10-25T00:00:00"/>
    <d v="2024-12-12T00:00:00"/>
    <n v="5"/>
    <n v="331.50099999999998"/>
    <n v="871.81"/>
    <n v="3"/>
    <n v="204.29040000000001"/>
  </r>
  <r>
    <s v="Brand ABC TDM"/>
    <x v="2"/>
    <s v="Mens"/>
    <x v="5"/>
    <s v="A1C2T-WB57"/>
    <x v="13"/>
    <s v="XS"/>
    <x v="0"/>
    <d v="2024-10-25T00:00:00"/>
    <d v="2024-10-25T00:00:00"/>
    <n v="3"/>
    <n v="197.0787"/>
    <n v="530.66"/>
    <n v="0"/>
    <n v="0"/>
  </r>
  <r>
    <s v="Brand ABC TDM"/>
    <x v="2"/>
    <s v="Mens"/>
    <x v="5"/>
    <s v="A1C2V-GCHR"/>
    <x v="13"/>
    <s v="L"/>
    <x v="0"/>
    <d v="2024-10-26T00:00:00"/>
    <d v="2024-11-12T00:00:00"/>
    <n v="1"/>
    <n v="78.010199999999998"/>
    <n v="213.43"/>
    <n v="1"/>
    <n v="78.010199999999998"/>
  </r>
  <r>
    <s v="Brand ABC TDM"/>
    <x v="2"/>
    <s v="Mens"/>
    <x v="5"/>
    <s v="A1C2V-GCHR"/>
    <x v="13"/>
    <s v="M"/>
    <x v="0"/>
    <d v="2024-10-26T00:00:00"/>
    <d v="2024-11-09T00:00:00"/>
    <n v="3"/>
    <n v="234.03059999999999"/>
    <n v="640.29"/>
    <n v="0"/>
    <n v="0"/>
  </r>
  <r>
    <s v="Brand ABC TDM"/>
    <x v="2"/>
    <s v="Mens"/>
    <x v="5"/>
    <s v="A1C2V-GCHR"/>
    <x v="13"/>
    <s v="S"/>
    <x v="0"/>
    <d v="2024-10-26T00:00:00"/>
    <d v="2024-11-09T00:00:00"/>
    <n v="3"/>
    <n v="234.03059999999999"/>
    <n v="640.29"/>
    <n v="0"/>
    <n v="0"/>
  </r>
  <r>
    <s v="Brand ABC TDM"/>
    <x v="2"/>
    <s v="Mens"/>
    <x v="5"/>
    <s v="A1C3B-BB2J"/>
    <x v="13"/>
    <s v="L"/>
    <x v="0"/>
    <d v="2024-05-20T00:00:00"/>
    <d v="2024-11-29T00:00:00"/>
    <n v="37"/>
    <n v="3230.5630999999998"/>
    <n v="7944.32"/>
    <n v="0"/>
    <n v="0"/>
  </r>
  <r>
    <s v="Brand ABC TDM"/>
    <x v="2"/>
    <s v="Mens"/>
    <x v="5"/>
    <s v="A1C3B-BB2J"/>
    <x v="13"/>
    <s v="M"/>
    <x v="0"/>
    <d v="2024-05-20T00:00:00"/>
    <d v="2024-11-25T00:00:00"/>
    <n v="40"/>
    <n v="3468.6278000000002"/>
    <n v="8406.7000000000007"/>
    <n v="0"/>
    <n v="0"/>
  </r>
  <r>
    <s v="Brand ABC TDM"/>
    <x v="2"/>
    <s v="Mens"/>
    <x v="5"/>
    <s v="A1C3B-BB2J"/>
    <x v="13"/>
    <s v="S"/>
    <x v="0"/>
    <d v="2024-05-20T00:00:00"/>
    <d v="2024-11-19T00:00:00"/>
    <n v="25"/>
    <n v="2155.5475000000001"/>
    <n v="5335.74"/>
    <n v="0"/>
    <n v="0"/>
  </r>
  <r>
    <s v="Brand ABC TDM"/>
    <x v="2"/>
    <s v="Mens"/>
    <x v="5"/>
    <s v="A1C3B-BB2J"/>
    <x v="13"/>
    <s v="XL"/>
    <x v="0"/>
    <d v="2024-05-20T00:00:00"/>
    <d v="2024-11-15T00:00:00"/>
    <n v="11"/>
    <n v="948.44090000000006"/>
    <n v="2300.2800000000002"/>
    <n v="0"/>
    <n v="0"/>
  </r>
  <r>
    <s v="Brand ABC TDM"/>
    <x v="2"/>
    <s v="Mens"/>
    <x v="5"/>
    <s v="A1C3B-BB2J"/>
    <x v="13"/>
    <s v="XS"/>
    <x v="0"/>
    <d v="2024-05-20T00:00:00"/>
    <d v="2024-11-12T00:00:00"/>
    <n v="7"/>
    <n v="603.55330000000004"/>
    <n v="1446.58"/>
    <n v="0"/>
    <n v="0"/>
  </r>
  <r>
    <s v="Brand ABC TDM"/>
    <x v="2"/>
    <s v="Mens"/>
    <x v="5"/>
    <s v="A1C3B-WB57"/>
    <x v="13"/>
    <s v="L"/>
    <x v="0"/>
    <d v="2024-10-26T00:00:00"/>
    <d v="2024-12-17T00:00:00"/>
    <n v="21"/>
    <n v="1838.0512000000001"/>
    <n v="4576.88"/>
    <n v="7"/>
    <n v="625.48080000000004"/>
  </r>
  <r>
    <s v="Brand ABC TDM"/>
    <x v="2"/>
    <s v="Mens"/>
    <x v="5"/>
    <s v="A1C3B-WB57"/>
    <x v="13"/>
    <s v="M"/>
    <x v="0"/>
    <d v="2024-10-26T00:00:00"/>
    <d v="2024-12-17T00:00:00"/>
    <n v="23"/>
    <n v="2012.0655999999999"/>
    <n v="4980.0200000000004"/>
    <n v="13"/>
    <n v="1163.6599000000001"/>
  </r>
  <r>
    <s v="Brand ABC TDM"/>
    <x v="2"/>
    <s v="Mens"/>
    <x v="5"/>
    <s v="A1C3B-WB57"/>
    <x v="13"/>
    <s v="S"/>
    <x v="0"/>
    <d v="2024-10-26T00:00:00"/>
    <d v="2024-11-29T00:00:00"/>
    <n v="20"/>
    <n v="1750.5877"/>
    <n v="4292.3"/>
    <n v="2"/>
    <n v="177.6788"/>
  </r>
  <r>
    <s v="Brand ABC TDM"/>
    <x v="2"/>
    <s v="Mens"/>
    <x v="5"/>
    <s v="A1C3B-WB57"/>
    <x v="13"/>
    <s v="XL"/>
    <x v="0"/>
    <d v="2024-10-26T00:00:00"/>
    <d v="2024-11-12T00:00:00"/>
    <n v="6"/>
    <n v="517.33140000000003"/>
    <n v="1280.58"/>
    <n v="0"/>
    <n v="0"/>
  </r>
  <r>
    <s v="Brand ABC TDM"/>
    <x v="2"/>
    <s v="Mens"/>
    <x v="5"/>
    <s v="A1C3B-WB57"/>
    <x v="13"/>
    <s v="XS"/>
    <x v="0"/>
    <d v="2024-10-26T00:00:00"/>
    <d v="2024-10-26T00:00:00"/>
    <n v="3"/>
    <n v="258.66570000000002"/>
    <n v="628.38"/>
    <n v="0"/>
    <n v="0"/>
  </r>
  <r>
    <s v="Brand ABC TDM"/>
    <x v="2"/>
    <s v="Mens"/>
    <x v="5"/>
    <s v="A1C3D-ECH9"/>
    <x v="13"/>
    <s v="L"/>
    <x v="0"/>
    <d v="2024-10-25T00:00:00"/>
    <d v="2024-12-12T00:00:00"/>
    <n v="16"/>
    <n v="1255.1585"/>
    <n v="3414.86"/>
    <n v="10"/>
    <n v="801.50699999999995"/>
  </r>
  <r>
    <s v="Brand ABC TDM"/>
    <x v="2"/>
    <s v="Mens"/>
    <x v="5"/>
    <s v="A1C3D-ECH9"/>
    <x v="13"/>
    <s v="M"/>
    <x v="0"/>
    <d v="2024-10-25T00:00:00"/>
    <d v="2024-12-10T00:00:00"/>
    <n v="21"/>
    <n v="1658.4412"/>
    <n v="4576.8599999999997"/>
    <n v="12"/>
    <n v="968.63040000000001"/>
  </r>
  <r>
    <s v="Brand ABC TDM"/>
    <x v="2"/>
    <s v="Mens"/>
    <x v="5"/>
    <s v="A1C3D-ECH9"/>
    <x v="13"/>
    <s v="S"/>
    <x v="0"/>
    <d v="2024-10-26T00:00:00"/>
    <d v="2024-11-12T00:00:00"/>
    <n v="8"/>
    <n v="624.08240000000001"/>
    <n v="1707.43"/>
    <n v="0"/>
    <n v="0"/>
  </r>
  <r>
    <s v="Brand ABC TDM"/>
    <x v="2"/>
    <s v="Mens"/>
    <x v="5"/>
    <s v="A1C3D-ECH9"/>
    <x v="13"/>
    <s v="XL"/>
    <x v="0"/>
    <d v="2024-10-25T00:00:00"/>
    <d v="2024-11-12T00:00:00"/>
    <n v="7"/>
    <n v="546.07209999999998"/>
    <n v="1517.71"/>
    <n v="0"/>
    <n v="0"/>
  </r>
  <r>
    <s v="Brand ABC TDM"/>
    <x v="2"/>
    <s v="Mens"/>
    <x v="5"/>
    <s v="A1C3D-ECH9"/>
    <x v="13"/>
    <s v="XS"/>
    <x v="0"/>
    <d v="2024-10-25T00:00:00"/>
    <d v="2024-10-25T00:00:00"/>
    <n v="4"/>
    <n v="312.0412"/>
    <n v="853.72"/>
    <n v="0"/>
    <n v="0"/>
  </r>
  <r>
    <s v="Brand ABC TDM"/>
    <x v="2"/>
    <s v="Mens"/>
    <x v="5"/>
    <s v="A1C3D-GB7N"/>
    <x v="13"/>
    <s v="L"/>
    <x v="0"/>
    <d v="2024-10-25T00:00:00"/>
    <d v="2024-11-26T00:00:00"/>
    <n v="23"/>
    <n v="1823.7284999999999"/>
    <n v="4908.8900000000003"/>
    <n v="1"/>
    <n v="80.971599999999995"/>
  </r>
  <r>
    <s v="Brand ABC TDM"/>
    <x v="2"/>
    <s v="Mens"/>
    <x v="5"/>
    <s v="A1C3D-GB7N"/>
    <x v="13"/>
    <s v="M"/>
    <x v="0"/>
    <d v="2024-10-26T00:00:00"/>
    <d v="2024-12-09T00:00:00"/>
    <n v="28"/>
    <n v="2219.0936000000002"/>
    <n v="6023.42"/>
    <n v="9"/>
    <n v="728.13509999999997"/>
  </r>
  <r>
    <s v="Brand ABC TDM"/>
    <x v="2"/>
    <s v="Mens"/>
    <x v="5"/>
    <s v="A1C3D-GB7N"/>
    <x v="13"/>
    <s v="S"/>
    <x v="0"/>
    <d v="2024-10-26T00:00:00"/>
    <d v="2024-11-18T00:00:00"/>
    <n v="17"/>
    <n v="1326.1750999999999"/>
    <n v="3663.8"/>
    <n v="0"/>
    <n v="0"/>
  </r>
  <r>
    <s v="Brand ABC TDM"/>
    <x v="2"/>
    <s v="Mens"/>
    <x v="5"/>
    <s v="A1C3D-GB7N"/>
    <x v="13"/>
    <s v="XL"/>
    <x v="0"/>
    <d v="2024-10-25T00:00:00"/>
    <d v="2024-10-25T00:00:00"/>
    <n v="4"/>
    <n v="312.0412"/>
    <n v="853.72"/>
    <n v="0"/>
    <n v="0"/>
  </r>
  <r>
    <s v="Brand ABC TDM"/>
    <x v="2"/>
    <s v="Mens"/>
    <x v="5"/>
    <s v="A1C3D-GB7N"/>
    <x v="13"/>
    <s v="XS"/>
    <x v="0"/>
    <d v="2024-10-26T00:00:00"/>
    <d v="2024-10-26T00:00:00"/>
    <n v="4"/>
    <n v="312.0412"/>
    <n v="853.72"/>
    <n v="0"/>
    <n v="0"/>
  </r>
  <r>
    <s v="Brand ABC TDM"/>
    <x v="2"/>
    <s v="Mens"/>
    <x v="5"/>
    <s v="A1C3E-BB2J"/>
    <x v="13"/>
    <s v="L"/>
    <x v="0"/>
    <d v="2024-10-11T00:00:00"/>
    <d v="2024-11-14T00:00:00"/>
    <n v="4"/>
    <n v="262.77159999999998"/>
    <n v="682.29"/>
    <n v="1"/>
    <n v="65.692899999999995"/>
  </r>
  <r>
    <s v="Brand ABC TDM"/>
    <x v="2"/>
    <s v="Mens"/>
    <x v="5"/>
    <s v="A1C3E-BB2J"/>
    <x v="13"/>
    <s v="M"/>
    <x v="0"/>
    <d v="2024-10-11T00:00:00"/>
    <d v="2024-11-20T00:00:00"/>
    <n v="15"/>
    <n v="989.49270000000001"/>
    <n v="2577.52"/>
    <n v="0"/>
    <n v="0"/>
  </r>
  <r>
    <s v="Brand ABC TDM"/>
    <x v="2"/>
    <s v="Mens"/>
    <x v="5"/>
    <s v="A1C3E-BB2J"/>
    <x v="13"/>
    <s v="S"/>
    <x v="0"/>
    <d v="2024-10-11T00:00:00"/>
    <d v="2024-11-28T00:00:00"/>
    <n v="10"/>
    <n v="674.00909999999999"/>
    <n v="1743.62"/>
    <n v="0"/>
    <n v="0"/>
  </r>
  <r>
    <s v="Brand ABC TDM"/>
    <x v="2"/>
    <s v="Mens"/>
    <x v="5"/>
    <s v="A1C3E-BB2J"/>
    <x v="13"/>
    <s v="XS"/>
    <x v="0"/>
    <d v="2024-10-26T00:00:00"/>
    <d v="2024-11-20T00:00:00"/>
    <n v="5"/>
    <n v="331.88049999999998"/>
    <n v="833.91"/>
    <n v="0"/>
    <n v="0"/>
  </r>
  <r>
    <s v="Brand ABC TDM"/>
    <x v="2"/>
    <s v="Mens"/>
    <x v="5"/>
    <s v="A1C3E-WB57"/>
    <x v="13"/>
    <s v="L"/>
    <x v="0"/>
    <d v="2024-05-20T00:00:00"/>
    <d v="2024-11-30T00:00:00"/>
    <n v="18"/>
    <n v="1189.6429000000001"/>
    <n v="3089.23"/>
    <n v="7"/>
    <n v="476.5915"/>
  </r>
  <r>
    <s v="Brand ABC TDM"/>
    <x v="2"/>
    <s v="Mens"/>
    <x v="5"/>
    <s v="A1C3E-WB57"/>
    <x v="13"/>
    <s v="M"/>
    <x v="0"/>
    <d v="2024-05-20T00:00:00"/>
    <d v="2024-11-26T00:00:00"/>
    <n v="17"/>
    <n v="1118.5929000000001"/>
    <n v="2861.81"/>
    <n v="9"/>
    <n v="603.08730000000003"/>
  </r>
  <r>
    <s v="Brand ABC TDM"/>
    <x v="2"/>
    <s v="Mens"/>
    <x v="5"/>
    <s v="A1C3E-WB57"/>
    <x v="13"/>
    <s v="S"/>
    <x v="0"/>
    <d v="2024-05-20T00:00:00"/>
    <d v="2024-11-19T00:00:00"/>
    <n v="15"/>
    <n v="985.39350000000002"/>
    <n v="2539.59"/>
    <n v="0"/>
    <n v="0"/>
  </r>
  <r>
    <s v="Brand ABC TDM"/>
    <x v="2"/>
    <s v="Mens"/>
    <x v="5"/>
    <s v="A1C3E-WB57"/>
    <x v="13"/>
    <s v="XL"/>
    <x v="0"/>
    <d v="2024-05-20T00:00:00"/>
    <d v="2024-10-26T00:00:00"/>
    <n v="1"/>
    <n v="65.692899999999995"/>
    <n v="170.57"/>
    <n v="0"/>
    <n v="0"/>
  </r>
  <r>
    <s v="Brand ABC TDM"/>
    <x v="2"/>
    <s v="Mens"/>
    <x v="5"/>
    <s v="A1C3E-WB57"/>
    <x v="13"/>
    <s v="XS"/>
    <x v="0"/>
    <d v="2024-05-20T00:00:00"/>
    <d v="2024-11-09T00:00:00"/>
    <n v="3"/>
    <n v="197.0787"/>
    <n v="530.66"/>
    <n v="0"/>
    <n v="0"/>
  </r>
  <r>
    <s v="Brand ABC TDM"/>
    <x v="2"/>
    <s v="Mens"/>
    <x v="5"/>
    <s v="A1C3F-GB7N"/>
    <x v="13"/>
    <s v="L"/>
    <x v="0"/>
    <d v="2024-10-26T00:00:00"/>
    <d v="2024-11-12T00:00:00"/>
    <n v="10"/>
    <n v="862.21900000000005"/>
    <n v="2158.0100000000002"/>
    <n v="0"/>
    <n v="0"/>
  </r>
  <r>
    <s v="Brand ABC TDM"/>
    <x v="2"/>
    <s v="Mens"/>
    <x v="5"/>
    <s v="A1C3F-GB7N"/>
    <x v="13"/>
    <s v="M"/>
    <x v="0"/>
    <d v="2024-10-26T00:00:00"/>
    <d v="2024-12-04T00:00:00"/>
    <n v="16"/>
    <n v="1392.1865"/>
    <n v="3414.88"/>
    <n v="4"/>
    <n v="354.24"/>
  </r>
  <r>
    <s v="Brand ABC TDM"/>
    <x v="2"/>
    <s v="Mens"/>
    <x v="5"/>
    <s v="A1C3F-GB7N"/>
    <x v="13"/>
    <s v="S"/>
    <x v="0"/>
    <d v="2024-10-26T00:00:00"/>
    <d v="2024-11-09T00:00:00"/>
    <n v="6"/>
    <n v="517.33140000000003"/>
    <n v="1280.57"/>
    <n v="0"/>
    <n v="0"/>
  </r>
  <r>
    <s v="Brand ABC TDM"/>
    <x v="2"/>
    <s v="Mens"/>
    <x v="5"/>
    <s v="A1C3F-GB7N"/>
    <x v="13"/>
    <s v="XL"/>
    <x v="0"/>
    <d v="2024-10-25T00:00:00"/>
    <d v="2024-10-25T00:00:00"/>
    <n v="1"/>
    <n v="86.221900000000005"/>
    <n v="237.14"/>
    <n v="1"/>
    <n v="86.221900000000005"/>
  </r>
  <r>
    <s v="Brand ABC TDM"/>
    <x v="2"/>
    <s v="Mens"/>
    <x v="5"/>
    <s v="A2A1I-GCWP"/>
    <x v="14"/>
    <s v="L"/>
    <x v="1"/>
    <d v="2024-10-28T00:00:00"/>
    <d v="2024-12-21T00:00:00"/>
    <n v="5"/>
    <n v="156.07300000000001"/>
    <n v="477.53"/>
    <n v="6"/>
    <n v="190.6626"/>
  </r>
  <r>
    <s v="Brand ABC TDM"/>
    <x v="2"/>
    <s v="Mens"/>
    <x v="5"/>
    <s v="A2A1I-GCWP"/>
    <x v="14"/>
    <s v="M"/>
    <x v="1"/>
    <d v="2024-10-28T00:00:00"/>
    <d v="2024-12-21T00:00:00"/>
    <n v="5"/>
    <n v="155.80719999999999"/>
    <n v="477.52"/>
    <n v="5"/>
    <n v="156.9325"/>
  </r>
  <r>
    <s v="Brand ABC TDM"/>
    <x v="2"/>
    <s v="Mens"/>
    <x v="5"/>
    <s v="A2A1I-GCWP"/>
    <x v="14"/>
    <s v="S"/>
    <x v="1"/>
    <d v="2024-10-28T00:00:00"/>
    <d v="2024-12-17T00:00:00"/>
    <n v="5"/>
    <n v="156.4272"/>
    <n v="467.15"/>
    <n v="5"/>
    <n v="159.5145"/>
  </r>
  <r>
    <s v="Brand ABC TDM"/>
    <x v="2"/>
    <s v="Mens"/>
    <x v="5"/>
    <s v="A2A1I-GCWP"/>
    <x v="14"/>
    <s v="XL"/>
    <x v="1"/>
    <d v="2024-10-28T00:00:00"/>
    <d v="2024-11-30T00:00:00"/>
    <n v="6"/>
    <n v="189.56479999999999"/>
    <n v="560.58000000000004"/>
    <n v="0"/>
    <n v="0"/>
  </r>
  <r>
    <s v="Brand ABC TDM"/>
    <x v="2"/>
    <s v="Mens"/>
    <x v="5"/>
    <s v="A2A1I-GCWP"/>
    <x v="14"/>
    <s v="XS"/>
    <x v="1"/>
    <d v="2024-10-28T00:00:00"/>
    <d v="2024-12-19T00:00:00"/>
    <n v="3"/>
    <n v="93.329400000000007"/>
    <n v="290.67"/>
    <n v="4"/>
    <n v="128.63"/>
  </r>
  <r>
    <s v="Brand ABC TDM"/>
    <x v="2"/>
    <s v="Mens"/>
    <x v="5"/>
    <s v="A2A1I-GCWV"/>
    <x v="14"/>
    <s v="L"/>
    <x v="1"/>
    <d v="2024-10-28T00:00:00"/>
    <d v="2024-12-20T00:00:00"/>
    <n v="2"/>
    <n v="61.853900000000003"/>
    <n v="186.86"/>
    <n v="6"/>
    <n v="187.6968"/>
  </r>
  <r>
    <s v="Brand ABC TDM"/>
    <x v="2"/>
    <s v="Mens"/>
    <x v="5"/>
    <s v="A2A1I-GCWV"/>
    <x v="14"/>
    <s v="M"/>
    <x v="1"/>
    <d v="2024-10-28T00:00:00"/>
    <d v="2024-12-20T00:00:00"/>
    <n v="9"/>
    <n v="282.9907"/>
    <n v="861.62"/>
    <n v="5"/>
    <n v="159.32849999999999"/>
  </r>
  <r>
    <s v="Brand ABC TDM"/>
    <x v="2"/>
    <s v="Mens"/>
    <x v="5"/>
    <s v="A2A1I-GCWV"/>
    <x v="14"/>
    <s v="S"/>
    <x v="1"/>
    <d v="2024-10-28T00:00:00"/>
    <d v="2024-12-19T00:00:00"/>
    <n v="2"/>
    <n v="61.907299999999999"/>
    <n v="186.86"/>
    <n v="5"/>
    <n v="156.85"/>
  </r>
  <r>
    <s v="Brand ABC TDM"/>
    <x v="2"/>
    <s v="Mens"/>
    <x v="5"/>
    <s v="A2A1I-GCWV"/>
    <x v="14"/>
    <s v="XL"/>
    <x v="1"/>
    <d v="2024-10-28T00:00:00"/>
    <d v="2024-12-19T00:00:00"/>
    <n v="2"/>
    <n v="62.120800000000003"/>
    <n v="186.86"/>
    <n v="3"/>
    <n v="95.049300000000002"/>
  </r>
  <r>
    <s v="Brand ABC TDM"/>
    <x v="2"/>
    <s v="Mens"/>
    <x v="5"/>
    <s v="A2A1I-GCWV"/>
    <x v="14"/>
    <s v="XS"/>
    <x v="1"/>
    <d v="2024-10-28T00:00:00"/>
    <d v="2024-12-17T00:00:00"/>
    <n v="1"/>
    <n v="30.793500000000002"/>
    <n v="103.81"/>
    <n v="3"/>
    <n v="93.981899999999996"/>
  </r>
  <r>
    <s v="Brand ABC TDM"/>
    <x v="2"/>
    <s v="Mens"/>
    <x v="5"/>
    <s v="A2A1J-BBBB"/>
    <x v="14"/>
    <s v="L"/>
    <x v="0"/>
    <d v="2024-11-12T00:00:00"/>
    <d v="2024-11-30T00:00:00"/>
    <n v="20"/>
    <n v="708.54589999999996"/>
    <n v="1858.2"/>
    <n v="0"/>
    <n v="0"/>
  </r>
  <r>
    <s v="Brand ABC TDM"/>
    <x v="2"/>
    <s v="Mens"/>
    <x v="5"/>
    <s v="A2A1J-BBBB"/>
    <x v="14"/>
    <s v="M"/>
    <x v="0"/>
    <d v="2024-11-12T00:00:00"/>
    <d v="2024-12-03T00:00:00"/>
    <n v="21"/>
    <n v="744.71169999999995"/>
    <n v="1972.41"/>
    <n v="2"/>
    <n v="72.008399999999995"/>
  </r>
  <r>
    <s v="Brand ABC TDM"/>
    <x v="2"/>
    <s v="Mens"/>
    <x v="5"/>
    <s v="A2A1J-BBBB"/>
    <x v="14"/>
    <s v="S"/>
    <x v="0"/>
    <d v="2024-11-12T00:00:00"/>
    <d v="2024-11-30T00:00:00"/>
    <n v="14"/>
    <n v="496.00110000000001"/>
    <n v="1318.4"/>
    <n v="2"/>
    <n v="71.905000000000001"/>
  </r>
  <r>
    <s v="Brand ABC TDM"/>
    <x v="2"/>
    <s v="Mens"/>
    <x v="5"/>
    <s v="A2A1J-BBBB"/>
    <x v="14"/>
    <s v="XS"/>
    <x v="0"/>
    <d v="2024-11-12T00:00:00"/>
    <d v="2024-11-12T00:00:00"/>
    <n v="2"/>
    <n v="68.537999999999997"/>
    <n v="186.86"/>
    <n v="1"/>
    <n v="34.268999999999998"/>
  </r>
  <r>
    <s v="Brand ABC TDM"/>
    <x v="2"/>
    <s v="Mens"/>
    <x v="5"/>
    <s v="A2A1J-UBCY"/>
    <x v="14"/>
    <s v="L"/>
    <x v="0"/>
    <d v="2024-11-12T00:00:00"/>
    <d v="2024-11-12T00:00:00"/>
    <n v="5"/>
    <n v="171.345"/>
    <n v="467.14"/>
    <n v="0"/>
    <n v="0"/>
  </r>
  <r>
    <s v="Brand ABC TDM"/>
    <x v="2"/>
    <s v="Mens"/>
    <x v="5"/>
    <s v="A2A1J-UBCY"/>
    <x v="14"/>
    <s v="M"/>
    <x v="0"/>
    <d v="2024-11-12T00:00:00"/>
    <d v="2024-11-12T00:00:00"/>
    <n v="4"/>
    <n v="137.07599999999999"/>
    <n v="384.1"/>
    <n v="0"/>
    <n v="0"/>
  </r>
  <r>
    <s v="Brand ABC TDM"/>
    <x v="2"/>
    <s v="Mens"/>
    <x v="5"/>
    <s v="A2A1J-UBCY"/>
    <x v="14"/>
    <s v="S"/>
    <x v="0"/>
    <d v="2024-11-12T00:00:00"/>
    <d v="2024-11-26T00:00:00"/>
    <n v="3"/>
    <n v="103.5198"/>
    <n v="280.29000000000002"/>
    <n v="5"/>
    <n v="175.97800000000001"/>
  </r>
  <r>
    <s v="Brand ABC TDM"/>
    <x v="2"/>
    <s v="Mens"/>
    <x v="5"/>
    <s v="A2A1J-UBCY"/>
    <x v="14"/>
    <s v="XS"/>
    <x v="0"/>
    <d v="2024-11-12T00:00:00"/>
    <d v="2024-11-12T00:00:00"/>
    <n v="2"/>
    <n v="68.537999999999997"/>
    <n v="186.86"/>
    <n v="0"/>
    <n v="0"/>
  </r>
  <r>
    <s v="Brand ABC TDM"/>
    <x v="2"/>
    <s v="Mens"/>
    <x v="5"/>
    <s v="A2A1K-WBBM"/>
    <x v="14"/>
    <s v="L"/>
    <x v="0"/>
    <d v="2024-10-28T00:00:00"/>
    <d v="2024-12-21T00:00:00"/>
    <n v="17"/>
    <n v="586.6"/>
    <n v="1619.45"/>
    <n v="5"/>
    <n v="165.083"/>
  </r>
  <r>
    <s v="Brand ABC TDM"/>
    <x v="2"/>
    <s v="Mens"/>
    <x v="5"/>
    <s v="A2A1K-WBBM"/>
    <x v="14"/>
    <s v="M"/>
    <x v="0"/>
    <d v="2024-10-28T00:00:00"/>
    <d v="2024-12-21T00:00:00"/>
    <n v="25"/>
    <n v="855.197"/>
    <n v="2366.89"/>
    <n v="4"/>
    <n v="130.55959999999999"/>
  </r>
  <r>
    <s v="Brand ABC TDM"/>
    <x v="2"/>
    <s v="Mens"/>
    <x v="5"/>
    <s v="A2A1K-WBBM"/>
    <x v="14"/>
    <s v="S"/>
    <x v="0"/>
    <d v="2024-10-28T00:00:00"/>
    <d v="2024-12-21T00:00:00"/>
    <n v="16"/>
    <n v="528.03099999999995"/>
    <n v="1515.63"/>
    <n v="4"/>
    <n v="129.70400000000001"/>
  </r>
  <r>
    <s v="Brand ABC TDM"/>
    <x v="2"/>
    <s v="Mens"/>
    <x v="5"/>
    <s v="A2A1K-WBBM"/>
    <x v="14"/>
    <s v="XL"/>
    <x v="0"/>
    <d v="2024-10-28T00:00:00"/>
    <d v="2024-12-21T00:00:00"/>
    <n v="7"/>
    <n v="241.30289999999999"/>
    <n v="674.76"/>
    <n v="2"/>
    <n v="67.154799999999994"/>
  </r>
  <r>
    <s v="Brand ABC TDM"/>
    <x v="2"/>
    <s v="Mens"/>
    <x v="5"/>
    <s v="A2A9H-UCBK"/>
    <x v="8"/>
    <s v="L"/>
    <x v="0"/>
    <d v="2024-10-25T00:00:00"/>
    <d v="2024-10-25T00:00:00"/>
    <n v="4"/>
    <n v="239.7208"/>
    <n v="612"/>
    <n v="1"/>
    <n v="59.930199999999999"/>
  </r>
  <r>
    <s v="Brand ABC TDM"/>
    <x v="2"/>
    <s v="Mens"/>
    <x v="5"/>
    <s v="A2A9H-UCBK"/>
    <x v="8"/>
    <s v="M"/>
    <x v="0"/>
    <d v="2024-10-25T00:00:00"/>
    <d v="2024-11-12T00:00:00"/>
    <n v="4"/>
    <n v="239.7208"/>
    <n v="630"/>
    <n v="0"/>
    <n v="0"/>
  </r>
  <r>
    <s v="Brand ABC TDM"/>
    <x v="2"/>
    <s v="Mens"/>
    <x v="5"/>
    <s v="A2A9H-UCBK"/>
    <x v="8"/>
    <s v="S"/>
    <x v="0"/>
    <d v="2024-10-26T00:00:00"/>
    <d v="2024-10-26T00:00:00"/>
    <n v="2"/>
    <n v="119.8604"/>
    <n v="324"/>
    <n v="0"/>
    <n v="0"/>
  </r>
  <r>
    <s v="Brand ABC TDM"/>
    <x v="2"/>
    <s v="Mens"/>
    <x v="5"/>
    <s v="A2A9H-UCBK"/>
    <x v="8"/>
    <s v="XL"/>
    <x v="0"/>
    <d v="2024-10-26T00:00:00"/>
    <d v="2024-10-26T00:00:00"/>
    <n v="2"/>
    <n v="119.8604"/>
    <n v="324"/>
    <n v="0"/>
    <n v="0"/>
  </r>
  <r>
    <s v="Brand ABC TDM"/>
    <x v="2"/>
    <s v="Mens"/>
    <x v="5"/>
    <s v="A2A9H-UCBK"/>
    <x v="8"/>
    <s v="XS"/>
    <x v="0"/>
    <d v="2024-10-26T00:00:00"/>
    <d v="2024-10-26T00:00:00"/>
    <n v="1"/>
    <n v="59.930199999999999"/>
    <n v="162"/>
    <n v="0"/>
    <n v="0"/>
  </r>
  <r>
    <s v="Brand ABC TDM"/>
    <x v="2"/>
    <s v="Mens"/>
    <x v="5"/>
    <s v="A2C7T-BB2J"/>
    <x v="13"/>
    <s v="L"/>
    <x v="2"/>
    <d v="2024-11-12T00:00:00"/>
    <d v="2024-12-18T00:00:00"/>
    <n v="0"/>
    <n v="0"/>
    <n v="0"/>
    <n v="6"/>
    <n v="408.06420000000003"/>
  </r>
  <r>
    <s v="Brand ABC TDM"/>
    <x v="2"/>
    <s v="Mens"/>
    <x v="5"/>
    <s v="A2C7T-BB2J"/>
    <x v="13"/>
    <s v="M"/>
    <x v="2"/>
    <d v="2024-11-12T00:00:00"/>
    <d v="2024-12-17T00:00:00"/>
    <n v="1"/>
    <n v="68.660899999999998"/>
    <n v="170.58"/>
    <n v="6"/>
    <n v="411.96539999999999"/>
  </r>
  <r>
    <s v="Brand ABC TDM"/>
    <x v="2"/>
    <s v="Mens"/>
    <x v="5"/>
    <s v="A2C7T-BB2J"/>
    <x v="13"/>
    <s v="S"/>
    <x v="2"/>
    <d v="2024-11-12T00:00:00"/>
    <d v="2024-11-21T00:00:00"/>
    <n v="0"/>
    <n v="0"/>
    <n v="0"/>
    <n v="1"/>
    <n v="66.376099999999994"/>
  </r>
  <r>
    <s v="Brand ABC TDM"/>
    <x v="2"/>
    <s v="Mens"/>
    <x v="5"/>
    <s v="A2C7T-BB2J"/>
    <x v="13"/>
    <s v="XL"/>
    <x v="2"/>
    <d v="2024-11-12T00:00:00"/>
    <d v="2024-11-26T00:00:00"/>
    <n v="1"/>
    <n v="68.349800000000002"/>
    <n v="170.57"/>
    <n v="0"/>
    <n v="0"/>
  </r>
  <r>
    <s v="Brand ABC TDM"/>
    <x v="2"/>
    <s v="Mens"/>
    <x v="5"/>
    <s v="A2C7T-WB57"/>
    <x v="13"/>
    <s v="L"/>
    <x v="2"/>
    <d v="2024-11-12T00:00:00"/>
    <d v="2024-12-11T00:00:00"/>
    <n v="1"/>
    <n v="68.120500000000007"/>
    <n v="170.58"/>
    <n v="6"/>
    <n v="409.71120000000002"/>
  </r>
  <r>
    <s v="Brand ABC TDM"/>
    <x v="2"/>
    <s v="Mens"/>
    <x v="5"/>
    <s v="A2C7T-WB57"/>
    <x v="13"/>
    <s v="M"/>
    <x v="2"/>
    <d v="2024-11-12T00:00:00"/>
    <d v="2024-12-10T00:00:00"/>
    <n v="0"/>
    <n v="0"/>
    <n v="0"/>
    <n v="7"/>
    <n v="473.0068"/>
  </r>
  <r>
    <s v="Brand ABC TDM"/>
    <x v="2"/>
    <s v="Mens"/>
    <x v="5"/>
    <s v="A2C7T-WB57"/>
    <x v="13"/>
    <s v="XL"/>
    <x v="2"/>
    <d v="2024-11-12T00:00:00"/>
    <d v="2024-11-20T00:00:00"/>
    <n v="0"/>
    <n v="0"/>
    <n v="0"/>
    <n v="1"/>
    <n v="66.831599999999995"/>
  </r>
  <r>
    <s v="Brand ABC TDM"/>
    <x v="2"/>
    <s v="Mens"/>
    <x v="5"/>
    <s v="A2C7U-BB2J"/>
    <x v="13"/>
    <s v="L"/>
    <x v="2"/>
    <d v="2024-11-12T00:00:00"/>
    <d v="2024-12-21T00:00:00"/>
    <n v="0"/>
    <n v="0"/>
    <n v="0"/>
    <n v="6"/>
    <n v="525.55139999999994"/>
  </r>
  <r>
    <s v="Brand ABC TDM"/>
    <x v="2"/>
    <s v="Mens"/>
    <x v="5"/>
    <s v="A2C7U-BB2J"/>
    <x v="13"/>
    <s v="M"/>
    <x v="2"/>
    <d v="2024-11-12T00:00:00"/>
    <d v="2024-12-19T00:00:00"/>
    <n v="0"/>
    <n v="0"/>
    <n v="0"/>
    <n v="7"/>
    <n v="603.55330000000004"/>
  </r>
  <r>
    <s v="Brand ABC TDM"/>
    <x v="2"/>
    <s v="Mens"/>
    <x v="5"/>
    <s v="A2C7U-BB2J"/>
    <x v="13"/>
    <s v="S"/>
    <x v="2"/>
    <d v="2024-11-12T00:00:00"/>
    <d v="2024-12-03T00:00:00"/>
    <n v="0"/>
    <n v="0"/>
    <n v="0"/>
    <n v="3"/>
    <n v="265.66019999999997"/>
  </r>
  <r>
    <s v="Brand ABC TDM"/>
    <x v="2"/>
    <s v="Mens"/>
    <x v="5"/>
    <s v="A2C7U-WB57"/>
    <x v="13"/>
    <s v="L"/>
    <x v="2"/>
    <d v="2024-11-12T00:00:00"/>
    <d v="2024-12-10T00:00:00"/>
    <n v="0"/>
    <n v="0"/>
    <n v="0"/>
    <n v="6"/>
    <n v="521.8152"/>
  </r>
  <r>
    <s v="Brand ABC TDM"/>
    <x v="2"/>
    <s v="Mens"/>
    <x v="5"/>
    <s v="A2C7U-WB57"/>
    <x v="13"/>
    <s v="M"/>
    <x v="2"/>
    <d v="2024-11-12T00:00:00"/>
    <d v="2024-12-20T00:00:00"/>
    <n v="0"/>
    <n v="0"/>
    <n v="0"/>
    <n v="7"/>
    <n v="608.03679999999997"/>
  </r>
  <r>
    <s v="Brand ABC TDM"/>
    <x v="2"/>
    <s v="Mens"/>
    <x v="5"/>
    <s v="A2C7U-WB57"/>
    <x v="13"/>
    <s v="S"/>
    <x v="2"/>
    <d v="2024-11-12T00:00:00"/>
    <d v="2024-12-09T00:00:00"/>
    <n v="0"/>
    <n v="0"/>
    <n v="0"/>
    <n v="5"/>
    <n v="444.34500000000003"/>
  </r>
  <r>
    <s v="Brand ABC TDM"/>
    <x v="2"/>
    <s v="Mens"/>
    <x v="5"/>
    <s v="A2C7U-WB57"/>
    <x v="13"/>
    <s v="XL"/>
    <x v="2"/>
    <d v="2024-11-12T00:00:00"/>
    <d v="2024-12-10T00:00:00"/>
    <n v="0"/>
    <n v="0"/>
    <n v="0"/>
    <n v="3"/>
    <n v="266.13810000000001"/>
  </r>
  <r>
    <s v="Brand ABC TDM"/>
    <x v="2"/>
    <s v="Mens"/>
    <x v="5"/>
    <s v="A2C7U-WB57"/>
    <x v="13"/>
    <s v="XS"/>
    <x v="2"/>
    <d v="2024-11-12T00:00:00"/>
    <d v="2024-11-12T00:00:00"/>
    <n v="0"/>
    <n v="0"/>
    <n v="0"/>
    <n v="1"/>
    <n v="86.221900000000005"/>
  </r>
  <r>
    <s v="Brand ABC TDM"/>
    <x v="2"/>
    <s v="Mens"/>
    <x v="5"/>
    <s v="A4A9Q-BB2J"/>
    <x v="8"/>
    <s v="L"/>
    <x v="0"/>
    <d v="2024-10-26T00:00:00"/>
    <d v="2024-12-12T00:00:00"/>
    <n v="52"/>
    <n v="2700.0052000000001"/>
    <n v="7597"/>
    <n v="1"/>
    <n v="53.256100000000004"/>
  </r>
  <r>
    <s v="Brand ABC TDM"/>
    <x v="2"/>
    <s v="Mens"/>
    <x v="5"/>
    <s v="A4A9Q-BB2J"/>
    <x v="8"/>
    <s v="M"/>
    <x v="0"/>
    <d v="2024-10-26T00:00:00"/>
    <d v="2024-12-21T00:00:00"/>
    <n v="75"/>
    <n v="3940.7696000000001"/>
    <n v="10912.65"/>
    <n v="8"/>
    <n v="431.39440000000002"/>
  </r>
  <r>
    <s v="Brand ABC TDM"/>
    <x v="2"/>
    <s v="Mens"/>
    <x v="5"/>
    <s v="A4A9Q-BB2J"/>
    <x v="8"/>
    <s v="S"/>
    <x v="0"/>
    <d v="2024-10-26T00:00:00"/>
    <d v="2024-12-19T00:00:00"/>
    <n v="54"/>
    <n v="2804.9088000000002"/>
    <n v="7822.37"/>
    <n v="7"/>
    <n v="372.31950000000001"/>
  </r>
  <r>
    <s v="Brand ABC TDM"/>
    <x v="2"/>
    <s v="Mens"/>
    <x v="5"/>
    <s v="A4A9Q-BB2J"/>
    <x v="8"/>
    <s v="XS"/>
    <x v="0"/>
    <d v="2024-10-25T00:00:00"/>
    <d v="2024-12-09T00:00:00"/>
    <n v="28"/>
    <n v="1447.8144"/>
    <n v="4120.3900000000003"/>
    <n v="1"/>
    <n v="53.991399999999999"/>
  </r>
  <r>
    <s v="Brand ABC TDM"/>
    <x v="2"/>
    <s v="Mens"/>
    <x v="5"/>
    <s v="A4A9Q-BCPN"/>
    <x v="8"/>
    <s v="L"/>
    <x v="1"/>
    <d v="2024-10-26T00:00:00"/>
    <d v="2024-12-21T00:00:00"/>
    <n v="25"/>
    <n v="1306.6424999999999"/>
    <n v="3653.6"/>
    <n v="6"/>
    <n v="321.72059999999999"/>
  </r>
  <r>
    <s v="Brand ABC TDM"/>
    <x v="2"/>
    <s v="Mens"/>
    <x v="5"/>
    <s v="A4A9Q-BCPN"/>
    <x v="8"/>
    <s v="M"/>
    <x v="1"/>
    <d v="2024-10-26T00:00:00"/>
    <d v="2024-12-21T00:00:00"/>
    <n v="28"/>
    <n v="1468.376"/>
    <n v="4039.95"/>
    <n v="10"/>
    <n v="537.92999999999995"/>
  </r>
  <r>
    <s v="Brand ABC TDM"/>
    <x v="2"/>
    <s v="Mens"/>
    <x v="5"/>
    <s v="A4A9Q-BCPN"/>
    <x v="8"/>
    <s v="S"/>
    <x v="1"/>
    <d v="2024-10-26T00:00:00"/>
    <d v="2024-12-20T00:00:00"/>
    <n v="13"/>
    <n v="678.56200000000001"/>
    <n v="1883.14"/>
    <n v="7"/>
    <n v="375.05860000000001"/>
  </r>
  <r>
    <s v="Brand ABC TDM"/>
    <x v="2"/>
    <s v="Mens"/>
    <x v="5"/>
    <s v="A4A9Q-BCPN"/>
    <x v="8"/>
    <s v="XL"/>
    <x v="1"/>
    <d v="2024-10-25T00:00:00"/>
    <d v="2024-10-25T00:00:00"/>
    <n v="4"/>
    <n v="205.29040000000001"/>
    <n v="579.44000000000005"/>
    <n v="0"/>
    <n v="0"/>
  </r>
  <r>
    <s v="Brand ABC TDM"/>
    <x v="2"/>
    <s v="Mens"/>
    <x v="5"/>
    <s v="A4A9Q-BCPN"/>
    <x v="8"/>
    <s v="XS"/>
    <x v="1"/>
    <d v="2024-10-26T00:00:00"/>
    <d v="2024-12-17T00:00:00"/>
    <n v="12"/>
    <n v="632.35919999999999"/>
    <n v="1738.3"/>
    <n v="4"/>
    <n v="215.49080000000001"/>
  </r>
  <r>
    <s v="Brand ABC TDM"/>
    <x v="2"/>
    <s v="Mens"/>
    <x v="5"/>
    <s v="A4A9Q-ECJF"/>
    <x v="8"/>
    <s v="L"/>
    <x v="1"/>
    <d v="2024-10-26T00:00:00"/>
    <d v="2024-12-20T00:00:00"/>
    <n v="33"/>
    <n v="1730.5714"/>
    <n v="4796.3900000000003"/>
    <n v="10"/>
    <n v="537.86400000000003"/>
  </r>
  <r>
    <s v="Brand ABC TDM"/>
    <x v="2"/>
    <s v="Mens"/>
    <x v="5"/>
    <s v="A4A9Q-ECJF"/>
    <x v="8"/>
    <s v="M"/>
    <x v="1"/>
    <d v="2024-10-26T00:00:00"/>
    <d v="2024-12-21T00:00:00"/>
    <n v="40"/>
    <n v="2098.5864000000001"/>
    <n v="5842.6"/>
    <n v="12"/>
    <n v="645.57240000000002"/>
  </r>
  <r>
    <s v="Brand ABC TDM"/>
    <x v="2"/>
    <s v="Mens"/>
    <x v="5"/>
    <s v="A4A9Q-ECJF"/>
    <x v="8"/>
    <s v="S"/>
    <x v="1"/>
    <d v="2024-10-26T00:00:00"/>
    <d v="2024-12-20T00:00:00"/>
    <n v="31"/>
    <n v="1624.6110000000001"/>
    <n v="4522.7700000000004"/>
    <n v="6"/>
    <n v="322.4316"/>
  </r>
  <r>
    <s v="Brand ABC TDM"/>
    <x v="2"/>
    <s v="Mens"/>
    <x v="5"/>
    <s v="A4A9Q-ECJF"/>
    <x v="8"/>
    <s v="XS"/>
    <x v="1"/>
    <d v="2024-10-26T00:00:00"/>
    <d v="2024-12-17T00:00:00"/>
    <n v="14"/>
    <n v="733.26599999999996"/>
    <n v="2044.11"/>
    <n v="5"/>
    <n v="268.55149999999998"/>
  </r>
  <r>
    <s v="Brand ABC TDM"/>
    <x v="2"/>
    <s v="Mens"/>
    <x v="5"/>
    <s v="A4A9Q-GBCN"/>
    <x v="8"/>
    <s v="L"/>
    <x v="0"/>
    <d v="2024-10-25T00:00:00"/>
    <d v="2024-11-09T00:00:00"/>
    <n v="5"/>
    <n v="255.75550000000001"/>
    <n v="756.47"/>
    <n v="1"/>
    <n v="51.1511"/>
  </r>
  <r>
    <s v="Brand ABC TDM"/>
    <x v="2"/>
    <s v="Mens"/>
    <x v="5"/>
    <s v="A4A9Q-GBCN"/>
    <x v="8"/>
    <s v="M"/>
    <x v="0"/>
    <d v="2024-10-26T00:00:00"/>
    <d v="2024-11-13T00:00:00"/>
    <n v="8"/>
    <n v="410.58080000000001"/>
    <n v="1158.8699999999999"/>
    <n v="1"/>
    <n v="51.322600000000001"/>
  </r>
  <r>
    <s v="Brand ABC TDM"/>
    <x v="2"/>
    <s v="Mens"/>
    <x v="5"/>
    <s v="A4A9Q-GBCN"/>
    <x v="8"/>
    <s v="S"/>
    <x v="0"/>
    <d v="2024-10-26T00:00:00"/>
    <d v="2024-11-09T00:00:00"/>
    <n v="4"/>
    <n v="203.07239999999999"/>
    <n v="579.42999999999995"/>
    <n v="0"/>
    <n v="0"/>
  </r>
  <r>
    <s v="Brand ABC TDM"/>
    <x v="2"/>
    <s v="Mens"/>
    <x v="5"/>
    <s v="A4A9Q-GBCN"/>
    <x v="8"/>
    <s v="XL"/>
    <x v="0"/>
    <d v="2024-10-26T00:00:00"/>
    <d v="2024-10-26T00:00:00"/>
    <n v="1"/>
    <n v="51.322600000000001"/>
    <n v="144.86000000000001"/>
    <n v="0"/>
    <n v="0"/>
  </r>
  <r>
    <s v="Brand ABC TDM"/>
    <x v="2"/>
    <s v="Mens"/>
    <x v="5"/>
    <s v="A4A9Q-GBCN"/>
    <x v="8"/>
    <s v="XS"/>
    <x v="0"/>
    <d v="2024-10-26T00:00:00"/>
    <d v="2024-11-09T00:00:00"/>
    <n v="1"/>
    <n v="51.322600000000001"/>
    <n v="144.86000000000001"/>
    <n v="0"/>
    <n v="0"/>
  </r>
  <r>
    <s v="Brand ABC TDM"/>
    <x v="2"/>
    <s v="Mens"/>
    <x v="5"/>
    <s v="A4A9Q-NBRP"/>
    <x v="8"/>
    <s v="L"/>
    <x v="1"/>
    <d v="2024-10-28T00:00:00"/>
    <d v="2024-12-20T00:00:00"/>
    <n v="9"/>
    <n v="471.51639999999998"/>
    <n v="1319.82"/>
    <n v="6"/>
    <n v="322.71300000000002"/>
  </r>
  <r>
    <s v="Brand ABC TDM"/>
    <x v="2"/>
    <s v="Mens"/>
    <x v="5"/>
    <s v="A4A9Q-NBRP"/>
    <x v="8"/>
    <s v="M"/>
    <x v="1"/>
    <d v="2024-10-28T00:00:00"/>
    <d v="2024-12-21T00:00:00"/>
    <n v="15"/>
    <n v="792.19799999999998"/>
    <n v="2172.87"/>
    <n v="7"/>
    <n v="376.93110000000001"/>
  </r>
  <r>
    <s v="Brand ABC TDM"/>
    <x v="2"/>
    <s v="Mens"/>
    <x v="5"/>
    <s v="A4A9Q-NBRP"/>
    <x v="8"/>
    <s v="S"/>
    <x v="1"/>
    <d v="2024-10-28T00:00:00"/>
    <d v="2024-12-20T00:00:00"/>
    <n v="10"/>
    <n v="528.14419999999996"/>
    <n v="1448.58"/>
    <n v="6"/>
    <n v="322.37459999999999"/>
  </r>
  <r>
    <s v="Brand ABC TDM"/>
    <x v="2"/>
    <s v="Mens"/>
    <x v="5"/>
    <s v="A4A9Q-NBRP"/>
    <x v="8"/>
    <s v="XL"/>
    <x v="1"/>
    <d v="2024-10-28T00:00:00"/>
    <d v="2024-10-28T00:00:00"/>
    <n v="3"/>
    <n v="153.96780000000001"/>
    <n v="434.57"/>
    <n v="0"/>
    <n v="0"/>
  </r>
  <r>
    <s v="Brand ABC TDM"/>
    <x v="2"/>
    <s v="Mens"/>
    <x v="5"/>
    <s v="A4A9Q-NBRP"/>
    <x v="8"/>
    <s v="XS"/>
    <x v="1"/>
    <d v="2024-10-28T00:00:00"/>
    <d v="2024-12-19T00:00:00"/>
    <n v="2"/>
    <n v="102.6452"/>
    <n v="305.81"/>
    <n v="3"/>
    <n v="159.30539999999999"/>
  </r>
  <r>
    <s v="Brand ABC TDM"/>
    <x v="2"/>
    <s v="Mens"/>
    <x v="5"/>
    <s v="A4A9Q-RBX4"/>
    <x v="8"/>
    <s v="L"/>
    <x v="1"/>
    <d v="2024-10-26T00:00:00"/>
    <d v="2024-12-21T00:00:00"/>
    <n v="12"/>
    <n v="624.80539999999996"/>
    <n v="1770.48"/>
    <n v="8"/>
    <n v="426.45760000000001"/>
  </r>
  <r>
    <s v="Brand ABC TDM"/>
    <x v="2"/>
    <s v="Mens"/>
    <x v="5"/>
    <s v="A4A9Q-RBX4"/>
    <x v="8"/>
    <s v="M"/>
    <x v="1"/>
    <d v="2024-10-26T00:00:00"/>
    <d v="2024-12-21T00:00:00"/>
    <n v="11"/>
    <n v="567.72760000000005"/>
    <n v="1609.54"/>
    <n v="10"/>
    <n v="526.25"/>
  </r>
  <r>
    <s v="Brand ABC TDM"/>
    <x v="2"/>
    <s v="Mens"/>
    <x v="5"/>
    <s v="A4A9Q-RBX4"/>
    <x v="8"/>
    <s v="S"/>
    <x v="1"/>
    <d v="2024-10-26T00:00:00"/>
    <d v="2024-12-03T00:00:00"/>
    <n v="7"/>
    <n v="360.40210000000002"/>
    <n v="1014"/>
    <n v="7"/>
    <n v="368.7901"/>
  </r>
  <r>
    <s v="Brand ABC TDM"/>
    <x v="2"/>
    <s v="Mens"/>
    <x v="5"/>
    <s v="A4A9Q-RBX4"/>
    <x v="8"/>
    <s v="XS"/>
    <x v="1"/>
    <d v="2024-10-26T00:00:00"/>
    <d v="2024-11-09T00:00:00"/>
    <n v="2"/>
    <n v="102.6452"/>
    <n v="289.72000000000003"/>
    <n v="5"/>
    <n v="256.613"/>
  </r>
  <r>
    <s v="Brand ABC TDM"/>
    <x v="2"/>
    <s v="Mens"/>
    <x v="5"/>
    <s v="A4A9Q-UB9P"/>
    <x v="8"/>
    <s v="L"/>
    <x v="0"/>
    <d v="2024-10-26T00:00:00"/>
    <d v="2024-12-13T00:00:00"/>
    <n v="24"/>
    <n v="1250.0909999999999"/>
    <n v="3508.78"/>
    <n v="10"/>
    <n v="534.91099999999994"/>
  </r>
  <r>
    <s v="Brand ABC TDM"/>
    <x v="2"/>
    <s v="Mens"/>
    <x v="5"/>
    <s v="A4A9Q-UB9P"/>
    <x v="8"/>
    <s v="M"/>
    <x v="0"/>
    <d v="2024-10-26T00:00:00"/>
    <d v="2024-12-21T00:00:00"/>
    <n v="35"/>
    <n v="1819.3253"/>
    <n v="5070.04"/>
    <n v="13"/>
    <n v="694.86689999999999"/>
  </r>
  <r>
    <s v="Brand ABC TDM"/>
    <x v="2"/>
    <s v="Mens"/>
    <x v="5"/>
    <s v="A4A9Q-UB9P"/>
    <x v="8"/>
    <s v="S"/>
    <x v="0"/>
    <d v="2024-10-26T00:00:00"/>
    <d v="2024-12-21T00:00:00"/>
    <n v="36"/>
    <n v="1886.0823"/>
    <n v="5231"/>
    <n v="5"/>
    <n v="268.851"/>
  </r>
  <r>
    <s v="Brand ABC TDM"/>
    <x v="2"/>
    <s v="Mens"/>
    <x v="5"/>
    <s v="A4A9Q-UB9P"/>
    <x v="8"/>
    <s v="XS"/>
    <x v="0"/>
    <d v="2024-10-25T00:00:00"/>
    <d v="2024-12-03T00:00:00"/>
    <n v="14"/>
    <n v="730.50350000000003"/>
    <n v="2044.12"/>
    <n v="4"/>
    <n v="214.654"/>
  </r>
  <r>
    <s v="Brand ABC TDM"/>
    <x v="2"/>
    <s v="Mens"/>
    <x v="5"/>
    <s v="A5A2D-BBF9"/>
    <x v="15"/>
    <s v="L"/>
    <x v="0"/>
    <d v="2024-10-26T00:00:00"/>
    <d v="2024-11-25T00:00:00"/>
    <n v="14"/>
    <n v="740.40049999999997"/>
    <n v="1995.83"/>
    <n v="2"/>
    <n v="107.449"/>
  </r>
  <r>
    <s v="Brand ABC TDM"/>
    <x v="2"/>
    <s v="Mens"/>
    <x v="5"/>
    <s v="A5A2D-BBF9"/>
    <x v="15"/>
    <s v="S"/>
    <x v="0"/>
    <d v="2024-10-26T00:00:00"/>
    <d v="2024-11-25T00:00:00"/>
    <n v="6"/>
    <n v="310.6046"/>
    <n v="869.15"/>
    <n v="1"/>
    <n v="53.991399999999999"/>
  </r>
  <r>
    <s v="Brand ABC TDM"/>
    <x v="2"/>
    <s v="Mens"/>
    <x v="5"/>
    <s v="A5A2D-BBF9"/>
    <x v="15"/>
    <s v="XL"/>
    <x v="0"/>
    <d v="2024-10-26T00:00:00"/>
    <d v="2024-11-23T00:00:00"/>
    <n v="4"/>
    <n v="209.14529999999999"/>
    <n v="595.54"/>
    <n v="3"/>
    <n v="160.78800000000001"/>
  </r>
  <r>
    <s v="Brand ABC TDM"/>
    <x v="2"/>
    <s v="Mens"/>
    <x v="5"/>
    <s v="A5A2U-GB7P"/>
    <x v="3"/>
    <s v="L"/>
    <x v="0"/>
    <d v="2024-12-07T00:00:00"/>
    <d v="2024-12-07T00:00:00"/>
    <n v="1"/>
    <n v="64.789599999999993"/>
    <n v="189.52"/>
    <n v="5"/>
    <n v="323.94799999999998"/>
  </r>
  <r>
    <s v="Brand ABC TDM"/>
    <x v="2"/>
    <s v="Mens"/>
    <x v="5"/>
    <s v="A5A2U-GB7P"/>
    <x v="3"/>
    <s v="M"/>
    <x v="0"/>
    <d v="2024-12-07T00:00:00"/>
    <d v="2024-12-07T00:00:00"/>
    <n v="0"/>
    <n v="0"/>
    <n v="0"/>
    <n v="7"/>
    <n v="453.52719999999999"/>
  </r>
  <r>
    <s v="Brand ABC TDM"/>
    <x v="2"/>
    <s v="Mens"/>
    <x v="5"/>
    <s v="A5A2U-GB7P"/>
    <x v="3"/>
    <s v="S"/>
    <x v="0"/>
    <d v="2024-12-07T00:00:00"/>
    <d v="2024-12-07T00:00:00"/>
    <n v="0"/>
    <n v="0"/>
    <n v="0"/>
    <n v="5"/>
    <n v="323.94799999999998"/>
  </r>
  <r>
    <s v="Brand ABC TDM"/>
    <x v="2"/>
    <s v="Mens"/>
    <x v="5"/>
    <s v="A5A5H-BB3K"/>
    <x v="16"/>
    <s v="L"/>
    <x v="0"/>
    <d v="2024-10-11T00:00:00"/>
    <d v="2024-12-10T00:00:00"/>
    <n v="35"/>
    <n v="2327.9371000000001"/>
    <n v="6269.96"/>
    <n v="0"/>
    <n v="0"/>
  </r>
  <r>
    <s v="Brand ABC TDM"/>
    <x v="2"/>
    <s v="Mens"/>
    <x v="5"/>
    <s v="A5A5H-BB3K"/>
    <x v="16"/>
    <s v="M"/>
    <x v="0"/>
    <d v="2024-10-11T00:00:00"/>
    <d v="2024-12-17T00:00:00"/>
    <n v="55"/>
    <n v="3674.4133999999999"/>
    <n v="9842.82"/>
    <n v="8"/>
    <n v="545.37840000000006"/>
  </r>
  <r>
    <s v="Brand ABC TDM"/>
    <x v="2"/>
    <s v="Mens"/>
    <x v="5"/>
    <s v="A5A5H-BB3K"/>
    <x v="16"/>
    <s v="S"/>
    <x v="0"/>
    <d v="2024-10-11T00:00:00"/>
    <d v="2024-11-30T00:00:00"/>
    <n v="24"/>
    <n v="1578.5313000000001"/>
    <n v="4339.2299999999996"/>
    <n v="1"/>
    <n v="67.5929"/>
  </r>
  <r>
    <s v="Brand ABC TDM"/>
    <x v="2"/>
    <s v="Mens"/>
    <x v="5"/>
    <s v="A5A5H-BB3K"/>
    <x v="16"/>
    <s v="XL"/>
    <x v="0"/>
    <d v="2024-10-25T00:00:00"/>
    <d v="2024-12-19T00:00:00"/>
    <n v="6"/>
    <n v="393.71789999999999"/>
    <n v="1074.8599999999999"/>
    <n v="4"/>
    <n v="273.6216"/>
  </r>
  <r>
    <s v="Brand ABC TDM"/>
    <x v="2"/>
    <s v="Mens"/>
    <x v="5"/>
    <s v="A5A5H-BB3K"/>
    <x v="16"/>
    <s v="XS"/>
    <x v="0"/>
    <d v="2024-10-25T00:00:00"/>
    <d v="2024-12-14T00:00:00"/>
    <n v="13"/>
    <n v="847.40570000000002"/>
    <n v="2388.56"/>
    <n v="2"/>
    <n v="133.1782"/>
  </r>
  <r>
    <s v="Brand ABC TDM"/>
    <x v="2"/>
    <s v="Mens"/>
    <x v="5"/>
    <s v="A5A5H-GCHW"/>
    <x v="16"/>
    <s v="L"/>
    <x v="0"/>
    <d v="2024-05-20T00:00:00"/>
    <d v="2024-12-21T00:00:00"/>
    <n v="14"/>
    <n v="918.06010000000003"/>
    <n v="2428.4"/>
    <n v="7"/>
    <n v="468.60309999999998"/>
  </r>
  <r>
    <s v="Brand ABC TDM"/>
    <x v="2"/>
    <s v="Mens"/>
    <x v="5"/>
    <s v="A5A5H-GCHW"/>
    <x v="16"/>
    <s v="M"/>
    <x v="0"/>
    <d v="2024-05-20T00:00:00"/>
    <d v="2024-12-20T00:00:00"/>
    <n v="25"/>
    <n v="1651.3976"/>
    <n v="4498.4399999999996"/>
    <n v="8"/>
    <n v="400.2253"/>
  </r>
  <r>
    <s v="Brand ABC TDM"/>
    <x v="2"/>
    <s v="Mens"/>
    <x v="5"/>
    <s v="A5A5H-GCHW"/>
    <x v="16"/>
    <s v="S"/>
    <x v="0"/>
    <d v="2024-05-20T00:00:00"/>
    <d v="2024-12-21T00:00:00"/>
    <n v="9"/>
    <n v="591.55539999999996"/>
    <n v="1632.18"/>
    <n v="7"/>
    <n v="469.23939999999999"/>
  </r>
  <r>
    <s v="Brand ABC TDM"/>
    <x v="2"/>
    <s v="Mens"/>
    <x v="5"/>
    <s v="A5A5H-GCHW"/>
    <x v="16"/>
    <s v="XS"/>
    <x v="0"/>
    <d v="2024-05-20T00:00:00"/>
    <d v="2024-12-11T00:00:00"/>
    <n v="5"/>
    <n v="329.11880000000002"/>
    <n v="915.62"/>
    <n v="3"/>
    <n v="201.53129999999999"/>
  </r>
  <r>
    <s v="Brand ABC TDM"/>
    <x v="2"/>
    <s v="Mens"/>
    <x v="5"/>
    <s v="A5A5H-UCZM"/>
    <x v="16"/>
    <s v="L"/>
    <x v="1"/>
    <d v="2024-10-26T00:00:00"/>
    <d v="2024-12-21T00:00:00"/>
    <n v="17"/>
    <n v="1116.3998999999999"/>
    <n v="3005.5"/>
    <n v="8"/>
    <n v="539.58000000000004"/>
  </r>
  <r>
    <s v="Brand ABC TDM"/>
    <x v="2"/>
    <s v="Mens"/>
    <x v="5"/>
    <s v="A5A5H-UCZM"/>
    <x v="16"/>
    <s v="M"/>
    <x v="1"/>
    <d v="2024-10-26T00:00:00"/>
    <d v="2024-12-21T00:00:00"/>
    <n v="24"/>
    <n v="1592.79"/>
    <n v="4319.32"/>
    <n v="8"/>
    <n v="545.58320000000003"/>
  </r>
  <r>
    <s v="Brand ABC TDM"/>
    <x v="2"/>
    <s v="Mens"/>
    <x v="5"/>
    <s v="A5A5H-UCZM"/>
    <x v="16"/>
    <s v="S"/>
    <x v="1"/>
    <d v="2024-10-26T00:00:00"/>
    <d v="2024-12-13T00:00:00"/>
    <n v="15"/>
    <n v="989.38430000000005"/>
    <n v="2707.07"/>
    <n v="7"/>
    <n v="474.91079999999999"/>
  </r>
  <r>
    <s v="Brand ABC TDM"/>
    <x v="2"/>
    <s v="Mens"/>
    <x v="5"/>
    <s v="A5A5H-UCZM"/>
    <x v="16"/>
    <s v="XL"/>
    <x v="1"/>
    <d v="2024-10-26T00:00:00"/>
    <d v="2024-10-26T00:00:00"/>
    <n v="2"/>
    <n v="130.04400000000001"/>
    <n v="358.29"/>
    <n v="0"/>
    <n v="0"/>
  </r>
  <r>
    <s v="Brand ABC TDM"/>
    <x v="2"/>
    <s v="Mens"/>
    <x v="5"/>
    <s v="A5A5H-UCZM"/>
    <x v="16"/>
    <s v="XS"/>
    <x v="1"/>
    <d v="2024-10-26T00:00:00"/>
    <d v="2024-11-12T00:00:00"/>
    <n v="4"/>
    <n v="260.08800000000002"/>
    <n v="716.58"/>
    <n v="0"/>
    <n v="0"/>
  </r>
  <r>
    <s v="Brand ABC TDM"/>
    <x v="2"/>
    <s v="Mens"/>
    <x v="5"/>
    <s v="A5A5N-BB2J"/>
    <x v="17"/>
    <s v="L"/>
    <x v="3"/>
    <d v="2024-10-25T00:00:00"/>
    <d v="2024-11-13T00:00:00"/>
    <n v="4"/>
    <n v="219.19159999999999"/>
    <n v="547.25"/>
    <n v="0"/>
    <n v="0"/>
  </r>
  <r>
    <s v="Brand ABC TDM"/>
    <x v="2"/>
    <s v="Mens"/>
    <x v="5"/>
    <s v="A5A5N-BB2J"/>
    <x v="17"/>
    <s v="M"/>
    <x v="3"/>
    <d v="2024-10-26T00:00:00"/>
    <d v="2024-11-15T00:00:00"/>
    <n v="8"/>
    <n v="438.38319999999999"/>
    <n v="1158.8599999999999"/>
    <n v="0"/>
    <n v="0"/>
  </r>
  <r>
    <s v="Brand ABC TDM"/>
    <x v="2"/>
    <s v="Mens"/>
    <x v="5"/>
    <s v="A5A5N-BB2J"/>
    <x v="17"/>
    <s v="S"/>
    <x v="3"/>
    <d v="2024-10-26T00:00:00"/>
    <d v="2024-11-12T00:00:00"/>
    <n v="10"/>
    <n v="547.97900000000004"/>
    <n v="1456.63"/>
    <n v="0"/>
    <n v="0"/>
  </r>
  <r>
    <s v="Brand ABC TDM"/>
    <x v="2"/>
    <s v="Mens"/>
    <x v="5"/>
    <s v="A5A5N-BB2J"/>
    <x v="17"/>
    <s v="XL"/>
    <x v="3"/>
    <d v="2024-10-26T00:00:00"/>
    <d v="2024-10-26T00:00:00"/>
    <n v="2"/>
    <n v="109.5958"/>
    <n v="289.70999999999998"/>
    <n v="0"/>
    <n v="0"/>
  </r>
  <r>
    <s v="Brand ABC TDM"/>
    <x v="2"/>
    <s v="Mens"/>
    <x v="5"/>
    <s v="A5A5N-BB2J"/>
    <x v="17"/>
    <s v="XS"/>
    <x v="3"/>
    <d v="2024-10-26T00:00:00"/>
    <d v="2024-10-26T00:00:00"/>
    <n v="2"/>
    <n v="109.5958"/>
    <n v="289.70999999999998"/>
    <n v="1"/>
    <n v="54.797899999999998"/>
  </r>
  <r>
    <s v="Brand ABC TDM"/>
    <x v="2"/>
    <s v="Mens"/>
    <x v="5"/>
    <s v="A5A5N-WB57"/>
    <x v="17"/>
    <s v="L"/>
    <x v="3"/>
    <d v="2024-10-26T00:00:00"/>
    <d v="2024-10-26T00:00:00"/>
    <n v="6"/>
    <n v="328.78739999999999"/>
    <n v="869.14"/>
    <n v="0"/>
    <n v="0"/>
  </r>
  <r>
    <s v="Brand ABC TDM"/>
    <x v="2"/>
    <s v="Mens"/>
    <x v="5"/>
    <s v="A5A5N-WB57"/>
    <x v="17"/>
    <s v="M"/>
    <x v="3"/>
    <d v="2024-10-26T00:00:00"/>
    <d v="2024-11-09T00:00:00"/>
    <n v="10"/>
    <n v="547.97900000000004"/>
    <n v="1440.51"/>
    <n v="0"/>
    <n v="0"/>
  </r>
  <r>
    <s v="Brand ABC TDM"/>
    <x v="2"/>
    <s v="Mens"/>
    <x v="5"/>
    <s v="A5A5N-WB57"/>
    <x v="17"/>
    <s v="S"/>
    <x v="3"/>
    <d v="2024-10-26T00:00:00"/>
    <d v="2024-11-09T00:00:00"/>
    <n v="3"/>
    <n v="164.3937"/>
    <n v="434.57"/>
    <n v="1"/>
    <n v="54.797899999999998"/>
  </r>
  <r>
    <s v="Brand ABC TDM"/>
    <x v="2"/>
    <s v="Mens"/>
    <x v="5"/>
    <s v="A5A5N-WB57"/>
    <x v="17"/>
    <s v="XL"/>
    <x v="3"/>
    <d v="2024-10-25T00:00:00"/>
    <d v="2024-10-25T00:00:00"/>
    <n v="3"/>
    <n v="164.3937"/>
    <n v="434.58"/>
    <n v="0"/>
    <n v="0"/>
  </r>
  <r>
    <s v="Brand ABC TDM"/>
    <x v="2"/>
    <s v="Mens"/>
    <x v="5"/>
    <s v="A6A4D-BCL2"/>
    <x v="18"/>
    <s v="L"/>
    <x v="0"/>
    <d v="2024-10-26T00:00:00"/>
    <d v="2024-12-21T00:00:00"/>
    <n v="11"/>
    <n v="501.7679"/>
    <n v="1323.79"/>
    <n v="7"/>
    <n v="327.00639999999999"/>
  </r>
  <r>
    <s v="Brand ABC TDM"/>
    <x v="2"/>
    <s v="Mens"/>
    <x v="5"/>
    <s v="A6A4D-BCL2"/>
    <x v="18"/>
    <s v="M"/>
    <x v="0"/>
    <d v="2024-10-26T00:00:00"/>
    <d v="2024-12-21T00:00:00"/>
    <n v="16"/>
    <n v="733.40940000000001"/>
    <n v="1906.25"/>
    <n v="7"/>
    <n v="326.94690000000003"/>
  </r>
  <r>
    <s v="Brand ABC TDM"/>
    <x v="2"/>
    <s v="Mens"/>
    <x v="5"/>
    <s v="A6A4D-BCL2"/>
    <x v="18"/>
    <s v="S"/>
    <x v="0"/>
    <d v="2024-10-26T00:00:00"/>
    <d v="2024-12-21T00:00:00"/>
    <n v="13"/>
    <n v="597.6"/>
    <n v="1562.08"/>
    <n v="5"/>
    <n v="233.35050000000001"/>
  </r>
  <r>
    <s v="Brand ABC TDM"/>
    <x v="2"/>
    <s v="Mens"/>
    <x v="5"/>
    <s v="A6A4D-BCL2"/>
    <x v="18"/>
    <s v="XL"/>
    <x v="0"/>
    <d v="2024-10-26T00:00:00"/>
    <d v="2024-12-21T00:00:00"/>
    <n v="3"/>
    <n v="135.0214"/>
    <n v="357.42"/>
    <n v="3"/>
    <n v="138.8775"/>
  </r>
  <r>
    <s v="Brand ABC TDM"/>
    <x v="2"/>
    <s v="Mens"/>
    <x v="5"/>
    <s v="A6A4D-BCL2"/>
    <x v="18"/>
    <s v="XS"/>
    <x v="0"/>
    <d v="2024-10-26T00:00:00"/>
    <d v="2024-12-21T00:00:00"/>
    <n v="2"/>
    <n v="89.757199999999997"/>
    <n v="251.52"/>
    <n v="3"/>
    <n v="137.3349"/>
  </r>
  <r>
    <s v="Brand ABC TDM"/>
    <x v="2"/>
    <s v="Mens"/>
    <x v="5"/>
    <s v="A6A5Z-WB57"/>
    <x v="19"/>
    <s v="L"/>
    <x v="0"/>
    <d v="2024-10-26T00:00:00"/>
    <d v="2024-11-12T00:00:00"/>
    <n v="2"/>
    <n v="89.066800000000001"/>
    <n v="211.81"/>
    <n v="0"/>
    <n v="0"/>
  </r>
  <r>
    <s v="Brand ABC TDM"/>
    <x v="2"/>
    <s v="Mens"/>
    <x v="5"/>
    <s v="A6A5Z-WB57"/>
    <x v="19"/>
    <s v="M"/>
    <x v="0"/>
    <d v="2024-10-26T00:00:00"/>
    <d v="2024-11-12T00:00:00"/>
    <n v="7"/>
    <n v="311.73379999999997"/>
    <n v="820.76"/>
    <n v="0"/>
    <n v="0"/>
  </r>
  <r>
    <s v="Brand ABC TDM"/>
    <x v="2"/>
    <s v="Mens"/>
    <x v="5"/>
    <s v="A6A5Z-WB57"/>
    <x v="19"/>
    <s v="S"/>
    <x v="0"/>
    <d v="2024-10-25T00:00:00"/>
    <d v="2024-10-25T00:00:00"/>
    <n v="2"/>
    <n v="89.066800000000001"/>
    <n v="251.52"/>
    <n v="0"/>
    <n v="0"/>
  </r>
  <r>
    <s v="Brand ABC TDM"/>
    <x v="2"/>
    <s v="Mens"/>
    <x v="5"/>
    <s v="A6A5Z-WB57"/>
    <x v="19"/>
    <s v="XL"/>
    <x v="0"/>
    <d v="2024-10-25T00:00:00"/>
    <d v="2024-10-25T00:00:00"/>
    <n v="1"/>
    <n v="44.5334"/>
    <n v="119.14"/>
    <n v="0"/>
    <n v="0"/>
  </r>
  <r>
    <s v="Brand ABC TDM"/>
    <x v="2"/>
    <s v="Mens"/>
    <x v="5"/>
    <s v="A6A7C-BB67"/>
    <x v="20"/>
    <s v="L"/>
    <x v="0"/>
    <d v="2024-12-12T00:00:00"/>
    <d v="2024-12-21T00:00:00"/>
    <n v="0"/>
    <n v="0"/>
    <n v="0"/>
    <n v="6"/>
    <n v="410.41860000000003"/>
  </r>
  <r>
    <s v="Brand ABC TDM"/>
    <x v="2"/>
    <s v="Mens"/>
    <x v="5"/>
    <s v="A6A7C-BB67"/>
    <x v="20"/>
    <s v="M"/>
    <x v="0"/>
    <d v="2024-12-12T00:00:00"/>
    <d v="2024-12-19T00:00:00"/>
    <n v="0"/>
    <n v="0"/>
    <n v="0"/>
    <n v="7"/>
    <n v="478.82170000000002"/>
  </r>
  <r>
    <s v="Brand ABC TDM"/>
    <x v="2"/>
    <s v="Mens"/>
    <x v="5"/>
    <s v="A6A7C-BB67"/>
    <x v="20"/>
    <s v="S"/>
    <x v="0"/>
    <d v="2024-12-12T00:00:00"/>
    <d v="2024-12-20T00:00:00"/>
    <n v="0"/>
    <n v="0"/>
    <n v="0"/>
    <n v="5"/>
    <n v="342.01549999999997"/>
  </r>
  <r>
    <s v="Brand ABC TDM"/>
    <x v="2"/>
    <s v="Mens"/>
    <x v="5"/>
    <s v="A6A7C-BB67"/>
    <x v="20"/>
    <s v="XL"/>
    <x v="0"/>
    <d v="2024-12-12T00:00:00"/>
    <d v="2024-12-12T00:00:00"/>
    <n v="0"/>
    <n v="0"/>
    <n v="0"/>
    <n v="3"/>
    <n v="205.20930000000001"/>
  </r>
  <r>
    <s v="Brand ABC TDM"/>
    <x v="2"/>
    <s v="Mens"/>
    <x v="5"/>
    <s v="A6A7C-BB67"/>
    <x v="20"/>
    <s v="XS"/>
    <x v="0"/>
    <d v="2024-12-12T00:00:00"/>
    <d v="2024-12-12T00:00:00"/>
    <n v="0"/>
    <n v="0"/>
    <n v="0"/>
    <n v="3"/>
    <n v="205.20930000000001"/>
  </r>
  <r>
    <s v="Brand ABC TDM"/>
    <x v="2"/>
    <s v="Mens"/>
    <x v="5"/>
    <s v="A6A7C-NB4S"/>
    <x v="20"/>
    <s v="L"/>
    <x v="1"/>
    <d v="2024-12-12T00:00:00"/>
    <d v="2024-12-21T00:00:00"/>
    <n v="0"/>
    <n v="0"/>
    <n v="0"/>
    <n v="6"/>
    <n v="410.41860000000003"/>
  </r>
  <r>
    <s v="Brand ABC TDM"/>
    <x v="2"/>
    <s v="Mens"/>
    <x v="5"/>
    <s v="A6A7C-NB4S"/>
    <x v="20"/>
    <s v="M"/>
    <x v="1"/>
    <d v="2024-12-12T00:00:00"/>
    <d v="2024-12-21T00:00:00"/>
    <n v="0"/>
    <n v="0"/>
    <n v="0"/>
    <n v="7"/>
    <n v="478.82170000000002"/>
  </r>
  <r>
    <s v="Brand ABC TDM"/>
    <x v="2"/>
    <s v="Mens"/>
    <x v="5"/>
    <s v="A6A7C-NB4S"/>
    <x v="20"/>
    <s v="S"/>
    <x v="1"/>
    <d v="2024-12-12T00:00:00"/>
    <d v="2024-12-21T00:00:00"/>
    <n v="0"/>
    <n v="0"/>
    <n v="0"/>
    <n v="5"/>
    <n v="342.01549999999997"/>
  </r>
  <r>
    <s v="Brand ABC TDM"/>
    <x v="2"/>
    <s v="Mens"/>
    <x v="5"/>
    <s v="A6A7C-NB4S"/>
    <x v="20"/>
    <s v="XL"/>
    <x v="1"/>
    <d v="2024-12-12T00:00:00"/>
    <d v="2024-12-12T00:00:00"/>
    <n v="0"/>
    <n v="0"/>
    <n v="0"/>
    <n v="3"/>
    <n v="205.20930000000001"/>
  </r>
  <r>
    <s v="Brand ABC TDM"/>
    <x v="2"/>
    <s v="Mens"/>
    <x v="5"/>
    <s v="A6A7C-NB4S"/>
    <x v="20"/>
    <s v="XS"/>
    <x v="1"/>
    <d v="2024-12-12T00:00:00"/>
    <d v="2024-12-12T00:00:00"/>
    <n v="0"/>
    <n v="0"/>
    <n v="0"/>
    <n v="3"/>
    <n v="205.20930000000001"/>
  </r>
  <r>
    <s v="Brand ABC TDM"/>
    <x v="2"/>
    <s v="Mens"/>
    <x v="5"/>
    <s v="A7A3B-BB2J"/>
    <x v="21"/>
    <s v="L"/>
    <x v="2"/>
    <d v="2024-12-04T00:00:00"/>
    <d v="2024-12-19T00:00:00"/>
    <n v="7"/>
    <n v="504.11829999999998"/>
    <n v="1272.26"/>
    <n v="4"/>
    <n v="288.06760000000003"/>
  </r>
  <r>
    <s v="Brand ABC TDM"/>
    <x v="2"/>
    <s v="Mens"/>
    <x v="5"/>
    <s v="A7A3B-BB2J"/>
    <x v="21"/>
    <s v="M"/>
    <x v="2"/>
    <d v="2024-12-04T00:00:00"/>
    <d v="2024-12-21T00:00:00"/>
    <n v="5"/>
    <n v="360.08449999999999"/>
    <n v="980.3"/>
    <n v="7"/>
    <n v="504.11829999999998"/>
  </r>
  <r>
    <s v="Brand ABC TDM"/>
    <x v="2"/>
    <s v="Mens"/>
    <x v="5"/>
    <s v="A7A3B-BB2J"/>
    <x v="21"/>
    <s v="S"/>
    <x v="2"/>
    <d v="2024-12-04T00:00:00"/>
    <d v="2024-12-21T00:00:00"/>
    <n v="3"/>
    <n v="216.05070000000001"/>
    <n v="542.28"/>
    <n v="4"/>
    <n v="288.06760000000003"/>
  </r>
  <r>
    <s v="Brand ABC TDM"/>
    <x v="2"/>
    <s v="Mens"/>
    <x v="5"/>
    <s v="A7A3B-BB2J"/>
    <x v="21"/>
    <s v="XL"/>
    <x v="2"/>
    <d v="2024-12-04T00:00:00"/>
    <d v="2024-12-17T00:00:00"/>
    <n v="4"/>
    <n v="288.06760000000003"/>
    <n v="792.57"/>
    <n v="2"/>
    <n v="144.03380000000001"/>
  </r>
  <r>
    <s v="Brand ABC TDM"/>
    <x v="2"/>
    <s v="Mens"/>
    <x v="5"/>
    <s v="A7A3B-BB2J"/>
    <x v="21"/>
    <s v="XS"/>
    <x v="2"/>
    <d v="2024-12-04T00:00:00"/>
    <d v="2024-12-20T00:00:00"/>
    <n v="3"/>
    <n v="216.05070000000001"/>
    <n v="563.14"/>
    <n v="2"/>
    <n v="144.03380000000001"/>
  </r>
  <r>
    <s v="Brand ABC TDM"/>
    <x v="2"/>
    <s v="Mens"/>
    <x v="5"/>
    <s v="A7A3H-BCPH"/>
    <x v="22"/>
    <s v="L"/>
    <x v="1"/>
    <d v="2024-11-29T00:00:00"/>
    <d v="2024-12-17T00:00:00"/>
    <n v="7"/>
    <n v="504.11829999999998"/>
    <n v="1376.56"/>
    <n v="4"/>
    <n v="288.06760000000003"/>
  </r>
  <r>
    <s v="Brand ABC TDM"/>
    <x v="2"/>
    <s v="Mens"/>
    <x v="5"/>
    <s v="A7A3H-BCPH"/>
    <x v="22"/>
    <s v="M"/>
    <x v="1"/>
    <d v="2024-11-29T00:00:00"/>
    <d v="2024-12-17T00:00:00"/>
    <n v="9"/>
    <n v="648.15210000000002"/>
    <n v="1710.26"/>
    <n v="6"/>
    <n v="432.10140000000001"/>
  </r>
  <r>
    <s v="Brand ABC TDM"/>
    <x v="2"/>
    <s v="Mens"/>
    <x v="5"/>
    <s v="A7A3H-BCPH"/>
    <x v="22"/>
    <s v="S"/>
    <x v="1"/>
    <d v="2024-11-29T00:00:00"/>
    <d v="2024-12-12T00:00:00"/>
    <n v="6"/>
    <n v="432.10140000000001"/>
    <n v="1126.27"/>
    <n v="7"/>
    <n v="504.11829999999998"/>
  </r>
  <r>
    <s v="Brand ABC TDM"/>
    <x v="2"/>
    <s v="Mens"/>
    <x v="5"/>
    <s v="A7A3H-BCPH"/>
    <x v="22"/>
    <s v="XS"/>
    <x v="1"/>
    <d v="2024-11-29T00:00:00"/>
    <d v="2024-12-13T00:00:00"/>
    <n v="1"/>
    <n v="72.016900000000007"/>
    <n v="208.58"/>
    <n v="4"/>
    <n v="288.06760000000003"/>
  </r>
  <r>
    <s v="Brand ABC TDM"/>
    <x v="2"/>
    <s v="Mens"/>
    <x v="6"/>
    <s v="A1A9E-NCCZ"/>
    <x v="11"/>
    <s v="S"/>
    <x v="1"/>
    <d v="2024-12-11T00:00:00"/>
    <d v="2024-12-11T00:00:00"/>
    <n v="0"/>
    <n v="0"/>
    <n v="0"/>
    <n v="1"/>
    <n v="43.193100000000001"/>
  </r>
  <r>
    <s v="Brand ABC TDM"/>
    <x v="2"/>
    <s v="Mens"/>
    <x v="6"/>
    <s v="A1C2U-BB2J"/>
    <x v="13"/>
    <s v="L"/>
    <x v="0"/>
    <d v="2024-10-26T00:00:00"/>
    <d v="2024-11-19T00:00:00"/>
    <n v="14"/>
    <n v="919.70060000000001"/>
    <n v="2406.9499999999998"/>
    <n v="5"/>
    <n v="328.46449999999999"/>
  </r>
  <r>
    <s v="Brand ABC TDM"/>
    <x v="2"/>
    <s v="Mens"/>
    <x v="6"/>
    <s v="A1C2U-BB2J"/>
    <x v="13"/>
    <s v="M"/>
    <x v="0"/>
    <d v="2024-10-26T00:00:00"/>
    <d v="2024-11-26T00:00:00"/>
    <n v="27"/>
    <n v="1801.0372"/>
    <n v="4567.54"/>
    <n v="0"/>
    <n v="0"/>
  </r>
  <r>
    <s v="Brand ABC TDM"/>
    <x v="2"/>
    <s v="Mens"/>
    <x v="6"/>
    <s v="A1C2U-BB2J"/>
    <x v="13"/>
    <s v="S"/>
    <x v="0"/>
    <d v="2024-10-26T00:00:00"/>
    <d v="2024-11-13T00:00:00"/>
    <n v="8"/>
    <n v="525.54319999999996"/>
    <n v="1383.51"/>
    <n v="0"/>
    <n v="0"/>
  </r>
  <r>
    <s v="Brand ABC TDM"/>
    <x v="2"/>
    <s v="Mens"/>
    <x v="6"/>
    <s v="A1C2U-BB2J"/>
    <x v="13"/>
    <s v="XL"/>
    <x v="0"/>
    <d v="2024-10-26T00:00:00"/>
    <d v="2024-11-20T00:00:00"/>
    <n v="5"/>
    <n v="330.74189999999999"/>
    <n v="871.81"/>
    <n v="1"/>
    <n v="66.831599999999995"/>
  </r>
  <r>
    <s v="Brand ABC TDM"/>
    <x v="2"/>
    <s v="Mens"/>
    <x v="6"/>
    <s v="A1C2U-BB2J"/>
    <x v="13"/>
    <s v="XS"/>
    <x v="0"/>
    <d v="2024-10-26T00:00:00"/>
    <d v="2024-10-26T00:00:00"/>
    <n v="2"/>
    <n v="131.38579999999999"/>
    <n v="341.14"/>
    <n v="0"/>
    <n v="0"/>
  </r>
  <r>
    <s v="Brand ABC TDM"/>
    <x v="2"/>
    <s v="Mens"/>
    <x v="6"/>
    <s v="A5A3C-GBFG"/>
    <x v="3"/>
    <s v="L"/>
    <x v="0"/>
    <d v="2024-12-07T00:00:00"/>
    <d v="2024-12-14T00:00:00"/>
    <n v="1"/>
    <n v="57.604999999999997"/>
    <n v="144.85"/>
    <n v="6"/>
    <n v="345.63"/>
  </r>
  <r>
    <s v="Brand ABC TDM"/>
    <x v="2"/>
    <s v="Mens"/>
    <x v="6"/>
    <s v="A5A3C-GBFG"/>
    <x v="3"/>
    <s v="M"/>
    <x v="0"/>
    <d v="2024-12-07T00:00:00"/>
    <d v="2024-12-11T00:00:00"/>
    <n v="1"/>
    <n v="57.604999999999997"/>
    <n v="160.94999999999999"/>
    <n v="6"/>
    <n v="345.63"/>
  </r>
  <r>
    <s v="Brand ABC TDM"/>
    <x v="2"/>
    <s v="Mens"/>
    <x v="6"/>
    <s v="A5A3C-GBFG"/>
    <x v="3"/>
    <s v="S"/>
    <x v="0"/>
    <d v="2024-12-07T00:00:00"/>
    <d v="2024-12-07T00:00:00"/>
    <n v="0"/>
    <n v="0"/>
    <n v="0"/>
    <n v="4"/>
    <n v="230.42"/>
  </r>
  <r>
    <s v="Brand ABC TDM"/>
    <x v="2"/>
    <s v="Mens"/>
    <x v="6"/>
    <s v="A5A3C-GBFG"/>
    <x v="3"/>
    <s v="XS"/>
    <x v="0"/>
    <d v="2024-12-07T00:00:00"/>
    <d v="2024-12-07T00:00:00"/>
    <n v="0"/>
    <n v="0"/>
    <n v="0"/>
    <n v="2"/>
    <n v="115.21"/>
  </r>
  <r>
    <s v="Brand ABC TDM"/>
    <x v="2"/>
    <s v="Mens"/>
    <x v="6"/>
    <s v="A5A3C-WB57"/>
    <x v="3"/>
    <s v="L"/>
    <x v="0"/>
    <d v="2024-11-29T00:00:00"/>
    <d v="2024-12-07T00:00:00"/>
    <n v="4"/>
    <n v="230.42"/>
    <n v="579.44000000000005"/>
    <n v="8"/>
    <n v="460.84"/>
  </r>
  <r>
    <s v="Brand ABC TDM"/>
    <x v="2"/>
    <s v="Mens"/>
    <x v="6"/>
    <s v="A5A3C-WB57"/>
    <x v="3"/>
    <s v="M"/>
    <x v="0"/>
    <d v="2024-11-29T00:00:00"/>
    <d v="2024-12-07T00:00:00"/>
    <n v="2"/>
    <n v="115.21"/>
    <n v="289.72000000000003"/>
    <n v="10"/>
    <n v="576.04999999999995"/>
  </r>
  <r>
    <s v="Brand ABC TDM"/>
    <x v="2"/>
    <s v="Mens"/>
    <x v="6"/>
    <s v="A5A3C-WB57"/>
    <x v="3"/>
    <s v="S"/>
    <x v="0"/>
    <d v="2024-11-29T00:00:00"/>
    <d v="2024-12-07T00:00:00"/>
    <n v="2"/>
    <n v="115.21"/>
    <n v="289.72000000000003"/>
    <n v="6"/>
    <n v="345.63"/>
  </r>
  <r>
    <s v="Brand ABC TDM"/>
    <x v="2"/>
    <s v="Mens"/>
    <x v="6"/>
    <s v="A5A3C-WB57"/>
    <x v="3"/>
    <s v="XS"/>
    <x v="0"/>
    <d v="2024-11-29T00:00:00"/>
    <d v="2024-12-07T00:00:00"/>
    <n v="0"/>
    <n v="0"/>
    <n v="0"/>
    <n v="3"/>
    <n v="172.815"/>
  </r>
  <r>
    <s v="Brand ABC TDM"/>
    <x v="2"/>
    <s v="Mens"/>
    <x v="6"/>
    <s v="A6A7V-BCPH"/>
    <x v="22"/>
    <s v="L"/>
    <x v="2"/>
    <d v="2024-11-29T00:00:00"/>
    <d v="2024-11-29T00:00:00"/>
    <n v="0"/>
    <n v="0"/>
    <n v="0"/>
    <n v="6"/>
    <n v="485.92200000000003"/>
  </r>
  <r>
    <s v="Brand ABC TDM"/>
    <x v="2"/>
    <s v="Mens"/>
    <x v="6"/>
    <s v="A6A7V-BCPH"/>
    <x v="22"/>
    <s v="M"/>
    <x v="2"/>
    <d v="2024-11-29T00:00:00"/>
    <d v="2024-11-29T00:00:00"/>
    <n v="1"/>
    <n v="80.986999999999995"/>
    <n v="204.86"/>
    <n v="4"/>
    <n v="323.94799999999998"/>
  </r>
  <r>
    <s v="Brand ABC TDM"/>
    <x v="2"/>
    <s v="Mens"/>
    <x v="6"/>
    <s v="A6A7V-BCPH"/>
    <x v="22"/>
    <s v="S"/>
    <x v="2"/>
    <d v="2024-11-29T00:00:00"/>
    <d v="2024-12-13T00:00:00"/>
    <n v="0"/>
    <n v="0"/>
    <n v="0"/>
    <n v="4"/>
    <n v="323.94799999999998"/>
  </r>
  <r>
    <s v="Brand ABC TDM"/>
    <x v="2"/>
    <s v="Mens"/>
    <x v="6"/>
    <s v="A6A7V-BCPH"/>
    <x v="22"/>
    <s v="XS"/>
    <x v="2"/>
    <d v="2024-11-29T00:00:00"/>
    <d v="2024-11-29T00:00:00"/>
    <n v="1"/>
    <n v="80.986999999999995"/>
    <n v="204.86"/>
    <n v="0"/>
    <n v="0"/>
  </r>
  <r>
    <s v="Brand ABC TDM"/>
    <x v="2"/>
    <s v="Mens"/>
    <x v="6"/>
    <s v="A6A7V-BCPH"/>
    <x v="22"/>
    <s v="XXL"/>
    <x v="2"/>
    <d v="2024-11-29T00:00:00"/>
    <d v="2024-11-29T00:00:00"/>
    <n v="0"/>
    <n v="0"/>
    <n v="0"/>
    <n v="1"/>
    <n v="80.986999999999995"/>
  </r>
  <r>
    <s v="Brand ABC TDM"/>
    <x v="2"/>
    <s v="Mens"/>
    <x v="6"/>
    <s v="A6A7V-GCV5"/>
    <x v="22"/>
    <s v="L"/>
    <x v="2"/>
    <d v="2024-11-29T00:00:00"/>
    <d v="2024-11-29T00:00:00"/>
    <n v="1"/>
    <n v="80.986999999999995"/>
    <n v="204.86"/>
    <n v="5"/>
    <n v="404.935"/>
  </r>
  <r>
    <s v="Brand ABC TDM"/>
    <x v="2"/>
    <s v="Mens"/>
    <x v="6"/>
    <s v="A6A7V-GCV5"/>
    <x v="22"/>
    <s v="M"/>
    <x v="2"/>
    <d v="2024-11-29T00:00:00"/>
    <d v="2024-12-21T00:00:00"/>
    <n v="0"/>
    <n v="0"/>
    <n v="0"/>
    <n v="4"/>
    <n v="323.94799999999998"/>
  </r>
  <r>
    <s v="Brand ABC TDM"/>
    <x v="2"/>
    <s v="Mens"/>
    <x v="6"/>
    <s v="A6A7V-GCV5"/>
    <x v="22"/>
    <s v="S"/>
    <x v="2"/>
    <d v="2024-11-29T00:00:00"/>
    <d v="2024-12-18T00:00:00"/>
    <n v="0"/>
    <n v="0"/>
    <n v="0"/>
    <n v="4"/>
    <n v="323.94799999999998"/>
  </r>
  <r>
    <s v="Brand ABC TDM"/>
    <x v="2"/>
    <s v="Mens"/>
    <x v="6"/>
    <s v="A6A7V-GCV5"/>
    <x v="22"/>
    <s v="XS"/>
    <x v="2"/>
    <d v="2024-11-29T00:00:00"/>
    <d v="2024-12-13T00:00:00"/>
    <n v="0"/>
    <n v="0"/>
    <n v="0"/>
    <n v="2"/>
    <n v="161.97399999999999"/>
  </r>
  <r>
    <s v="Brand ABC TDM"/>
    <x v="2"/>
    <s v="Mens"/>
    <x v="7"/>
    <s v="A1B3J-BB3K"/>
    <x v="23"/>
    <s v="L"/>
    <x v="1"/>
    <d v="2024-10-11T00:00:00"/>
    <d v="2024-12-17T00:00:00"/>
    <n v="45"/>
    <n v="2827.1043"/>
    <n v="7656.71"/>
    <n v="6"/>
    <n v="387.49200000000002"/>
  </r>
  <r>
    <s v="Brand ABC TDM"/>
    <x v="2"/>
    <s v="Mens"/>
    <x v="7"/>
    <s v="A1B3J-BB3K"/>
    <x v="23"/>
    <s v="M"/>
    <x v="1"/>
    <d v="2024-10-11T00:00:00"/>
    <d v="2024-12-21T00:00:00"/>
    <n v="69"/>
    <n v="4327.6342000000004"/>
    <n v="11797.79"/>
    <n v="13"/>
    <n v="840.99080000000004"/>
  </r>
  <r>
    <s v="Brand ABC TDM"/>
    <x v="2"/>
    <s v="Mens"/>
    <x v="7"/>
    <s v="A1B3J-BB3K"/>
    <x v="23"/>
    <s v="S"/>
    <x v="1"/>
    <d v="2024-10-11T00:00:00"/>
    <d v="2024-12-21T00:00:00"/>
    <n v="22"/>
    <n v="1368.6911"/>
    <n v="3790.36"/>
    <n v="9"/>
    <n v="575.73450000000003"/>
  </r>
  <r>
    <s v="Brand ABC TDM"/>
    <x v="2"/>
    <s v="Mens"/>
    <x v="7"/>
    <s v="A1B3J-BB3K"/>
    <x v="23"/>
    <s v="XL"/>
    <x v="1"/>
    <d v="2024-10-26T00:00:00"/>
    <d v="2024-12-20T00:00:00"/>
    <n v="4"/>
    <n v="252.75299999999999"/>
    <n v="701.23"/>
    <n v="2"/>
    <n v="129.57900000000001"/>
  </r>
  <r>
    <s v="Brand ABC TDM"/>
    <x v="2"/>
    <s v="Mens"/>
    <x v="7"/>
    <s v="A1B3J-BB3K"/>
    <x v="23"/>
    <s v="XS"/>
    <x v="1"/>
    <d v="2024-10-26T00:00:00"/>
    <d v="2024-12-17T00:00:00"/>
    <n v="5"/>
    <n v="308.57549999999998"/>
    <n v="852.86"/>
    <n v="5"/>
    <n v="313.6995"/>
  </r>
  <r>
    <s v="Brand ABC TDM"/>
    <x v="2"/>
    <s v="Mens"/>
    <x v="7"/>
    <s v="A1B3J-ECV8"/>
    <x v="23"/>
    <s v="L"/>
    <x v="1"/>
    <d v="2024-10-11T00:00:00"/>
    <d v="2024-12-21T00:00:00"/>
    <n v="27"/>
    <n v="1686.6401000000001"/>
    <n v="4690.6899999999996"/>
    <n v="7"/>
    <n v="448.95060000000001"/>
  </r>
  <r>
    <s v="Brand ABC TDM"/>
    <x v="2"/>
    <s v="Mens"/>
    <x v="7"/>
    <s v="A1B3J-ECV8"/>
    <x v="23"/>
    <s v="M"/>
    <x v="1"/>
    <d v="2024-10-11T00:00:00"/>
    <d v="2024-12-21T00:00:00"/>
    <n v="33"/>
    <n v="2052.2226999999998"/>
    <n v="5704.69"/>
    <n v="11"/>
    <n v="702.4402"/>
  </r>
  <r>
    <s v="Brand ABC TDM"/>
    <x v="2"/>
    <s v="Mens"/>
    <x v="7"/>
    <s v="A1B3J-ECV8"/>
    <x v="23"/>
    <s v="S"/>
    <x v="1"/>
    <d v="2024-10-11T00:00:00"/>
    <d v="2024-12-21T00:00:00"/>
    <n v="9"/>
    <n v="556.26419999999996"/>
    <n v="1610.95"/>
    <n v="8"/>
    <n v="500.32240000000002"/>
  </r>
  <r>
    <s v="Brand ABC TDM"/>
    <x v="2"/>
    <s v="Mens"/>
    <x v="7"/>
    <s v="A1B3J-ECV8"/>
    <x v="23"/>
    <s v="XL"/>
    <x v="1"/>
    <d v="2024-10-26T00:00:00"/>
    <d v="2024-12-21T00:00:00"/>
    <n v="3"/>
    <n v="184.761"/>
    <n v="511.71"/>
    <n v="4"/>
    <n v="259.15800000000002"/>
  </r>
  <r>
    <s v="Brand ABC TDM"/>
    <x v="2"/>
    <s v="Mens"/>
    <x v="7"/>
    <s v="A1B3J-ECV8"/>
    <x v="23"/>
    <s v="XS"/>
    <x v="1"/>
    <d v="2024-10-26T00:00:00"/>
    <d v="2024-12-19T00:00:00"/>
    <n v="2"/>
    <n v="123.17400000000001"/>
    <n v="341.14"/>
    <n v="5"/>
    <n v="311.13749999999999"/>
  </r>
  <r>
    <s v="Brand ABC TDM"/>
    <x v="2"/>
    <s v="Mens"/>
    <x v="7"/>
    <s v="A1B3J-UCZR"/>
    <x v="23"/>
    <s v="L"/>
    <x v="1"/>
    <d v="2024-10-26T00:00:00"/>
    <d v="2024-12-21T00:00:00"/>
    <n v="21"/>
    <n v="1316.1805999999999"/>
    <n v="3657.78"/>
    <n v="6"/>
    <n v="385.0992"/>
  </r>
  <r>
    <s v="Brand ABC TDM"/>
    <x v="2"/>
    <s v="Mens"/>
    <x v="7"/>
    <s v="A1B3J-UCZR"/>
    <x v="23"/>
    <s v="M"/>
    <x v="1"/>
    <d v="2024-10-26T00:00:00"/>
    <d v="2024-12-21T00:00:00"/>
    <n v="26"/>
    <n v="1624.4259999999999"/>
    <n v="4434.87"/>
    <n v="8"/>
    <n v="514.3664"/>
  </r>
  <r>
    <s v="Brand ABC TDM"/>
    <x v="2"/>
    <s v="Mens"/>
    <x v="7"/>
    <s v="A1B3J-UCZR"/>
    <x v="23"/>
    <s v="S"/>
    <x v="1"/>
    <d v="2024-10-26T00:00:00"/>
    <d v="2024-12-21T00:00:00"/>
    <n v="7"/>
    <n v="433.85390000000001"/>
    <n v="1231.9000000000001"/>
    <n v="6"/>
    <n v="376.38420000000002"/>
  </r>
  <r>
    <s v="Brand ABC TDM"/>
    <x v="2"/>
    <s v="Mens"/>
    <x v="7"/>
    <s v="A1B3J-UCZR"/>
    <x v="23"/>
    <s v="XL"/>
    <x v="1"/>
    <d v="2024-10-26T00:00:00"/>
    <d v="2024-11-12T00:00:00"/>
    <n v="4"/>
    <n v="246.34800000000001"/>
    <n v="682.28"/>
    <n v="0"/>
    <n v="0"/>
  </r>
  <r>
    <s v="Brand ABC TDM"/>
    <x v="2"/>
    <s v="Mens"/>
    <x v="7"/>
    <s v="A1B3J-UCZR"/>
    <x v="23"/>
    <s v="XS"/>
    <x v="1"/>
    <d v="2024-10-26T00:00:00"/>
    <d v="2024-12-20T00:00:00"/>
    <n v="1"/>
    <n v="61.587000000000003"/>
    <n v="170.57"/>
    <n v="4"/>
    <n v="246.34800000000001"/>
  </r>
  <r>
    <s v="Brand ABC TDM"/>
    <x v="2"/>
    <s v="Mens"/>
    <x v="7"/>
    <s v="A1B3L-BB2J"/>
    <x v="23"/>
    <s v="L"/>
    <x v="2"/>
    <d v="2024-11-09T00:00:00"/>
    <d v="2024-12-18T00:00:00"/>
    <n v="2"/>
    <n v="106.5976"/>
    <n v="321.91000000000003"/>
    <n v="8"/>
    <n v="427.40640000000002"/>
  </r>
  <r>
    <s v="Brand ABC TDM"/>
    <x v="2"/>
    <s v="Mens"/>
    <x v="7"/>
    <s v="A1B3L-BB2J"/>
    <x v="23"/>
    <s v="M"/>
    <x v="2"/>
    <d v="2024-11-09T00:00:00"/>
    <d v="2024-12-20T00:00:00"/>
    <n v="5"/>
    <n v="268.97789999999998"/>
    <n v="724.28"/>
    <n v="9"/>
    <n v="369.46899999999999"/>
  </r>
  <r>
    <s v="Brand ABC TDM"/>
    <x v="2"/>
    <s v="Mens"/>
    <x v="7"/>
    <s v="A1B3L-BB2J"/>
    <x v="23"/>
    <s v="S"/>
    <x v="2"/>
    <d v="2024-11-09T00:00:00"/>
    <d v="2024-12-10T00:00:00"/>
    <n v="0"/>
    <n v="0"/>
    <n v="0"/>
    <n v="7"/>
    <n v="372.33839999999998"/>
  </r>
  <r>
    <s v="Brand ABC TDM"/>
    <x v="2"/>
    <s v="Mens"/>
    <x v="7"/>
    <s v="A1B3L-BB2J"/>
    <x v="23"/>
    <s v="XL"/>
    <x v="2"/>
    <d v="2024-11-09T00:00:00"/>
    <d v="2024-12-03T00:00:00"/>
    <n v="1"/>
    <n v="53.780299999999997"/>
    <n v="160.94999999999999"/>
    <n v="1"/>
    <n v="53.780299999999997"/>
  </r>
  <r>
    <s v="Brand ABC TDM"/>
    <x v="2"/>
    <s v="Mens"/>
    <x v="7"/>
    <s v="A1B3L-BB2J"/>
    <x v="23"/>
    <s v="XS"/>
    <x v="2"/>
    <d v="2024-11-09T00:00:00"/>
    <d v="2024-12-04T00:00:00"/>
    <n v="0"/>
    <n v="0"/>
    <n v="0"/>
    <n v="4"/>
    <n v="211.9624"/>
  </r>
  <r>
    <s v="Brand ABC TDM"/>
    <x v="2"/>
    <s v="Mens"/>
    <x v="7"/>
    <s v="A1B3L-ECV5"/>
    <x v="23"/>
    <s v="L"/>
    <x v="1"/>
    <d v="2024-10-28T00:00:00"/>
    <d v="2024-10-28T00:00:00"/>
    <n v="0"/>
    <n v="0"/>
    <n v="0"/>
    <n v="6"/>
    <n v="307.93560000000002"/>
  </r>
  <r>
    <s v="Brand ABC TDM"/>
    <x v="2"/>
    <s v="Mens"/>
    <x v="7"/>
    <s v="A1B3L-ECV5"/>
    <x v="23"/>
    <s v="M"/>
    <x v="1"/>
    <d v="2024-10-28T00:00:00"/>
    <d v="2024-12-11T00:00:00"/>
    <n v="2"/>
    <n v="103.0265"/>
    <n v="289.72000000000003"/>
    <n v="7"/>
    <n v="364.2149"/>
  </r>
  <r>
    <s v="Brand ABC TDM"/>
    <x v="2"/>
    <s v="Mens"/>
    <x v="7"/>
    <s v="A1B3L-ECV5"/>
    <x v="23"/>
    <s v="S"/>
    <x v="1"/>
    <d v="2024-10-28T00:00:00"/>
    <d v="2024-12-20T00:00:00"/>
    <n v="0"/>
    <n v="0"/>
    <n v="0"/>
    <n v="5"/>
    <n v="256.613"/>
  </r>
  <r>
    <s v="Brand ABC TDM"/>
    <x v="2"/>
    <s v="Mens"/>
    <x v="7"/>
    <s v="A1B3L-ECV5"/>
    <x v="23"/>
    <s v="XL"/>
    <x v="1"/>
    <d v="2024-10-28T00:00:00"/>
    <d v="2024-12-17T00:00:00"/>
    <n v="0"/>
    <n v="0"/>
    <n v="0"/>
    <n v="3"/>
    <n v="153.96780000000001"/>
  </r>
  <r>
    <s v="Brand ABC TDM"/>
    <x v="2"/>
    <s v="Mens"/>
    <x v="7"/>
    <s v="A1B3L-ECV5"/>
    <x v="23"/>
    <s v="XS"/>
    <x v="1"/>
    <d v="2024-10-28T00:00:00"/>
    <d v="2024-10-28T00:00:00"/>
    <n v="0"/>
    <n v="0"/>
    <n v="0"/>
    <n v="3"/>
    <n v="153.96780000000001"/>
  </r>
  <r>
    <s v="Brand ABC TDM"/>
    <x v="2"/>
    <s v="Mens"/>
    <x v="7"/>
    <s v="A1B3L-GB7X"/>
    <x v="23"/>
    <s v="L"/>
    <x v="2"/>
    <d v="2024-10-26T00:00:00"/>
    <d v="2024-12-20T00:00:00"/>
    <n v="2"/>
    <n v="107.14490000000001"/>
    <n v="289.70999999999998"/>
    <n v="8"/>
    <n v="429.19439999999997"/>
  </r>
  <r>
    <s v="Brand ABC TDM"/>
    <x v="2"/>
    <s v="Mens"/>
    <x v="7"/>
    <s v="A1B3L-GB7X"/>
    <x v="23"/>
    <s v="M"/>
    <x v="2"/>
    <d v="2024-10-26T00:00:00"/>
    <d v="2024-12-20T00:00:00"/>
    <n v="1"/>
    <n v="53.507199999999997"/>
    <n v="160.94999999999999"/>
    <n v="9"/>
    <n v="481.56479999999999"/>
  </r>
  <r>
    <s v="Brand ABC TDM"/>
    <x v="2"/>
    <s v="Mens"/>
    <x v="7"/>
    <s v="A1B3L-GB7X"/>
    <x v="23"/>
    <s v="S"/>
    <x v="2"/>
    <d v="2024-10-26T00:00:00"/>
    <d v="2024-12-10T00:00:00"/>
    <n v="0"/>
    <n v="0"/>
    <n v="0"/>
    <n v="7"/>
    <n v="369.29689999999999"/>
  </r>
  <r>
    <s v="Brand ABC TDM"/>
    <x v="2"/>
    <s v="Mens"/>
    <x v="7"/>
    <s v="A1B3L-GB7X"/>
    <x v="23"/>
    <s v="XL"/>
    <x v="2"/>
    <d v="2024-10-26T00:00:00"/>
    <d v="2024-12-10T00:00:00"/>
    <n v="0"/>
    <n v="0"/>
    <n v="0"/>
    <n v="4"/>
    <n v="215.96559999999999"/>
  </r>
  <r>
    <s v="Brand ABC TDM"/>
    <x v="2"/>
    <s v="Mens"/>
    <x v="7"/>
    <s v="A1B3L-GB7X"/>
    <x v="23"/>
    <s v="XS"/>
    <x v="2"/>
    <d v="2024-10-26T00:00:00"/>
    <d v="2024-10-26T00:00:00"/>
    <n v="0"/>
    <n v="0"/>
    <n v="0"/>
    <n v="4"/>
    <n v="205.29040000000001"/>
  </r>
  <r>
    <s v="Brand ABC TDM"/>
    <x v="2"/>
    <s v="Mens"/>
    <x v="7"/>
    <s v="A1B3L-NCRB"/>
    <x v="23"/>
    <s v="L"/>
    <x v="1"/>
    <d v="2024-10-26T00:00:00"/>
    <d v="2024-12-21T00:00:00"/>
    <n v="31"/>
    <n v="1628.0237999999999"/>
    <n v="4506.62"/>
    <n v="10"/>
    <n v="538.04"/>
  </r>
  <r>
    <s v="Brand ABC TDM"/>
    <x v="2"/>
    <s v="Mens"/>
    <x v="7"/>
    <s v="A1B3L-NCRB"/>
    <x v="23"/>
    <s v="M"/>
    <x v="1"/>
    <d v="2024-10-26T00:00:00"/>
    <d v="2024-12-21T00:00:00"/>
    <n v="36"/>
    <n v="1883.8641"/>
    <n v="5255.08"/>
    <n v="12"/>
    <n v="643.67160000000001"/>
  </r>
  <r>
    <s v="Brand ABC TDM"/>
    <x v="2"/>
    <s v="Mens"/>
    <x v="7"/>
    <s v="A1B3L-NCRB"/>
    <x v="23"/>
    <s v="S"/>
    <x v="1"/>
    <d v="2024-10-26T00:00:00"/>
    <d v="2024-12-21T00:00:00"/>
    <n v="17"/>
    <n v="880.54729999999995"/>
    <n v="2462.5700000000002"/>
    <n v="8"/>
    <n v="423.86799999999999"/>
  </r>
  <r>
    <s v="Brand ABC TDM"/>
    <x v="2"/>
    <s v="Mens"/>
    <x v="7"/>
    <s v="A1B3L-NCRB"/>
    <x v="23"/>
    <s v="XL"/>
    <x v="1"/>
    <d v="2024-10-26T00:00:00"/>
    <d v="2024-12-21T00:00:00"/>
    <n v="8"/>
    <n v="421.25599999999997"/>
    <n v="1158.8599999999999"/>
    <n v="3"/>
    <n v="161.9742"/>
  </r>
  <r>
    <s v="Brand ABC TDM"/>
    <x v="2"/>
    <s v="Mens"/>
    <x v="7"/>
    <s v="A1B3L-NCRB"/>
    <x v="23"/>
    <s v="XS"/>
    <x v="1"/>
    <d v="2024-10-26T00:00:00"/>
    <d v="2024-12-17T00:00:00"/>
    <n v="2"/>
    <n v="102.6452"/>
    <n v="289.72000000000003"/>
    <n v="5"/>
    <n v="256.613"/>
  </r>
  <r>
    <s v="Brand ABC TDM"/>
    <x v="2"/>
    <s v="Mens"/>
    <x v="7"/>
    <s v="A1B3L-TBRL"/>
    <x v="23"/>
    <s v="L"/>
    <x v="1"/>
    <d v="2024-10-28T00:00:00"/>
    <d v="2024-10-28T00:00:00"/>
    <n v="0"/>
    <n v="0"/>
    <n v="0"/>
    <n v="6"/>
    <n v="307.93560000000002"/>
  </r>
  <r>
    <s v="Brand ABC TDM"/>
    <x v="2"/>
    <s v="Mens"/>
    <x v="7"/>
    <s v="A1B3L-TBRL"/>
    <x v="23"/>
    <s v="M"/>
    <x v="1"/>
    <d v="2024-10-28T00:00:00"/>
    <d v="2024-10-28T00:00:00"/>
    <n v="0"/>
    <n v="0"/>
    <n v="0"/>
    <n v="7"/>
    <n v="359.25819999999999"/>
  </r>
  <r>
    <s v="Brand ABC TDM"/>
    <x v="2"/>
    <s v="Mens"/>
    <x v="7"/>
    <s v="A1B3L-TBRL"/>
    <x v="23"/>
    <s v="S"/>
    <x v="1"/>
    <d v="2024-10-28T00:00:00"/>
    <d v="2024-10-28T00:00:00"/>
    <n v="0"/>
    <n v="0"/>
    <n v="0"/>
    <n v="5"/>
    <n v="256.613"/>
  </r>
  <r>
    <s v="Brand ABC TDM"/>
    <x v="2"/>
    <s v="Mens"/>
    <x v="7"/>
    <s v="A1B3L-TBRL"/>
    <x v="23"/>
    <s v="XL"/>
    <x v="1"/>
    <d v="2024-10-28T00:00:00"/>
    <d v="2024-10-28T00:00:00"/>
    <n v="0"/>
    <n v="0"/>
    <n v="0"/>
    <n v="3"/>
    <n v="153.96780000000001"/>
  </r>
  <r>
    <s v="Brand ABC TDM"/>
    <x v="2"/>
    <s v="Mens"/>
    <x v="7"/>
    <s v="A1B3L-TBRL"/>
    <x v="23"/>
    <s v="XS"/>
    <x v="1"/>
    <d v="2024-10-28T00:00:00"/>
    <d v="2024-10-28T00:00:00"/>
    <n v="0"/>
    <n v="0"/>
    <n v="0"/>
    <n v="3"/>
    <n v="153.96780000000001"/>
  </r>
  <r>
    <s v="Brand ABC TDM"/>
    <x v="2"/>
    <s v="Mens"/>
    <x v="7"/>
    <s v="A1B3M-BB2J"/>
    <x v="23"/>
    <s v="L"/>
    <x v="2"/>
    <d v="2024-11-09T00:00:00"/>
    <d v="2024-11-26T00:00:00"/>
    <n v="0"/>
    <n v="0"/>
    <n v="0"/>
    <n v="8"/>
    <n v="417.92"/>
  </r>
  <r>
    <s v="Brand ABC TDM"/>
    <x v="2"/>
    <s v="Mens"/>
    <x v="7"/>
    <s v="A1B3M-BB2J"/>
    <x v="23"/>
    <s v="M"/>
    <x v="2"/>
    <d v="2024-11-09T00:00:00"/>
    <d v="2024-11-27T00:00:00"/>
    <n v="0"/>
    <n v="0"/>
    <n v="0"/>
    <n v="10"/>
    <n v="527.80899999999997"/>
  </r>
  <r>
    <s v="Brand ABC TDM"/>
    <x v="2"/>
    <s v="Mens"/>
    <x v="7"/>
    <s v="A1B3M-BB2J"/>
    <x v="23"/>
    <s v="S"/>
    <x v="2"/>
    <d v="2024-11-09T00:00:00"/>
    <d v="2024-11-25T00:00:00"/>
    <n v="0"/>
    <n v="0"/>
    <n v="0"/>
    <n v="8"/>
    <n v="420.72719999999998"/>
  </r>
  <r>
    <s v="Brand ABC TDM"/>
    <x v="2"/>
    <s v="Mens"/>
    <x v="7"/>
    <s v="A1B3M-BB2J"/>
    <x v="23"/>
    <s v="XL"/>
    <x v="2"/>
    <d v="2024-11-09T00:00:00"/>
    <d v="2024-12-10T00:00:00"/>
    <n v="0"/>
    <n v="0"/>
    <n v="0"/>
    <n v="2"/>
    <n v="105.31399999999999"/>
  </r>
  <r>
    <s v="Brand ABC TDM"/>
    <x v="2"/>
    <s v="Mens"/>
    <x v="7"/>
    <s v="A1B3M-BB2J"/>
    <x v="23"/>
    <s v="XS"/>
    <x v="2"/>
    <d v="2024-11-09T00:00:00"/>
    <d v="2024-11-09T00:00:00"/>
    <n v="0"/>
    <n v="0"/>
    <n v="0"/>
    <n v="4"/>
    <n v="205.29040000000001"/>
  </r>
  <r>
    <s v="Brand ABC TDM"/>
    <x v="2"/>
    <s v="Mens"/>
    <x v="7"/>
    <s v="A1B3M-GB7X"/>
    <x v="23"/>
    <s v="L"/>
    <x v="2"/>
    <d v="2024-10-26T00:00:00"/>
    <d v="2024-11-21T00:00:00"/>
    <n v="0"/>
    <n v="0"/>
    <n v="0"/>
    <n v="8"/>
    <n v="413.24959999999999"/>
  </r>
  <r>
    <s v="Brand ABC TDM"/>
    <x v="2"/>
    <s v="Mens"/>
    <x v="7"/>
    <s v="A1B3M-GB7X"/>
    <x v="23"/>
    <s v="M"/>
    <x v="2"/>
    <d v="2024-10-26T00:00:00"/>
    <d v="2024-12-09T00:00:00"/>
    <n v="0"/>
    <n v="0"/>
    <n v="0"/>
    <n v="10"/>
    <n v="527.30700000000002"/>
  </r>
  <r>
    <s v="Brand ABC TDM"/>
    <x v="2"/>
    <s v="Mens"/>
    <x v="7"/>
    <s v="A1B3M-GB7X"/>
    <x v="23"/>
    <s v="S"/>
    <x v="2"/>
    <d v="2024-10-26T00:00:00"/>
    <d v="2024-12-04T00:00:00"/>
    <n v="0"/>
    <n v="0"/>
    <n v="0"/>
    <n v="7"/>
    <n v="364.2149"/>
  </r>
  <r>
    <s v="Brand ABC TDM"/>
    <x v="2"/>
    <s v="Mens"/>
    <x v="7"/>
    <s v="A1B3M-GB7X"/>
    <x v="23"/>
    <s v="XL"/>
    <x v="2"/>
    <d v="2024-10-26T00:00:00"/>
    <d v="2024-12-10T00:00:00"/>
    <n v="0"/>
    <n v="0"/>
    <n v="0"/>
    <n v="4"/>
    <n v="213.964"/>
  </r>
  <r>
    <s v="Brand ABC TDM"/>
    <x v="2"/>
    <s v="Mens"/>
    <x v="7"/>
    <s v="A1B3M-GB7X"/>
    <x v="23"/>
    <s v="XS"/>
    <x v="2"/>
    <d v="2024-10-26T00:00:00"/>
    <d v="2024-11-22T00:00:00"/>
    <n v="0"/>
    <n v="0"/>
    <n v="0"/>
    <n v="5"/>
    <n v="259.94900000000001"/>
  </r>
  <r>
    <s v="Brand ABC TDM"/>
    <x v="2"/>
    <s v="Mens"/>
    <x v="7"/>
    <s v="A2A1L-BBBB"/>
    <x v="14"/>
    <s v="L"/>
    <x v="0"/>
    <d v="2024-10-28T00:00:00"/>
    <d v="2024-12-17T00:00:00"/>
    <n v="15"/>
    <n v="635.67079999999999"/>
    <n v="1541.25"/>
    <n v="6"/>
    <n v="258.57240000000002"/>
  </r>
  <r>
    <s v="Brand ABC TDM"/>
    <x v="2"/>
    <s v="Mens"/>
    <x v="7"/>
    <s v="A2A1L-BBBB"/>
    <x v="14"/>
    <s v="M"/>
    <x v="0"/>
    <d v="2024-10-28T00:00:00"/>
    <d v="2024-12-21T00:00:00"/>
    <n v="22"/>
    <n v="935.34280000000001"/>
    <n v="2255.33"/>
    <n v="5"/>
    <n v="215.60300000000001"/>
  </r>
  <r>
    <s v="Brand ABC TDM"/>
    <x v="2"/>
    <s v="Mens"/>
    <x v="7"/>
    <s v="A2A1L-BBBB"/>
    <x v="14"/>
    <s v="S"/>
    <x v="0"/>
    <d v="2024-10-28T00:00:00"/>
    <d v="2024-12-21T00:00:00"/>
    <n v="10"/>
    <n v="422.2629"/>
    <n v="1054"/>
    <n v="4"/>
    <n v="171.76480000000001"/>
  </r>
  <r>
    <s v="Brand ABC TDM"/>
    <x v="2"/>
    <s v="Mens"/>
    <x v="7"/>
    <s v="A2A1L-BBBB"/>
    <x v="14"/>
    <s v="XS"/>
    <x v="0"/>
    <d v="2024-10-28T00:00:00"/>
    <d v="2024-12-18T00:00:00"/>
    <n v="2"/>
    <n v="82.827699999999993"/>
    <n v="215.33"/>
    <n v="3"/>
    <n v="126.7323"/>
  </r>
  <r>
    <s v="Brand ABC TDM"/>
    <x v="2"/>
    <s v="Mens"/>
    <x v="7"/>
    <s v="A2A1L-ECJQ"/>
    <x v="14"/>
    <s v="L"/>
    <x v="0"/>
    <d v="2024-10-28T00:00:00"/>
    <d v="2024-12-04T00:00:00"/>
    <n v="2"/>
    <n v="82.543199999999999"/>
    <n v="204"/>
    <n v="6"/>
    <n v="250.61879999999999"/>
  </r>
  <r>
    <s v="Brand ABC TDM"/>
    <x v="2"/>
    <s v="Mens"/>
    <x v="7"/>
    <s v="A2A1L-ECJQ"/>
    <x v="14"/>
    <s v="M"/>
    <x v="0"/>
    <d v="2024-10-28T00:00:00"/>
    <d v="2024-12-17T00:00:00"/>
    <n v="1"/>
    <n v="41.058100000000003"/>
    <n v="102"/>
    <n v="7"/>
    <n v="289.54169999999999"/>
  </r>
  <r>
    <s v="Brand ABC TDM"/>
    <x v="2"/>
    <s v="Mens"/>
    <x v="7"/>
    <s v="A2A1L-ECJQ"/>
    <x v="14"/>
    <s v="S"/>
    <x v="0"/>
    <d v="2024-10-28T00:00:00"/>
    <d v="2024-12-04T00:00:00"/>
    <n v="1"/>
    <n v="41.058100000000003"/>
    <n v="102"/>
    <n v="5"/>
    <n v="207.4255"/>
  </r>
  <r>
    <s v="Brand ABC TDM"/>
    <x v="2"/>
    <s v="Mens"/>
    <x v="7"/>
    <s v="A2A1L-ECJQ"/>
    <x v="14"/>
    <s v="XL"/>
    <x v="0"/>
    <d v="2024-10-28T00:00:00"/>
    <d v="2024-10-28T00:00:00"/>
    <n v="0"/>
    <n v="0"/>
    <n v="0"/>
    <n v="3"/>
    <n v="123.1743"/>
  </r>
  <r>
    <s v="Brand ABC TDM"/>
    <x v="2"/>
    <s v="Mens"/>
    <x v="7"/>
    <s v="A2A1L-ECJQ"/>
    <x v="14"/>
    <s v="XS"/>
    <x v="0"/>
    <d v="2024-10-28T00:00:00"/>
    <d v="2024-10-28T00:00:00"/>
    <n v="0"/>
    <n v="0"/>
    <n v="0"/>
    <n v="2"/>
    <n v="82.116200000000006"/>
  </r>
  <r>
    <s v="Brand ABC TDM"/>
    <x v="2"/>
    <s v="Mens"/>
    <x v="7"/>
    <s v="A2A1L-RBS6"/>
    <x v="14"/>
    <s v="S"/>
    <x v="0"/>
    <d v="2024-10-28T00:00:00"/>
    <d v="2024-11-29T00:00:00"/>
    <n v="1"/>
    <n v="41.058"/>
    <n v="102"/>
    <n v="0"/>
    <n v="0"/>
  </r>
  <r>
    <s v="Brand ABC TDM"/>
    <x v="2"/>
    <s v="Mens"/>
    <x v="7"/>
    <s v="A2A1M-KB7D"/>
    <x v="14"/>
    <s v="L"/>
    <x v="1"/>
    <d v="2024-10-28T00:00:00"/>
    <d v="2024-12-21T00:00:00"/>
    <n v="10"/>
    <n v="386.14789999999999"/>
    <n v="1053.99"/>
    <n v="6"/>
    <n v="236.0532"/>
  </r>
  <r>
    <s v="Brand ABC TDM"/>
    <x v="2"/>
    <s v="Mens"/>
    <x v="7"/>
    <s v="A2A1M-KB7D"/>
    <x v="14"/>
    <s v="M"/>
    <x v="1"/>
    <d v="2024-10-28T00:00:00"/>
    <d v="2024-12-21T00:00:00"/>
    <n v="14"/>
    <n v="542.18730000000005"/>
    <n v="1428"/>
    <n v="6"/>
    <n v="236.54339999999999"/>
  </r>
  <r>
    <s v="Brand ABC TDM"/>
    <x v="2"/>
    <s v="Mens"/>
    <x v="7"/>
    <s v="A2A1M-KB7D"/>
    <x v="14"/>
    <s v="S"/>
    <x v="1"/>
    <d v="2024-10-28T00:00:00"/>
    <d v="2024-12-20T00:00:00"/>
    <n v="2"/>
    <n v="75.719899999999996"/>
    <n v="215.33"/>
    <n v="5"/>
    <n v="191.846"/>
  </r>
  <r>
    <s v="Brand ABC TDM"/>
    <x v="2"/>
    <s v="Mens"/>
    <x v="7"/>
    <s v="A2A1M-KB7D"/>
    <x v="14"/>
    <s v="XL"/>
    <x v="1"/>
    <d v="2024-10-28T00:00:00"/>
    <d v="2024-11-26T00:00:00"/>
    <n v="4"/>
    <n v="152.61240000000001"/>
    <n v="408"/>
    <n v="0"/>
    <n v="0"/>
  </r>
  <r>
    <s v="Brand ABC TDM"/>
    <x v="2"/>
    <s v="Mens"/>
    <x v="7"/>
    <s v="A2A1M-KB7D"/>
    <x v="14"/>
    <s v="XS"/>
    <x v="1"/>
    <d v="2024-10-28T00:00:00"/>
    <d v="2024-12-17T00:00:00"/>
    <n v="1"/>
    <n v="37.663499999999999"/>
    <n v="102"/>
    <n v="3"/>
    <n v="114.94889999999999"/>
  </r>
  <r>
    <s v="Brand ABC TDM"/>
    <x v="2"/>
    <s v="Mens"/>
    <x v="7"/>
    <s v="A2A1M-WBBM"/>
    <x v="14"/>
    <s v="L"/>
    <x v="0"/>
    <d v="2024-10-28T00:00:00"/>
    <d v="2024-12-21T00:00:00"/>
    <n v="8"/>
    <n v="320.4391"/>
    <n v="815.9"/>
    <n v="6"/>
    <n v="245.39519999999999"/>
  </r>
  <r>
    <s v="Brand ABC TDM"/>
    <x v="2"/>
    <s v="Mens"/>
    <x v="7"/>
    <s v="A2A1M-WBBM"/>
    <x v="14"/>
    <s v="M"/>
    <x v="0"/>
    <d v="2024-10-28T00:00:00"/>
    <d v="2024-12-21T00:00:00"/>
    <n v="14"/>
    <n v="548.08240000000001"/>
    <n v="1439.34"/>
    <n v="8"/>
    <n v="318.99200000000002"/>
  </r>
  <r>
    <s v="Brand ABC TDM"/>
    <x v="2"/>
    <s v="Mens"/>
    <x v="7"/>
    <s v="A2A1M-WBBM"/>
    <x v="14"/>
    <s v="S"/>
    <x v="0"/>
    <d v="2024-10-28T00:00:00"/>
    <d v="2024-12-21T00:00:00"/>
    <n v="8"/>
    <n v="309.22789999999998"/>
    <n v="804.67"/>
    <n v="5"/>
    <n v="197.12350000000001"/>
  </r>
  <r>
    <s v="Brand ABC TDM"/>
    <x v="2"/>
    <s v="Mens"/>
    <x v="7"/>
    <s v="A2A1M-WBBM"/>
    <x v="14"/>
    <s v="XL"/>
    <x v="0"/>
    <d v="2024-10-28T00:00:00"/>
    <d v="2024-12-11T00:00:00"/>
    <n v="6"/>
    <n v="240.0839"/>
    <n v="612"/>
    <n v="3"/>
    <n v="120.7251"/>
  </r>
  <r>
    <s v="Brand ABC TDM"/>
    <x v="2"/>
    <s v="Mens"/>
    <x v="7"/>
    <s v="A2A1M-WBBM"/>
    <x v="14"/>
    <s v="XS"/>
    <x v="0"/>
    <d v="2024-10-28T00:00:00"/>
    <d v="2024-12-17T00:00:00"/>
    <n v="0"/>
    <n v="0"/>
    <n v="0"/>
    <n v="3"/>
    <n v="112.9905"/>
  </r>
  <r>
    <s v="Brand ABC TDM"/>
    <x v="2"/>
    <s v="Mens"/>
    <x v="7"/>
    <s v="A4A8K-GB8N"/>
    <x v="8"/>
    <s v="L"/>
    <x v="0"/>
    <d v="2024-05-20T00:00:00"/>
    <d v="2024-11-21T00:00:00"/>
    <n v="21"/>
    <n v="1318.9469999999999"/>
    <n v="3563.02"/>
    <n v="0"/>
    <n v="0"/>
  </r>
  <r>
    <s v="Brand ABC TDM"/>
    <x v="2"/>
    <s v="Mens"/>
    <x v="7"/>
    <s v="A4A8K-GB8N"/>
    <x v="8"/>
    <s v="M"/>
    <x v="0"/>
    <d v="2024-05-20T00:00:00"/>
    <d v="2024-11-21T00:00:00"/>
    <n v="23"/>
    <n v="1433.9366"/>
    <n v="3998.95"/>
    <n v="2"/>
    <n v="128.15559999999999"/>
  </r>
  <r>
    <s v="Brand ABC TDM"/>
    <x v="2"/>
    <s v="Mens"/>
    <x v="7"/>
    <s v="A4A8K-GB8N"/>
    <x v="8"/>
    <s v="S"/>
    <x v="0"/>
    <d v="2024-05-20T00:00:00"/>
    <d v="2024-11-21T00:00:00"/>
    <n v="11"/>
    <n v="690.26700000000005"/>
    <n v="1895.24"/>
    <n v="3"/>
    <n v="194.36850000000001"/>
  </r>
  <r>
    <s v="Brand ABC TDM"/>
    <x v="2"/>
    <s v="Mens"/>
    <x v="7"/>
    <s v="A4A8K-GB8N"/>
    <x v="8"/>
    <s v="XL"/>
    <x v="0"/>
    <d v="2024-05-20T00:00:00"/>
    <d v="2024-11-12T00:00:00"/>
    <n v="5"/>
    <n v="307.935"/>
    <n v="852.85"/>
    <n v="0"/>
    <n v="0"/>
  </r>
  <r>
    <s v="Brand ABC TDM"/>
    <x v="2"/>
    <s v="Mens"/>
    <x v="7"/>
    <s v="A4A8K-GB8N"/>
    <x v="8"/>
    <s v="XS"/>
    <x v="0"/>
    <d v="2024-05-20T00:00:00"/>
    <d v="2024-11-21T00:00:00"/>
    <n v="4"/>
    <n v="246.34800000000001"/>
    <n v="644.38"/>
    <n v="2"/>
    <n v="129.57900000000001"/>
  </r>
  <r>
    <s v="Brand ABC TDM"/>
    <x v="2"/>
    <s v="Mens"/>
    <x v="7"/>
    <s v="A4A8K-GCWD"/>
    <x v="24"/>
    <s v="L"/>
    <x v="1"/>
    <d v="2024-10-26T00:00:00"/>
    <d v="2024-11-14T00:00:00"/>
    <n v="8"/>
    <n v="492.69600000000003"/>
    <n v="1383.53"/>
    <n v="0"/>
    <n v="0"/>
  </r>
  <r>
    <s v="Brand ABC TDM"/>
    <x v="2"/>
    <s v="Mens"/>
    <x v="7"/>
    <s v="A4A8K-GCWD"/>
    <x v="24"/>
    <s v="M"/>
    <x v="1"/>
    <d v="2024-10-25T00:00:00"/>
    <d v="2024-11-14T00:00:00"/>
    <n v="11"/>
    <n v="677.45699999999999"/>
    <n v="1876.27"/>
    <n v="1"/>
    <n v="61.587000000000003"/>
  </r>
  <r>
    <s v="Brand ABC TDM"/>
    <x v="2"/>
    <s v="Mens"/>
    <x v="7"/>
    <s v="A4A8K-GCWD"/>
    <x v="24"/>
    <s v="S"/>
    <x v="1"/>
    <d v="2024-10-26T00:00:00"/>
    <d v="2024-11-15T00:00:00"/>
    <n v="8"/>
    <n v="492.69600000000003"/>
    <n v="1364.59"/>
    <n v="0"/>
    <n v="0"/>
  </r>
  <r>
    <s v="Brand ABC TDM"/>
    <x v="2"/>
    <s v="Mens"/>
    <x v="7"/>
    <s v="A4A8K-GCWD"/>
    <x v="24"/>
    <s v="XL"/>
    <x v="1"/>
    <d v="2024-10-26T00:00:00"/>
    <d v="2024-10-26T00:00:00"/>
    <n v="3"/>
    <n v="184.761"/>
    <n v="511.73"/>
    <n v="0"/>
    <n v="0"/>
  </r>
  <r>
    <s v="Brand ABC TDM"/>
    <x v="2"/>
    <s v="Mens"/>
    <x v="7"/>
    <s v="A4A8K-GCWD"/>
    <x v="24"/>
    <s v="XS"/>
    <x v="1"/>
    <d v="2024-10-25T00:00:00"/>
    <d v="2024-11-15T00:00:00"/>
    <n v="4"/>
    <n v="246.34800000000001"/>
    <n v="682.28"/>
    <n v="0"/>
    <n v="0"/>
  </r>
  <r>
    <s v="Brand ABC TDM"/>
    <x v="2"/>
    <s v="Mens"/>
    <x v="7"/>
    <s v="A4A8K-PBVT"/>
    <x v="8"/>
    <s v="L"/>
    <x v="3"/>
    <d v="2024-10-28T00:00:00"/>
    <d v="2024-12-17T00:00:00"/>
    <n v="4"/>
    <n v="249.29429999999999"/>
    <n v="720.2"/>
    <n v="4"/>
    <n v="253.00919999999999"/>
  </r>
  <r>
    <s v="Brand ABC TDM"/>
    <x v="2"/>
    <s v="Mens"/>
    <x v="7"/>
    <s v="A4A8K-PBVT"/>
    <x v="8"/>
    <s v="M"/>
    <x v="3"/>
    <d v="2024-10-28T00:00:00"/>
    <d v="2024-12-21T00:00:00"/>
    <n v="4"/>
    <n v="249.2097"/>
    <n v="701.24"/>
    <n v="6"/>
    <n v="379.47120000000001"/>
  </r>
  <r>
    <s v="Brand ABC TDM"/>
    <x v="2"/>
    <s v="Mens"/>
    <x v="7"/>
    <s v="A4A8K-PBVT"/>
    <x v="8"/>
    <s v="S"/>
    <x v="3"/>
    <d v="2024-10-28T00:00:00"/>
    <d v="2024-12-17T00:00:00"/>
    <n v="0"/>
    <n v="0"/>
    <n v="0"/>
    <n v="4"/>
    <n v="246.34800000000001"/>
  </r>
  <r>
    <s v="Brand ABC TDM"/>
    <x v="2"/>
    <s v="Mens"/>
    <x v="7"/>
    <s v="A4A8K-PBVT"/>
    <x v="8"/>
    <s v="XL"/>
    <x v="3"/>
    <d v="2024-10-28T00:00:00"/>
    <d v="2024-10-28T00:00:00"/>
    <n v="0"/>
    <n v="0"/>
    <n v="0"/>
    <n v="2"/>
    <n v="123.17400000000001"/>
  </r>
  <r>
    <s v="Brand ABC TDM"/>
    <x v="2"/>
    <s v="Mens"/>
    <x v="7"/>
    <s v="A4A8K-PBVT"/>
    <x v="8"/>
    <s v="XS"/>
    <x v="3"/>
    <d v="2024-10-28T00:00:00"/>
    <d v="2024-10-28T00:00:00"/>
    <n v="0"/>
    <n v="0"/>
    <n v="0"/>
    <n v="1"/>
    <n v="61.587000000000003"/>
  </r>
  <r>
    <s v="Brand ABC TDM"/>
    <x v="2"/>
    <s v="Mens"/>
    <x v="7"/>
    <s v="A4A8K-UCMS"/>
    <x v="8"/>
    <s v="L"/>
    <x v="0"/>
    <d v="2024-10-26T00:00:00"/>
    <d v="2024-11-15T00:00:00"/>
    <n v="8"/>
    <n v="492.69600000000003"/>
    <n v="1383.54"/>
    <n v="0"/>
    <n v="0"/>
  </r>
  <r>
    <s v="Brand ABC TDM"/>
    <x v="2"/>
    <s v="Mens"/>
    <x v="7"/>
    <s v="A4A8K-UCMS"/>
    <x v="8"/>
    <s v="M"/>
    <x v="0"/>
    <d v="2024-10-26T00:00:00"/>
    <d v="2024-11-14T00:00:00"/>
    <n v="8"/>
    <n v="492.69600000000003"/>
    <n v="1383.56"/>
    <n v="1"/>
    <n v="61.587000000000003"/>
  </r>
  <r>
    <s v="Brand ABC TDM"/>
    <x v="2"/>
    <s v="Mens"/>
    <x v="7"/>
    <s v="A4A8K-UCMS"/>
    <x v="8"/>
    <s v="S"/>
    <x v="0"/>
    <d v="2024-10-26T00:00:00"/>
    <d v="2024-11-12T00:00:00"/>
    <n v="5"/>
    <n v="307.935"/>
    <n v="852.86"/>
    <n v="0"/>
    <n v="0"/>
  </r>
  <r>
    <s v="Brand ABC TDM"/>
    <x v="2"/>
    <s v="Mens"/>
    <x v="7"/>
    <s v="A4A8K-UCMS"/>
    <x v="8"/>
    <s v="XL"/>
    <x v="0"/>
    <d v="2024-10-26T00:00:00"/>
    <d v="2024-11-13T00:00:00"/>
    <n v="5"/>
    <n v="307.935"/>
    <n v="852.85"/>
    <n v="0"/>
    <n v="0"/>
  </r>
  <r>
    <s v="Brand ABC TDM"/>
    <x v="2"/>
    <s v="Mens"/>
    <x v="7"/>
    <s v="A4A8K-UCMS"/>
    <x v="8"/>
    <s v="XS"/>
    <x v="0"/>
    <d v="2024-10-25T00:00:00"/>
    <d v="2024-10-25T00:00:00"/>
    <n v="1"/>
    <n v="61.587000000000003"/>
    <n v="170.57"/>
    <n v="0"/>
    <n v="0"/>
  </r>
  <r>
    <s v="Brand ABC TDM"/>
    <x v="2"/>
    <s v="Mens"/>
    <x v="7"/>
    <s v="A5A6C-ECJF"/>
    <x v="16"/>
    <s v="M"/>
    <x v="0"/>
    <d v="2024-10-25T00:00:00"/>
    <d v="2024-11-21T00:00:00"/>
    <n v="1"/>
    <n v="76.983800000000002"/>
    <n v="204.86"/>
    <n v="0"/>
    <n v="0"/>
  </r>
  <r>
    <s v="Brand ABC TDM"/>
    <x v="2"/>
    <s v="Mens"/>
    <x v="7"/>
    <s v="A5A6C-ECJF"/>
    <x v="16"/>
    <s v="XL"/>
    <x v="0"/>
    <d v="2024-10-25T00:00:00"/>
    <d v="2024-10-25T00:00:00"/>
    <n v="1"/>
    <n v="76.983800000000002"/>
    <n v="227.62"/>
    <n v="0"/>
    <n v="0"/>
  </r>
  <r>
    <s v="Brand ABC TDM"/>
    <x v="2"/>
    <s v="Mens"/>
    <x v="7"/>
    <s v="A5A6C-ECJF"/>
    <x v="16"/>
    <s v="XS"/>
    <x v="0"/>
    <d v="2024-10-25T00:00:00"/>
    <d v="2024-10-25T00:00:00"/>
    <n v="1"/>
    <n v="76.983800000000002"/>
    <n v="204.86"/>
    <n v="0"/>
    <n v="0"/>
  </r>
  <r>
    <s v="Brand ABC TDM"/>
    <x v="2"/>
    <s v="Mens"/>
    <x v="7"/>
    <s v="A5A6Q-BB2J"/>
    <x v="16"/>
    <s v="L"/>
    <x v="0"/>
    <d v="2024-05-20T00:00:00"/>
    <d v="2024-10-25T00:00:00"/>
    <n v="0"/>
    <n v="0"/>
    <n v="0"/>
    <n v="6"/>
    <n v="461.90280000000001"/>
  </r>
  <r>
    <s v="Brand ABC TDM"/>
    <x v="2"/>
    <s v="Mens"/>
    <x v="7"/>
    <s v="A5A6Q-BB2J"/>
    <x v="16"/>
    <s v="M"/>
    <x v="0"/>
    <d v="2024-05-20T00:00:00"/>
    <d v="2024-10-25T00:00:00"/>
    <n v="0"/>
    <n v="0"/>
    <n v="0"/>
    <n v="6"/>
    <n v="461.90280000000001"/>
  </r>
  <r>
    <s v="Brand ABC TDM"/>
    <x v="2"/>
    <s v="Mens"/>
    <x v="7"/>
    <s v="A5A6Q-BB2J"/>
    <x v="16"/>
    <s v="S"/>
    <x v="0"/>
    <d v="2024-05-20T00:00:00"/>
    <d v="2024-10-25T00:00:00"/>
    <n v="0"/>
    <n v="0"/>
    <n v="0"/>
    <n v="5"/>
    <n v="384.91899999999998"/>
  </r>
  <r>
    <s v="Brand ABC TDM"/>
    <x v="2"/>
    <s v="Mens"/>
    <x v="7"/>
    <s v="A5A6Q-BB2J"/>
    <x v="16"/>
    <s v="XL"/>
    <x v="0"/>
    <d v="2024-05-20T00:00:00"/>
    <d v="2024-10-25T00:00:00"/>
    <n v="0"/>
    <n v="0"/>
    <n v="0"/>
    <n v="3"/>
    <n v="230.95140000000001"/>
  </r>
  <r>
    <s v="Brand ABC TDM"/>
    <x v="2"/>
    <s v="Mens"/>
    <x v="7"/>
    <s v="A5A6Q-BB2J"/>
    <x v="16"/>
    <s v="XS"/>
    <x v="0"/>
    <d v="2024-05-20T00:00:00"/>
    <d v="2024-10-25T00:00:00"/>
    <n v="0"/>
    <n v="0"/>
    <n v="0"/>
    <n v="3"/>
    <n v="230.95140000000001"/>
  </r>
  <r>
    <s v="Brand ABC TDM"/>
    <x v="2"/>
    <s v="Mens"/>
    <x v="7"/>
    <s v="A5A7V-WCDL"/>
    <x v="23"/>
    <s v="XL"/>
    <x v="3"/>
    <d v="2024-10-25T00:00:00"/>
    <d v="2024-10-25T00:00:00"/>
    <n v="0"/>
    <n v="0"/>
    <n v="0"/>
    <n v="1"/>
    <n v="54.797899999999998"/>
  </r>
  <r>
    <s v="Brand ABC TDM"/>
    <x v="2"/>
    <s v="Mens"/>
    <x v="7"/>
    <s v="A5A9S-BB2J"/>
    <x v="11"/>
    <s v="L"/>
    <x v="0"/>
    <d v="2024-10-28T00:00:00"/>
    <d v="2024-12-20T00:00:00"/>
    <n v="8"/>
    <n v="419.64280000000002"/>
    <n v="1142.76"/>
    <n v="6"/>
    <n v="320.22480000000002"/>
  </r>
  <r>
    <s v="Brand ABC TDM"/>
    <x v="2"/>
    <s v="Mens"/>
    <x v="7"/>
    <s v="A5A9S-BB2J"/>
    <x v="11"/>
    <s v="M"/>
    <x v="0"/>
    <d v="2024-10-28T00:00:00"/>
    <d v="2024-12-20T00:00:00"/>
    <n v="13"/>
    <n v="684.71929999999998"/>
    <n v="1899.25"/>
    <n v="6"/>
    <n v="322.43700000000001"/>
  </r>
  <r>
    <s v="Brand ABC TDM"/>
    <x v="2"/>
    <s v="Mens"/>
    <x v="7"/>
    <s v="A5A9S-BB2J"/>
    <x v="11"/>
    <s v="S"/>
    <x v="0"/>
    <d v="2024-10-28T00:00:00"/>
    <d v="2024-12-20T00:00:00"/>
    <n v="10"/>
    <n v="527.61959999999999"/>
    <n v="1512.98"/>
    <n v="5"/>
    <n v="268.90800000000002"/>
  </r>
  <r>
    <s v="Brand ABC TDM"/>
    <x v="2"/>
    <s v="Mens"/>
    <x v="7"/>
    <s v="A5A9S-BB2J"/>
    <x v="11"/>
    <s v="XS"/>
    <x v="0"/>
    <d v="2024-10-28T00:00:00"/>
    <d v="2024-12-18T00:00:00"/>
    <n v="1"/>
    <n v="51.322600000000001"/>
    <n v="160.94999999999999"/>
    <n v="3"/>
    <n v="156.63659999999999"/>
  </r>
  <r>
    <s v="Brand ABC TDM"/>
    <x v="2"/>
    <s v="Mens"/>
    <x v="7"/>
    <s v="A5A9S-NCCZ"/>
    <x v="11"/>
    <s v="L"/>
    <x v="1"/>
    <d v="2024-10-28T00:00:00"/>
    <d v="2024-12-17T00:00:00"/>
    <n v="5"/>
    <n v="260.37950000000001"/>
    <n v="740.37"/>
    <n v="5"/>
    <n v="263.52199999999999"/>
  </r>
  <r>
    <s v="Brand ABC TDM"/>
    <x v="2"/>
    <s v="Mens"/>
    <x v="7"/>
    <s v="A5A9S-NCCZ"/>
    <x v="11"/>
    <s v="M"/>
    <x v="1"/>
    <d v="2024-10-28T00:00:00"/>
    <d v="2024-12-10T00:00:00"/>
    <n v="3"/>
    <n v="155.05719999999999"/>
    <n v="434.58"/>
    <n v="7"/>
    <n v="366.17559999999997"/>
  </r>
  <r>
    <s v="Brand ABC TDM"/>
    <x v="2"/>
    <s v="Mens"/>
    <x v="7"/>
    <s v="A5A9S-NCCZ"/>
    <x v="11"/>
    <s v="S"/>
    <x v="1"/>
    <d v="2024-10-28T00:00:00"/>
    <d v="2024-12-10T00:00:00"/>
    <n v="1"/>
    <n v="51.322600000000001"/>
    <n v="144.86000000000001"/>
    <n v="5"/>
    <n v="259.28199999999998"/>
  </r>
  <r>
    <s v="Brand ABC TDM"/>
    <x v="2"/>
    <s v="Mens"/>
    <x v="7"/>
    <s v="A5A9S-NCCZ"/>
    <x v="11"/>
    <s v="XL"/>
    <x v="1"/>
    <d v="2024-10-28T00:00:00"/>
    <d v="2024-10-28T00:00:00"/>
    <n v="1"/>
    <n v="51.322600000000001"/>
    <n v="144.86000000000001"/>
    <n v="1"/>
    <n v="51.322600000000001"/>
  </r>
  <r>
    <s v="Brand ABC TDM"/>
    <x v="2"/>
    <s v="Mens"/>
    <x v="7"/>
    <s v="A5A9S-NCCZ"/>
    <x v="11"/>
    <s v="XS"/>
    <x v="1"/>
    <d v="2024-10-28T00:00:00"/>
    <d v="2024-10-28T00:00:00"/>
    <n v="0"/>
    <n v="0"/>
    <n v="0"/>
    <n v="3"/>
    <n v="153.96780000000001"/>
  </r>
  <r>
    <s v="Brand ABC TDM"/>
    <x v="2"/>
    <s v="Mens"/>
    <x v="7"/>
    <s v="A6A5V-BB2J"/>
    <x v="19"/>
    <s v="L"/>
    <x v="0"/>
    <d v="2024-10-26T00:00:00"/>
    <d v="2024-11-21T00:00:00"/>
    <n v="18"/>
    <n v="983.04570000000001"/>
    <n v="2639.61"/>
    <n v="3"/>
    <n v="172.0461"/>
  </r>
  <r>
    <s v="Brand ABC TDM"/>
    <x v="2"/>
    <s v="Mens"/>
    <x v="7"/>
    <s v="A6A5V-BB2J"/>
    <x v="19"/>
    <s v="M"/>
    <x v="0"/>
    <d v="2024-10-26T00:00:00"/>
    <d v="2024-11-21T00:00:00"/>
    <n v="18"/>
    <n v="985.63679999999999"/>
    <n v="2615.5300000000002"/>
    <n v="1"/>
    <n v="57.386000000000003"/>
  </r>
  <r>
    <s v="Brand ABC TDM"/>
    <x v="2"/>
    <s v="Mens"/>
    <x v="7"/>
    <s v="A6A5V-BB2J"/>
    <x v="19"/>
    <s v="S"/>
    <x v="0"/>
    <d v="2024-10-26T00:00:00"/>
    <d v="2024-11-21T00:00:00"/>
    <n v="8"/>
    <n v="438.06079999999997"/>
    <n v="1174.97"/>
    <n v="9"/>
    <n v="518.44500000000005"/>
  </r>
  <r>
    <s v="Brand ABC TDM"/>
    <x v="2"/>
    <s v="Mens"/>
    <x v="7"/>
    <s v="A6A5V-BB2J"/>
    <x v="19"/>
    <s v="XL"/>
    <x v="0"/>
    <d v="2024-10-25T00:00:00"/>
    <d v="2024-11-13T00:00:00"/>
    <n v="6"/>
    <n v="328.54559999999998"/>
    <n v="869.16"/>
    <n v="0"/>
    <n v="0"/>
  </r>
  <r>
    <s v="Brand ABC TDM"/>
    <x v="2"/>
    <s v="Mens"/>
    <x v="7"/>
    <s v="A6A5V-GB7N"/>
    <x v="19"/>
    <s v="L"/>
    <x v="1"/>
    <d v="2024-10-26T00:00:00"/>
    <d v="2024-11-21T00:00:00"/>
    <n v="0"/>
    <n v="0"/>
    <n v="0"/>
    <n v="6"/>
    <n v="345.63"/>
  </r>
  <r>
    <s v="Brand ABC TDM"/>
    <x v="2"/>
    <s v="Mens"/>
    <x v="7"/>
    <s v="A6A5V-GB7N"/>
    <x v="19"/>
    <s v="M"/>
    <x v="1"/>
    <d v="2024-10-26T00:00:00"/>
    <d v="2024-11-21T00:00:00"/>
    <n v="0"/>
    <n v="0"/>
    <n v="0"/>
    <n v="7"/>
    <n v="403.23500000000001"/>
  </r>
  <r>
    <s v="Brand ABC TDM"/>
    <x v="2"/>
    <s v="Mens"/>
    <x v="7"/>
    <s v="A6A5V-GB7N"/>
    <x v="19"/>
    <s v="XS"/>
    <x v="1"/>
    <d v="2024-10-26T00:00:00"/>
    <d v="2024-11-21T00:00:00"/>
    <n v="0"/>
    <n v="0"/>
    <n v="0"/>
    <n v="1"/>
    <n v="56.655900000000003"/>
  </r>
  <r>
    <s v="Brand ABC TDM"/>
    <x v="2"/>
    <s v="Mens"/>
    <x v="7"/>
    <s v="A6A5V-UCTM"/>
    <x v="19"/>
    <s v="L"/>
    <x v="1"/>
    <d v="2024-10-26T00:00:00"/>
    <d v="2024-11-14T00:00:00"/>
    <n v="3"/>
    <n v="164.27279999999999"/>
    <n v="434.58"/>
    <n v="0"/>
    <n v="0"/>
  </r>
  <r>
    <s v="Brand ABC TDM"/>
    <x v="2"/>
    <s v="Mens"/>
    <x v="7"/>
    <s v="A6A5V-UCTM"/>
    <x v="19"/>
    <s v="M"/>
    <x v="1"/>
    <d v="2024-10-26T00:00:00"/>
    <d v="2024-11-14T00:00:00"/>
    <n v="6"/>
    <n v="328.54559999999998"/>
    <n v="869.15"/>
    <n v="1"/>
    <n v="54.757599999999996"/>
  </r>
  <r>
    <s v="Brand ABC TDM"/>
    <x v="2"/>
    <s v="Mens"/>
    <x v="7"/>
    <s v="A6A5V-UCTM"/>
    <x v="19"/>
    <s v="S"/>
    <x v="1"/>
    <d v="2024-10-25T00:00:00"/>
    <d v="2024-11-12T00:00:00"/>
    <n v="3"/>
    <n v="164.27279999999999"/>
    <n v="450.66"/>
    <n v="0"/>
    <n v="0"/>
  </r>
  <r>
    <s v="Brand ABC TDM"/>
    <x v="2"/>
    <s v="Mens"/>
    <x v="7"/>
    <s v="A6A5V-UCTM"/>
    <x v="19"/>
    <s v="XL"/>
    <x v="1"/>
    <d v="2024-10-26T00:00:00"/>
    <d v="2024-10-26T00:00:00"/>
    <n v="3"/>
    <n v="164.27279999999999"/>
    <n v="434.57"/>
    <n v="0"/>
    <n v="0"/>
  </r>
  <r>
    <s v="Brand ABC TDM"/>
    <x v="2"/>
    <s v="Mens"/>
    <x v="7"/>
    <s v="A6A5V-UCTM"/>
    <x v="19"/>
    <s v="XS"/>
    <x v="1"/>
    <d v="2024-10-25T00:00:00"/>
    <d v="2024-10-25T00:00:00"/>
    <n v="1"/>
    <n v="54.757599999999996"/>
    <n v="144.86000000000001"/>
    <n v="0"/>
    <n v="0"/>
  </r>
  <r>
    <s v="Brand ABC TDM"/>
    <x v="2"/>
    <s v="Mens"/>
    <x v="7"/>
    <s v="A6A7A-BB67"/>
    <x v="20"/>
    <s v="L"/>
    <x v="0"/>
    <d v="2024-12-12T00:00:00"/>
    <d v="2024-12-21T00:00:00"/>
    <n v="0"/>
    <n v="0"/>
    <n v="0"/>
    <n v="6"/>
    <n v="485.92200000000003"/>
  </r>
  <r>
    <s v="Brand ABC TDM"/>
    <x v="2"/>
    <s v="Mens"/>
    <x v="7"/>
    <s v="A6A7A-BB67"/>
    <x v="20"/>
    <s v="M"/>
    <x v="0"/>
    <d v="2024-12-12T00:00:00"/>
    <d v="2024-12-21T00:00:00"/>
    <n v="0"/>
    <n v="0"/>
    <n v="0"/>
    <n v="7"/>
    <n v="566.90899999999999"/>
  </r>
  <r>
    <s v="Brand ABC TDM"/>
    <x v="2"/>
    <s v="Mens"/>
    <x v="7"/>
    <s v="A6A7A-BB67"/>
    <x v="20"/>
    <s v="S"/>
    <x v="0"/>
    <d v="2024-12-12T00:00:00"/>
    <d v="2024-12-21T00:00:00"/>
    <n v="0"/>
    <n v="0"/>
    <n v="0"/>
    <n v="5"/>
    <n v="404.935"/>
  </r>
  <r>
    <s v="Brand ABC TDM"/>
    <x v="2"/>
    <s v="Mens"/>
    <x v="7"/>
    <s v="A6A7A-BB67"/>
    <x v="20"/>
    <s v="XL"/>
    <x v="0"/>
    <d v="2024-12-12T00:00:00"/>
    <d v="2024-12-18T00:00:00"/>
    <n v="0"/>
    <n v="0"/>
    <n v="0"/>
    <n v="3"/>
    <n v="242.96100000000001"/>
  </r>
  <r>
    <s v="Brand ABC TDM"/>
    <x v="2"/>
    <s v="Mens"/>
    <x v="7"/>
    <s v="A6A7A-BB67"/>
    <x v="20"/>
    <s v="XS"/>
    <x v="0"/>
    <d v="2024-12-12T00:00:00"/>
    <d v="2024-12-18T00:00:00"/>
    <n v="0"/>
    <n v="0"/>
    <n v="0"/>
    <n v="3"/>
    <n v="242.96100000000001"/>
  </r>
  <r>
    <s v="Brand ABC TDM"/>
    <x v="2"/>
    <s v="Mens"/>
    <x v="7"/>
    <s v="A6A7A-NB4S"/>
    <x v="20"/>
    <s v="L"/>
    <x v="1"/>
    <d v="2024-12-12T00:00:00"/>
    <d v="2024-12-21T00:00:00"/>
    <n v="0"/>
    <n v="0"/>
    <n v="0"/>
    <n v="6"/>
    <n v="485.92200000000003"/>
  </r>
  <r>
    <s v="Brand ABC TDM"/>
    <x v="2"/>
    <s v="Mens"/>
    <x v="7"/>
    <s v="A6A7A-NB4S"/>
    <x v="20"/>
    <s v="M"/>
    <x v="1"/>
    <d v="2024-12-12T00:00:00"/>
    <d v="2024-12-19T00:00:00"/>
    <n v="0"/>
    <n v="0"/>
    <n v="0"/>
    <n v="7"/>
    <n v="566.90899999999999"/>
  </r>
  <r>
    <s v="Brand ABC TDM"/>
    <x v="2"/>
    <s v="Mens"/>
    <x v="7"/>
    <s v="A6A7A-NB4S"/>
    <x v="20"/>
    <s v="S"/>
    <x v="1"/>
    <d v="2024-12-12T00:00:00"/>
    <d v="2024-12-21T00:00:00"/>
    <n v="0"/>
    <n v="0"/>
    <n v="0"/>
    <n v="5"/>
    <n v="404.935"/>
  </r>
  <r>
    <s v="Brand ABC TDM"/>
    <x v="2"/>
    <s v="Mens"/>
    <x v="7"/>
    <s v="A6A7A-NB4S"/>
    <x v="20"/>
    <s v="XL"/>
    <x v="1"/>
    <d v="2024-12-12T00:00:00"/>
    <d v="2024-12-12T00:00:00"/>
    <n v="0"/>
    <n v="0"/>
    <n v="0"/>
    <n v="3"/>
    <n v="242.96100000000001"/>
  </r>
  <r>
    <s v="Brand ABC TDM"/>
    <x v="2"/>
    <s v="Mens"/>
    <x v="7"/>
    <s v="A6A7A-NB4S"/>
    <x v="20"/>
    <s v="XS"/>
    <x v="1"/>
    <d v="2024-12-12T00:00:00"/>
    <d v="2024-12-19T00:00:00"/>
    <n v="0"/>
    <n v="0"/>
    <n v="0"/>
    <n v="3"/>
    <n v="242.96100000000001"/>
  </r>
  <r>
    <s v="Brand ABC TDM"/>
    <x v="2"/>
    <s v="Mens"/>
    <x v="7"/>
    <s v="A6A7A-UCZQ"/>
    <x v="20"/>
    <s v="L"/>
    <x v="1"/>
    <d v="2024-12-07T00:00:00"/>
    <d v="2024-12-17T00:00:00"/>
    <n v="4"/>
    <n v="323.94799999999998"/>
    <n v="819.44"/>
    <n v="5"/>
    <n v="404.935"/>
  </r>
  <r>
    <s v="Brand ABC TDM"/>
    <x v="2"/>
    <s v="Mens"/>
    <x v="7"/>
    <s v="A6A7A-UCZQ"/>
    <x v="20"/>
    <s v="M"/>
    <x v="1"/>
    <d v="2024-12-09T00:00:00"/>
    <d v="2024-12-17T00:00:00"/>
    <n v="4"/>
    <n v="323.94799999999998"/>
    <n v="864.96"/>
    <n v="6"/>
    <n v="485.92200000000003"/>
  </r>
  <r>
    <s v="Brand ABC TDM"/>
    <x v="2"/>
    <s v="Mens"/>
    <x v="7"/>
    <s v="A6A7A-UCZQ"/>
    <x v="20"/>
    <s v="S"/>
    <x v="1"/>
    <d v="2024-12-07T00:00:00"/>
    <d v="2024-12-21T00:00:00"/>
    <n v="1"/>
    <n v="80.986999999999995"/>
    <n v="204.86"/>
    <n v="5"/>
    <n v="404.935"/>
  </r>
  <r>
    <s v="Brand ABC TDM"/>
    <x v="2"/>
    <s v="Mens"/>
    <x v="7"/>
    <s v="A6A7A-UCZQ"/>
    <x v="20"/>
    <s v="XL"/>
    <x v="1"/>
    <d v="2024-12-07T00:00:00"/>
    <d v="2024-12-07T00:00:00"/>
    <n v="0"/>
    <n v="0"/>
    <n v="0"/>
    <n v="3"/>
    <n v="242.96100000000001"/>
  </r>
  <r>
    <s v="Brand ABC TDM"/>
    <x v="2"/>
    <s v="Mens"/>
    <x v="7"/>
    <s v="A6A7A-UCZQ"/>
    <x v="20"/>
    <s v="XS"/>
    <x v="1"/>
    <d v="2024-12-07T00:00:00"/>
    <d v="2024-12-12T00:00:00"/>
    <n v="1"/>
    <n v="80.986999999999995"/>
    <n v="227.62"/>
    <n v="3"/>
    <n v="242.96100000000001"/>
  </r>
  <r>
    <s v="Brand ABC TDM"/>
    <x v="2"/>
    <s v="Mens"/>
    <x v="7"/>
    <s v="A6A8A-BB2J"/>
    <x v="25"/>
    <s v="M"/>
    <x v="2"/>
    <d v="2024-10-26T00:00:00"/>
    <d v="2024-11-30T00:00:00"/>
    <n v="0"/>
    <n v="0"/>
    <n v="0"/>
    <n v="3"/>
    <n v="301.26209999999998"/>
  </r>
  <r>
    <s v="Brand ABC TDM"/>
    <x v="2"/>
    <s v="Mens"/>
    <x v="7"/>
    <s v="A6A8A-UCVL"/>
    <x v="25"/>
    <s v="L"/>
    <x v="1"/>
    <d v="2024-10-26T00:00:00"/>
    <d v="2024-11-30T00:00:00"/>
    <n v="4"/>
    <n v="376.47320000000002"/>
    <n v="1053.6099999999999"/>
    <n v="3"/>
    <n v="301.7901"/>
  </r>
  <r>
    <s v="Brand ABC TDM"/>
    <x v="2"/>
    <s v="Mens"/>
    <x v="7"/>
    <s v="A6A8A-UCVL"/>
    <x v="25"/>
    <s v="M"/>
    <x v="1"/>
    <d v="2024-10-26T00:00:00"/>
    <d v="2024-11-25T00:00:00"/>
    <n v="3"/>
    <n v="284.3526"/>
    <n v="768.86"/>
    <n v="0"/>
    <n v="0"/>
  </r>
  <r>
    <s v="Brand ABC TDM"/>
    <x v="2"/>
    <s v="Mens"/>
    <x v="7"/>
    <s v="A6A8A-UCVL"/>
    <x v="25"/>
    <s v="XS"/>
    <x v="1"/>
    <d v="2024-10-26T00:00:00"/>
    <d v="2024-11-23T00:00:00"/>
    <n v="2"/>
    <n v="189.86799999999999"/>
    <n v="512.57000000000005"/>
    <n v="0"/>
    <n v="0"/>
  </r>
  <r>
    <s v="Brand ABC TDM"/>
    <x v="2"/>
    <s v="Mens"/>
    <x v="8"/>
    <s v="A1B3K-BB2J"/>
    <x v="23"/>
    <s v="L"/>
    <x v="2"/>
    <d v="2024-10-28T00:00:00"/>
    <d v="2024-12-21T00:00:00"/>
    <n v="0"/>
    <n v="0"/>
    <n v="0"/>
    <n v="6"/>
    <n v="375.92700000000002"/>
  </r>
  <r>
    <s v="Brand ABC TDM"/>
    <x v="2"/>
    <s v="Mens"/>
    <x v="8"/>
    <s v="A1B3K-BB2J"/>
    <x v="23"/>
    <s v="M"/>
    <x v="2"/>
    <d v="2024-10-28T00:00:00"/>
    <d v="2024-12-18T00:00:00"/>
    <n v="0"/>
    <n v="0"/>
    <n v="0"/>
    <n v="6"/>
    <n v="384.61860000000001"/>
  </r>
  <r>
    <s v="Brand ABC TDM"/>
    <x v="2"/>
    <s v="Mens"/>
    <x v="8"/>
    <s v="A1B3K-BB2J"/>
    <x v="23"/>
    <s v="S"/>
    <x v="2"/>
    <d v="2024-10-28T00:00:00"/>
    <d v="2024-12-21T00:00:00"/>
    <n v="0"/>
    <n v="0"/>
    <n v="0"/>
    <n v="4"/>
    <n v="251.95240000000001"/>
  </r>
  <r>
    <s v="Brand ABC TDM"/>
    <x v="2"/>
    <s v="Mens"/>
    <x v="8"/>
    <s v="A1B3K-BB2J"/>
    <x v="23"/>
    <s v="XS"/>
    <x v="2"/>
    <d v="2024-10-28T00:00:00"/>
    <d v="2024-12-19T00:00:00"/>
    <n v="0"/>
    <n v="0"/>
    <n v="0"/>
    <n v="2"/>
    <n v="123.17400000000001"/>
  </r>
  <r>
    <s v="Brand ABC TDM"/>
    <x v="2"/>
    <s v="Mens"/>
    <x v="8"/>
    <s v="A1B3K-GB7H"/>
    <x v="23"/>
    <s v="L"/>
    <x v="2"/>
    <d v="2024-10-28T00:00:00"/>
    <d v="2024-12-18T00:00:00"/>
    <n v="0"/>
    <n v="0"/>
    <n v="0"/>
    <n v="6"/>
    <n v="372.72480000000002"/>
  </r>
  <r>
    <s v="Brand ABC TDM"/>
    <x v="2"/>
    <s v="Mens"/>
    <x v="8"/>
    <s v="A1B3K-GB7H"/>
    <x v="23"/>
    <s v="M"/>
    <x v="2"/>
    <d v="2024-10-28T00:00:00"/>
    <d v="2024-12-18T00:00:00"/>
    <n v="1"/>
    <n v="63.306899999999999"/>
    <n v="189.52"/>
    <n v="6"/>
    <n v="381.32400000000001"/>
  </r>
  <r>
    <s v="Brand ABC TDM"/>
    <x v="2"/>
    <s v="Mens"/>
    <x v="8"/>
    <s v="A1B3K-GB7H"/>
    <x v="23"/>
    <s v="S"/>
    <x v="2"/>
    <d v="2024-10-28T00:00:00"/>
    <d v="2024-12-14T00:00:00"/>
    <n v="2"/>
    <n v="124.7752"/>
    <n v="360.09"/>
    <n v="4"/>
    <n v="254.3544"/>
  </r>
  <r>
    <s v="Brand ABC TDM"/>
    <x v="2"/>
    <s v="Mens"/>
    <x v="8"/>
    <s v="A1B3K-GB7H"/>
    <x v="23"/>
    <s v="XS"/>
    <x v="2"/>
    <d v="2024-10-28T00:00:00"/>
    <d v="2024-10-28T00:00:00"/>
    <n v="0"/>
    <n v="0"/>
    <n v="0"/>
    <n v="2"/>
    <n v="123.17400000000001"/>
  </r>
  <r>
    <s v="Brand ABC TDM"/>
    <x v="2"/>
    <s v="Mens"/>
    <x v="8"/>
    <s v="A2A1N-BBBB"/>
    <x v="14"/>
    <s v="L"/>
    <x v="0"/>
    <d v="2024-10-28T00:00:00"/>
    <d v="2024-11-30T00:00:00"/>
    <n v="4"/>
    <n v="220.5283"/>
    <n v="579.44000000000005"/>
    <n v="2"/>
    <n v="113.88760000000001"/>
  </r>
  <r>
    <s v="Brand ABC TDM"/>
    <x v="2"/>
    <s v="Mens"/>
    <x v="8"/>
    <s v="A2A1N-BBBB"/>
    <x v="14"/>
    <s v="M"/>
    <x v="0"/>
    <d v="2024-10-28T00:00:00"/>
    <d v="2024-11-29T00:00:00"/>
    <n v="3"/>
    <n v="164.86859999999999"/>
    <n v="434.58"/>
    <n v="0"/>
    <n v="0"/>
  </r>
  <r>
    <s v="Brand ABC TDM"/>
    <x v="2"/>
    <s v="Mens"/>
    <x v="8"/>
    <s v="A2A1N-BBBB"/>
    <x v="14"/>
    <s v="XL"/>
    <x v="0"/>
    <d v="2024-10-28T00:00:00"/>
    <d v="2024-11-29T00:00:00"/>
    <n v="2"/>
    <n v="111.0206"/>
    <n v="289.72000000000003"/>
    <n v="0"/>
    <n v="0"/>
  </r>
  <r>
    <s v="Brand ABC TDM"/>
    <x v="2"/>
    <s v="Mens"/>
    <x v="8"/>
    <s v="A2A1N-GBP4"/>
    <x v="14"/>
    <s v="L"/>
    <x v="0"/>
    <d v="2024-10-28T00:00:00"/>
    <d v="2024-11-30T00:00:00"/>
    <n v="2"/>
    <n v="110.0707"/>
    <n v="289.70999999999998"/>
    <n v="1"/>
    <n v="55.668599999999998"/>
  </r>
  <r>
    <s v="Brand ABC TDM"/>
    <x v="2"/>
    <s v="Mens"/>
    <x v="8"/>
    <s v="A2A1N-GBP4"/>
    <x v="14"/>
    <s v="M"/>
    <x v="0"/>
    <d v="2024-10-28T00:00:00"/>
    <d v="2024-11-29T00:00:00"/>
    <n v="1"/>
    <n v="54.797899999999998"/>
    <n v="144.86000000000001"/>
    <n v="0"/>
    <n v="0"/>
  </r>
  <r>
    <s v="Brand ABC TDM"/>
    <x v="2"/>
    <s v="Mens"/>
    <x v="8"/>
    <s v="A2A1N-GBP4"/>
    <x v="14"/>
    <s v="S"/>
    <x v="0"/>
    <d v="2024-10-28T00:00:00"/>
    <d v="2024-11-28T00:00:00"/>
    <n v="1"/>
    <n v="54.797899999999998"/>
    <n v="144.86000000000001"/>
    <n v="0"/>
    <n v="0"/>
  </r>
  <r>
    <s v="Brand ABC TDM"/>
    <x v="2"/>
    <s v="Mens"/>
    <x v="8"/>
    <s v="A2A4H-BBBB"/>
    <x v="11"/>
    <s v="L"/>
    <x v="0"/>
    <d v="2024-10-28T00:00:00"/>
    <d v="2024-12-21T00:00:00"/>
    <n v="3"/>
    <n v="186.27340000000001"/>
    <n v="530.67999999999995"/>
    <n v="6"/>
    <n v="377.61779999999999"/>
  </r>
  <r>
    <s v="Brand ABC TDM"/>
    <x v="2"/>
    <s v="Mens"/>
    <x v="8"/>
    <s v="A2A4H-BBBB"/>
    <x v="11"/>
    <s v="M"/>
    <x v="0"/>
    <d v="2024-10-28T00:00:00"/>
    <d v="2024-12-17T00:00:00"/>
    <n v="12"/>
    <n v="760.54750000000001"/>
    <n v="2084.75"/>
    <n v="6"/>
    <n v="386.44920000000002"/>
  </r>
  <r>
    <s v="Brand ABC TDM"/>
    <x v="2"/>
    <s v="Mens"/>
    <x v="8"/>
    <s v="A2A4H-BBBB"/>
    <x v="11"/>
    <s v="S"/>
    <x v="0"/>
    <d v="2024-10-28T00:00:00"/>
    <d v="2024-12-04T00:00:00"/>
    <n v="3"/>
    <n v="186.6249"/>
    <n v="511.71"/>
    <n v="5"/>
    <n v="318.88150000000002"/>
  </r>
  <r>
    <s v="Brand ABC TDM"/>
    <x v="2"/>
    <s v="Mens"/>
    <x v="8"/>
    <s v="A2A4H-BBBB"/>
    <x v="11"/>
    <s v="XL"/>
    <x v="0"/>
    <d v="2024-10-28T00:00:00"/>
    <d v="2024-11-27T00:00:00"/>
    <n v="1"/>
    <n v="61.587000000000003"/>
    <n v="170.57"/>
    <n v="2"/>
    <n v="126.3766"/>
  </r>
  <r>
    <s v="Brand ABC TDM"/>
    <x v="2"/>
    <s v="Mens"/>
    <x v="8"/>
    <s v="A2A4H-BBBB"/>
    <x v="11"/>
    <s v="XS"/>
    <x v="0"/>
    <d v="2024-10-28T00:00:00"/>
    <d v="2024-10-28T00:00:00"/>
    <n v="0"/>
    <n v="0"/>
    <n v="0"/>
    <n v="2"/>
    <n v="123.17400000000001"/>
  </r>
  <r>
    <s v="Brand ABC TDM"/>
    <x v="2"/>
    <s v="Mens"/>
    <x v="8"/>
    <s v="A2A4H-EBF1"/>
    <x v="11"/>
    <s v="L"/>
    <x v="0"/>
    <d v="2024-12-07T00:00:00"/>
    <d v="2024-12-07T00:00:00"/>
    <n v="0"/>
    <n v="0"/>
    <n v="0"/>
    <n v="6"/>
    <n v="388.73700000000002"/>
  </r>
  <r>
    <s v="Brand ABC TDM"/>
    <x v="2"/>
    <s v="Mens"/>
    <x v="8"/>
    <s v="A2A4H-EBF1"/>
    <x v="11"/>
    <s v="M"/>
    <x v="0"/>
    <d v="2024-12-07T00:00:00"/>
    <d v="2024-12-07T00:00:00"/>
    <n v="0"/>
    <n v="0"/>
    <n v="0"/>
    <n v="6"/>
    <n v="388.73700000000002"/>
  </r>
  <r>
    <s v="Brand ABC TDM"/>
    <x v="2"/>
    <s v="Mens"/>
    <x v="8"/>
    <s v="A2A4H-EBF1"/>
    <x v="11"/>
    <s v="S"/>
    <x v="0"/>
    <d v="2024-12-07T00:00:00"/>
    <d v="2024-12-07T00:00:00"/>
    <n v="0"/>
    <n v="0"/>
    <n v="0"/>
    <n v="4"/>
    <n v="259.15800000000002"/>
  </r>
  <r>
    <s v="Brand ABC TDM"/>
    <x v="2"/>
    <s v="Mens"/>
    <x v="8"/>
    <s v="A2A4H-EBF1"/>
    <x v="11"/>
    <s v="XL"/>
    <x v="0"/>
    <d v="2024-12-10T00:00:00"/>
    <d v="2024-12-10T00:00:00"/>
    <n v="0"/>
    <n v="0"/>
    <n v="0"/>
    <n v="2"/>
    <n v="129.57900000000001"/>
  </r>
  <r>
    <s v="Brand ABC TDM"/>
    <x v="2"/>
    <s v="Mens"/>
    <x v="8"/>
    <s v="A2A4H-EBF1"/>
    <x v="11"/>
    <s v="XS"/>
    <x v="0"/>
    <d v="2024-12-07T00:00:00"/>
    <d v="2024-12-07T00:00:00"/>
    <n v="0"/>
    <n v="0"/>
    <n v="0"/>
    <n v="2"/>
    <n v="129.57900000000001"/>
  </r>
  <r>
    <s v="Brand ABC TDM"/>
    <x v="2"/>
    <s v="Mens"/>
    <x v="8"/>
    <s v="A2A4H-UBCY"/>
    <x v="11"/>
    <s v="S"/>
    <x v="0"/>
    <d v="2024-12-11T00:00:00"/>
    <d v="2024-12-11T00:00:00"/>
    <n v="0"/>
    <n v="0"/>
    <n v="0"/>
    <n v="1"/>
    <n v="64.789500000000004"/>
  </r>
  <r>
    <s v="Brand ABC TDM"/>
    <x v="2"/>
    <s v="Mens"/>
    <x v="8"/>
    <s v="A3A9K-BBBB"/>
    <x v="26"/>
    <s v="L"/>
    <x v="0"/>
    <d v="2024-05-20T00:00:00"/>
    <d v="2024-11-13T00:00:00"/>
    <n v="3"/>
    <n v="256.66199999999998"/>
    <n v="691.71"/>
    <n v="0"/>
    <n v="0"/>
  </r>
  <r>
    <s v="Brand ABC TDM"/>
    <x v="2"/>
    <s v="Mens"/>
    <x v="8"/>
    <s v="A3A9K-BBBB"/>
    <x v="26"/>
    <s v="M"/>
    <x v="0"/>
    <d v="2024-05-20T00:00:00"/>
    <d v="2024-11-19T00:00:00"/>
    <n v="7"/>
    <n v="598.89340000000004"/>
    <n v="1614"/>
    <n v="0"/>
    <n v="0"/>
  </r>
  <r>
    <s v="Brand ABC TDM"/>
    <x v="2"/>
    <s v="Mens"/>
    <x v="8"/>
    <s v="A3A9K-BBBB"/>
    <x v="26"/>
    <s v="S"/>
    <x v="0"/>
    <d v="2024-05-20T00:00:00"/>
    <d v="2024-11-19T00:00:00"/>
    <n v="4"/>
    <n v="342.22800000000001"/>
    <n v="922.29"/>
    <n v="0"/>
    <n v="0"/>
  </r>
  <r>
    <s v="Brand ABC TDM"/>
    <x v="2"/>
    <s v="Mens"/>
    <x v="8"/>
    <s v="A3A9K-BBBB"/>
    <x v="26"/>
    <s v="XS"/>
    <x v="0"/>
    <d v="2024-10-26T00:00:00"/>
    <d v="2024-10-26T00:00:00"/>
    <n v="1"/>
    <n v="85.551100000000005"/>
    <n v="230.57"/>
    <n v="0"/>
    <n v="0"/>
  </r>
  <r>
    <s v="Brand ABC TDM"/>
    <x v="2"/>
    <s v="Mens"/>
    <x v="8"/>
    <s v="A3A9K-UCTN"/>
    <x v="26"/>
    <s v="M"/>
    <x v="1"/>
    <d v="2024-10-26T00:00:00"/>
    <d v="2024-11-13T00:00:00"/>
    <n v="3"/>
    <n v="256.6533"/>
    <n v="717.33"/>
    <n v="0"/>
    <n v="0"/>
  </r>
  <r>
    <s v="Brand ABC TDM"/>
    <x v="2"/>
    <s v="Mens"/>
    <x v="8"/>
    <s v="A3A9K-UCTN"/>
    <x v="26"/>
    <s v="S"/>
    <x v="1"/>
    <d v="2024-10-26T00:00:00"/>
    <d v="2024-11-12T00:00:00"/>
    <n v="1"/>
    <n v="85.551100000000005"/>
    <n v="230.57"/>
    <n v="0"/>
    <n v="0"/>
  </r>
  <r>
    <s v="Brand ABC TDM"/>
    <x v="2"/>
    <s v="Mens"/>
    <x v="8"/>
    <s v="A3A9K-UCTN"/>
    <x v="26"/>
    <s v="XS"/>
    <x v="1"/>
    <d v="2024-10-26T00:00:00"/>
    <d v="2024-10-26T00:00:00"/>
    <n v="2"/>
    <n v="171.10220000000001"/>
    <n v="461.15"/>
    <n v="0"/>
    <n v="0"/>
  </r>
  <r>
    <s v="Brand ABC TDM"/>
    <x v="2"/>
    <s v="Mens"/>
    <x v="8"/>
    <s v="A4A7V-GB8N"/>
    <x v="8"/>
    <s v="L"/>
    <x v="0"/>
    <d v="2024-10-26T00:00:00"/>
    <d v="2024-11-13T00:00:00"/>
    <n v="7"/>
    <n v="598.85770000000002"/>
    <n v="1562.77"/>
    <n v="0"/>
    <n v="0"/>
  </r>
  <r>
    <s v="Brand ABC TDM"/>
    <x v="2"/>
    <s v="Mens"/>
    <x v="8"/>
    <s v="A4A7V-GB8N"/>
    <x v="8"/>
    <s v="M"/>
    <x v="0"/>
    <d v="2024-10-26T00:00:00"/>
    <d v="2024-11-15T00:00:00"/>
    <n v="12"/>
    <n v="1026.6132"/>
    <n v="2766.86"/>
    <n v="0"/>
    <n v="0"/>
  </r>
  <r>
    <s v="Brand ABC TDM"/>
    <x v="2"/>
    <s v="Mens"/>
    <x v="8"/>
    <s v="A4A7V-GB8N"/>
    <x v="8"/>
    <s v="S"/>
    <x v="0"/>
    <d v="2024-10-26T00:00:00"/>
    <d v="2024-11-13T00:00:00"/>
    <n v="5"/>
    <n v="427.76049999999998"/>
    <n v="1152.8699999999999"/>
    <n v="0"/>
    <n v="0"/>
  </r>
  <r>
    <s v="Brand ABC TDM"/>
    <x v="2"/>
    <s v="Mens"/>
    <x v="8"/>
    <s v="A4A7V-GB8N"/>
    <x v="8"/>
    <s v="XL"/>
    <x v="0"/>
    <d v="2024-10-26T00:00:00"/>
    <d v="2024-10-26T00:00:00"/>
    <n v="2"/>
    <n v="171.10220000000001"/>
    <n v="461.14"/>
    <n v="0"/>
    <n v="0"/>
  </r>
  <r>
    <s v="Brand ABC TDM"/>
    <x v="2"/>
    <s v="Mens"/>
    <x v="8"/>
    <s v="A4A7V-GB8N"/>
    <x v="8"/>
    <s v="XS"/>
    <x v="0"/>
    <d v="2024-10-26T00:00:00"/>
    <d v="2024-11-13T00:00:00"/>
    <n v="1"/>
    <n v="85.551100000000005"/>
    <n v="256.27999999999997"/>
    <n v="1"/>
    <n v="85.551100000000005"/>
  </r>
  <r>
    <s v="Brand ABC TDM"/>
    <x v="2"/>
    <s v="Mens"/>
    <x v="8"/>
    <s v="A4A7V-GCWD"/>
    <x v="24"/>
    <s v="L"/>
    <x v="1"/>
    <d v="2024-10-25T00:00:00"/>
    <d v="2024-11-09T00:00:00"/>
    <n v="3"/>
    <n v="256.6533"/>
    <n v="691.71"/>
    <n v="0"/>
    <n v="0"/>
  </r>
  <r>
    <s v="Brand ABC TDM"/>
    <x v="2"/>
    <s v="Mens"/>
    <x v="8"/>
    <s v="A4A7V-GCWD"/>
    <x v="24"/>
    <s v="M"/>
    <x v="1"/>
    <d v="2024-10-25T00:00:00"/>
    <d v="2024-11-09T00:00:00"/>
    <n v="4"/>
    <n v="342.20440000000002"/>
    <n v="922.28"/>
    <n v="0"/>
    <n v="0"/>
  </r>
  <r>
    <s v="Brand ABC TDM"/>
    <x v="2"/>
    <s v="Mens"/>
    <x v="8"/>
    <s v="A4A7V-GCWD"/>
    <x v="24"/>
    <s v="S"/>
    <x v="1"/>
    <d v="2024-10-26T00:00:00"/>
    <d v="2024-11-09T00:00:00"/>
    <n v="1"/>
    <n v="85.551100000000005"/>
    <n v="230.58"/>
    <n v="0"/>
    <n v="0"/>
  </r>
  <r>
    <s v="Brand ABC TDM"/>
    <x v="2"/>
    <s v="Mens"/>
    <x v="8"/>
    <s v="A4A7V-GCWD"/>
    <x v="24"/>
    <s v="XL"/>
    <x v="1"/>
    <d v="2024-10-25T00:00:00"/>
    <d v="2024-10-25T00:00:00"/>
    <n v="1"/>
    <n v="85.551100000000005"/>
    <n v="230.57"/>
    <n v="0"/>
    <n v="0"/>
  </r>
  <r>
    <s v="Brand ABC TDM"/>
    <x v="2"/>
    <s v="Mens"/>
    <x v="8"/>
    <s v="A5A1O-BBBB"/>
    <x v="11"/>
    <s v="L"/>
    <x v="0"/>
    <d v="2024-05-20T00:00:00"/>
    <d v="2024-12-16T00:00:00"/>
    <n v="23"/>
    <n v="1609.1489999999999"/>
    <n v="4421.7"/>
    <n v="5"/>
    <n v="358.77949999999998"/>
  </r>
  <r>
    <s v="Brand ABC TDM"/>
    <x v="2"/>
    <s v="Mens"/>
    <x v="8"/>
    <s v="A5A1O-BBBB"/>
    <x v="11"/>
    <s v="M"/>
    <x v="0"/>
    <d v="2024-05-20T00:00:00"/>
    <d v="2024-12-14T00:00:00"/>
    <n v="28"/>
    <n v="1954.1714999999999"/>
    <n v="5318.54"/>
    <n v="11"/>
    <n v="788.65269999999998"/>
  </r>
  <r>
    <s v="Brand ABC TDM"/>
    <x v="2"/>
    <s v="Mens"/>
    <x v="8"/>
    <s v="A5A1O-BBBB"/>
    <x v="11"/>
    <s v="S"/>
    <x v="0"/>
    <d v="2024-05-20T00:00:00"/>
    <d v="2024-12-11T00:00:00"/>
    <n v="21"/>
    <n v="1472.1139000000001"/>
    <n v="3983.69"/>
    <n v="1"/>
    <n v="71.521699999999996"/>
  </r>
  <r>
    <s v="Brand ABC TDM"/>
    <x v="2"/>
    <s v="Mens"/>
    <x v="8"/>
    <s v="A5A1O-BBBB"/>
    <x v="11"/>
    <s v="XL"/>
    <x v="0"/>
    <d v="2024-05-20T00:00:00"/>
    <d v="2024-12-21T00:00:00"/>
    <n v="4"/>
    <n v="280.95940000000002"/>
    <n v="792.57"/>
    <n v="1"/>
    <n v="72.016900000000007"/>
  </r>
  <r>
    <s v="Brand ABC TDM"/>
    <x v="2"/>
    <s v="Mens"/>
    <x v="8"/>
    <s v="A5A1O-BBBB"/>
    <x v="11"/>
    <s v="XS"/>
    <x v="0"/>
    <d v="2024-10-28T00:00:00"/>
    <d v="2024-12-03T00:00:00"/>
    <n v="7"/>
    <n v="489.8793"/>
    <n v="1355.7"/>
    <n v="0"/>
    <n v="0"/>
  </r>
  <r>
    <s v="Brand ABC TDM"/>
    <x v="2"/>
    <s v="Mens"/>
    <x v="8"/>
    <s v="A5A1O-GBCN"/>
    <x v="11"/>
    <s v="L"/>
    <x v="0"/>
    <d v="2024-11-12T00:00:00"/>
    <d v="2024-12-17T00:00:00"/>
    <n v="15"/>
    <n v="1052.9467"/>
    <n v="2857.4"/>
    <n v="4"/>
    <n v="286.8956"/>
  </r>
  <r>
    <s v="Brand ABC TDM"/>
    <x v="2"/>
    <s v="Mens"/>
    <x v="8"/>
    <s v="A5A1O-GBCN"/>
    <x v="11"/>
    <s v="M"/>
    <x v="0"/>
    <d v="2024-11-12T00:00:00"/>
    <d v="2024-12-10T00:00:00"/>
    <n v="27"/>
    <n v="1898.5156999999999"/>
    <n v="5109.95"/>
    <n v="6"/>
    <n v="431.78460000000001"/>
  </r>
  <r>
    <s v="Brand ABC TDM"/>
    <x v="2"/>
    <s v="Mens"/>
    <x v="8"/>
    <s v="A5A1O-GBCN"/>
    <x v="11"/>
    <s v="S"/>
    <x v="0"/>
    <d v="2024-11-12T00:00:00"/>
    <d v="2024-12-21T00:00:00"/>
    <n v="10"/>
    <n v="700.52670000000001"/>
    <n v="1877.13"/>
    <n v="4"/>
    <n v="286.35120000000001"/>
  </r>
  <r>
    <s v="Brand ABC TDM"/>
    <x v="2"/>
    <s v="Mens"/>
    <x v="8"/>
    <s v="A5A1O-GBCN"/>
    <x v="11"/>
    <s v="XL"/>
    <x v="0"/>
    <d v="2024-11-12T00:00:00"/>
    <d v="2024-12-16T00:00:00"/>
    <n v="6"/>
    <n v="415.19479999999999"/>
    <n v="1147.1400000000001"/>
    <n v="2"/>
    <n v="143.14599999999999"/>
  </r>
  <r>
    <s v="Brand ABC TDM"/>
    <x v="2"/>
    <s v="Mens"/>
    <x v="8"/>
    <s v="A5A1O-GBCN"/>
    <x v="11"/>
    <s v="XS"/>
    <x v="0"/>
    <d v="2024-11-12T00:00:00"/>
    <d v="2024-12-19T00:00:00"/>
    <n v="6"/>
    <n v="424.98180000000002"/>
    <n v="1126.3800000000001"/>
    <n v="2"/>
    <n v="144.03380000000001"/>
  </r>
  <r>
    <s v="Brand ABC TDM"/>
    <x v="2"/>
    <s v="Mens"/>
    <x v="8"/>
    <s v="A5A1O-NCCZ"/>
    <x v="11"/>
    <s v="L"/>
    <x v="1"/>
    <d v="2024-10-28T00:00:00"/>
    <d v="2024-12-13T00:00:00"/>
    <n v="6"/>
    <n v="417.60939999999999"/>
    <n v="1147.1400000000001"/>
    <n v="6"/>
    <n v="425.23439999999999"/>
  </r>
  <r>
    <s v="Brand ABC TDM"/>
    <x v="2"/>
    <s v="Mens"/>
    <x v="8"/>
    <s v="A5A1O-NCCZ"/>
    <x v="11"/>
    <s v="M"/>
    <x v="1"/>
    <d v="2024-10-28T00:00:00"/>
    <d v="2024-12-09T00:00:00"/>
    <n v="13"/>
    <n v="916.87159999999994"/>
    <n v="2419.39"/>
    <n v="2"/>
    <n v="143.2098"/>
  </r>
  <r>
    <s v="Brand ABC TDM"/>
    <x v="2"/>
    <s v="Mens"/>
    <x v="8"/>
    <s v="A5A1O-NCCZ"/>
    <x v="11"/>
    <s v="S"/>
    <x v="1"/>
    <d v="2024-10-28T00:00:00"/>
    <d v="2024-12-03T00:00:00"/>
    <n v="9"/>
    <n v="633.9135"/>
    <n v="1731.13"/>
    <n v="0"/>
    <n v="0"/>
  </r>
  <r>
    <s v="Brand ABC TDM"/>
    <x v="2"/>
    <s v="Mens"/>
    <x v="8"/>
    <s v="A5A1O-NCCZ"/>
    <x v="11"/>
    <s v="XS"/>
    <x v="1"/>
    <d v="2024-10-28T00:00:00"/>
    <d v="2024-10-28T00:00:00"/>
    <n v="2"/>
    <n v="136.91419999999999"/>
    <n v="375.42"/>
    <n v="0"/>
    <n v="0"/>
  </r>
  <r>
    <s v="Brand ABC TDM"/>
    <x v="2"/>
    <s v="Mens"/>
    <x v="8"/>
    <s v="A5A8Y-BB2J"/>
    <x v="11"/>
    <s v="S"/>
    <x v="0"/>
    <d v="2024-12-11T00:00:00"/>
    <d v="2024-12-18T00:00:00"/>
    <n v="0"/>
    <n v="0"/>
    <n v="0"/>
    <n v="1"/>
    <n v="72.016900000000007"/>
  </r>
  <r>
    <s v="Brand ABC TDM"/>
    <x v="2"/>
    <s v="Mens"/>
    <x v="8"/>
    <s v="A5A8Y-GBCN"/>
    <x v="11"/>
    <s v="S"/>
    <x v="0"/>
    <d v="2024-12-11T00:00:00"/>
    <d v="2024-12-11T00:00:00"/>
    <n v="0"/>
    <n v="0"/>
    <n v="0"/>
    <n v="1"/>
    <n v="72.018799999999999"/>
  </r>
  <r>
    <s v="Brand ABC TDM"/>
    <x v="2"/>
    <s v="Mens"/>
    <x v="8"/>
    <s v="A6A2G-BB2J"/>
    <x v="26"/>
    <s v="M"/>
    <x v="0"/>
    <d v="2024-10-25T00:00:00"/>
    <d v="2024-11-19T00:00:00"/>
    <n v="2"/>
    <n v="188.2466"/>
    <n v="512.57000000000005"/>
    <n v="0"/>
    <n v="0"/>
  </r>
  <r>
    <s v="Brand ABC TDM"/>
    <x v="2"/>
    <s v="Mens"/>
    <x v="8"/>
    <s v="A6A2G-BB2J"/>
    <x v="26"/>
    <s v="S"/>
    <x v="0"/>
    <d v="2024-10-25T00:00:00"/>
    <d v="2024-11-19T00:00:00"/>
    <n v="2"/>
    <n v="188.25280000000001"/>
    <n v="512.57000000000005"/>
    <n v="2"/>
    <n v="188.25280000000001"/>
  </r>
  <r>
    <s v="Brand ABC TDM"/>
    <x v="2"/>
    <s v="Mens"/>
    <x v="8"/>
    <s v="A6A2G-BB2J"/>
    <x v="26"/>
    <s v="XS"/>
    <x v="0"/>
    <d v="2024-10-25T00:00:00"/>
    <d v="2024-11-19T00:00:00"/>
    <n v="2"/>
    <n v="188.2561"/>
    <n v="512.57000000000005"/>
    <n v="0"/>
    <n v="0"/>
  </r>
  <r>
    <s v="Brand ABC TDM"/>
    <x v="2"/>
    <s v="Mens"/>
    <x v="8"/>
    <s v="A6A2G-NBZS"/>
    <x v="26"/>
    <s v="L"/>
    <x v="1"/>
    <d v="2024-10-26T00:00:00"/>
    <d v="2024-11-18T00:00:00"/>
    <n v="1"/>
    <n v="94.118300000000005"/>
    <n v="256.29000000000002"/>
    <n v="0"/>
    <n v="0"/>
  </r>
  <r>
    <s v="Brand ABC TDM"/>
    <x v="2"/>
    <s v="Mens"/>
    <x v="8"/>
    <s v="A6A2G-NBZS"/>
    <x v="26"/>
    <s v="M"/>
    <x v="1"/>
    <d v="2024-10-26T00:00:00"/>
    <d v="2024-11-14T00:00:00"/>
    <n v="3"/>
    <n v="282.35849999999999"/>
    <n v="768.87"/>
    <n v="0"/>
    <n v="0"/>
  </r>
  <r>
    <s v="Brand ABC TDM"/>
    <x v="2"/>
    <s v="Mens"/>
    <x v="8"/>
    <s v="A6A2G-NBZS"/>
    <x v="26"/>
    <s v="S"/>
    <x v="1"/>
    <d v="2024-10-26T00:00:00"/>
    <d v="2024-11-19T00:00:00"/>
    <n v="2"/>
    <n v="188.23660000000001"/>
    <n v="512.57000000000005"/>
    <n v="0"/>
    <n v="0"/>
  </r>
  <r>
    <s v="Brand ABC TDM"/>
    <x v="2"/>
    <s v="Mens"/>
    <x v="8"/>
    <s v="A6A3Q-BB67"/>
    <x v="20"/>
    <s v="L"/>
    <x v="0"/>
    <d v="2024-10-28T00:00:00"/>
    <d v="2024-12-21T00:00:00"/>
    <n v="6"/>
    <n v="573.20690000000002"/>
    <n v="1566.2"/>
    <n v="5"/>
    <n v="486.56599999999997"/>
  </r>
  <r>
    <s v="Brand ABC TDM"/>
    <x v="2"/>
    <s v="Mens"/>
    <x v="8"/>
    <s v="A6A3Q-BB67"/>
    <x v="20"/>
    <s v="M"/>
    <x v="0"/>
    <d v="2024-10-28T00:00:00"/>
    <d v="2024-12-19T00:00:00"/>
    <n v="15"/>
    <n v="1456.9418000000001"/>
    <n v="3986.69"/>
    <n v="5"/>
    <n v="493.94400000000002"/>
  </r>
  <r>
    <s v="Brand ABC TDM"/>
    <x v="2"/>
    <s v="Mens"/>
    <x v="8"/>
    <s v="A6A3Q-BB67"/>
    <x v="20"/>
    <s v="S"/>
    <x v="0"/>
    <d v="2024-10-28T00:00:00"/>
    <d v="2024-12-12T00:00:00"/>
    <n v="8"/>
    <n v="774.07169999999996"/>
    <n v="2050.3000000000002"/>
    <n v="4"/>
    <n v="394.5016"/>
  </r>
  <r>
    <s v="Brand ABC TDM"/>
    <x v="2"/>
    <s v="Mens"/>
    <x v="8"/>
    <s v="A6A3Q-BB67"/>
    <x v="20"/>
    <s v="XL"/>
    <x v="0"/>
    <d v="2024-10-28T00:00:00"/>
    <d v="2024-12-21T00:00:00"/>
    <n v="0"/>
    <n v="0"/>
    <n v="0"/>
    <n v="2"/>
    <n v="188.23660000000001"/>
  </r>
  <r>
    <s v="Brand ABC TDM"/>
    <x v="2"/>
    <s v="Mens"/>
    <x v="8"/>
    <s v="A6A3Q-BB67"/>
    <x v="20"/>
    <s v="XS"/>
    <x v="0"/>
    <d v="2024-10-28T00:00:00"/>
    <d v="2024-12-18T00:00:00"/>
    <n v="1"/>
    <n v="94.118300000000005"/>
    <n v="284.76"/>
    <n v="2"/>
    <n v="193.13079999999999"/>
  </r>
  <r>
    <s v="Brand ABC TDM"/>
    <x v="2"/>
    <s v="Mens"/>
    <x v="8"/>
    <s v="A6A3Q-NB4S"/>
    <x v="20"/>
    <s v="L"/>
    <x v="1"/>
    <d v="2024-12-12T00:00:00"/>
    <d v="2024-12-21T00:00:00"/>
    <n v="0"/>
    <n v="0"/>
    <n v="0"/>
    <n v="6"/>
    <n v="594.07500000000005"/>
  </r>
  <r>
    <s v="Brand ABC TDM"/>
    <x v="2"/>
    <s v="Mens"/>
    <x v="8"/>
    <s v="A6A3Q-NB4S"/>
    <x v="20"/>
    <s v="M"/>
    <x v="1"/>
    <d v="2024-12-12T00:00:00"/>
    <d v="2024-12-20T00:00:00"/>
    <n v="0"/>
    <n v="0"/>
    <n v="0"/>
    <n v="6"/>
    <n v="594.07500000000005"/>
  </r>
  <r>
    <s v="Brand ABC TDM"/>
    <x v="2"/>
    <s v="Mens"/>
    <x v="8"/>
    <s v="A6A3Q-NB4S"/>
    <x v="20"/>
    <s v="S"/>
    <x v="1"/>
    <d v="2024-12-12T00:00:00"/>
    <d v="2024-12-21T00:00:00"/>
    <n v="0"/>
    <n v="0"/>
    <n v="0"/>
    <n v="4"/>
    <n v="396.05"/>
  </r>
  <r>
    <s v="Brand ABC TDM"/>
    <x v="2"/>
    <s v="Mens"/>
    <x v="8"/>
    <s v="A6A3Q-NB4S"/>
    <x v="20"/>
    <s v="XL"/>
    <x v="1"/>
    <d v="2024-12-12T00:00:00"/>
    <d v="2024-12-21T00:00:00"/>
    <n v="0"/>
    <n v="0"/>
    <n v="0"/>
    <n v="2"/>
    <n v="198.02500000000001"/>
  </r>
  <r>
    <s v="Brand ABC TDM"/>
    <x v="2"/>
    <s v="Mens"/>
    <x v="8"/>
    <s v="A6A3Q-NB4S"/>
    <x v="20"/>
    <s v="XS"/>
    <x v="1"/>
    <d v="2024-12-12T00:00:00"/>
    <d v="2024-12-18T00:00:00"/>
    <n v="0"/>
    <n v="0"/>
    <n v="0"/>
    <n v="2"/>
    <n v="198.02500000000001"/>
  </r>
  <r>
    <s v="Brand ABC TDM"/>
    <x v="2"/>
    <s v="Mens"/>
    <x v="8"/>
    <s v="A6A3Q-UCZQ"/>
    <x v="20"/>
    <s v="L"/>
    <x v="1"/>
    <d v="2024-10-28T00:00:00"/>
    <d v="2024-12-18T00:00:00"/>
    <n v="1"/>
    <n v="94.118300000000005"/>
    <n v="256.29000000000002"/>
    <n v="6"/>
    <n v="569.60400000000004"/>
  </r>
  <r>
    <s v="Brand ABC TDM"/>
    <x v="2"/>
    <s v="Mens"/>
    <x v="8"/>
    <s v="A6A3Q-UCZQ"/>
    <x v="20"/>
    <s v="M"/>
    <x v="1"/>
    <d v="2024-10-28T00:00:00"/>
    <d v="2024-12-21T00:00:00"/>
    <n v="5"/>
    <n v="477.49869999999999"/>
    <n v="1309.9100000000001"/>
    <n v="5"/>
    <n v="483.26150000000001"/>
  </r>
  <r>
    <s v="Brand ABC TDM"/>
    <x v="2"/>
    <s v="Mens"/>
    <x v="8"/>
    <s v="A6A3Q-UCZQ"/>
    <x v="20"/>
    <s v="S"/>
    <x v="1"/>
    <d v="2024-10-28T00:00:00"/>
    <d v="2024-12-18T00:00:00"/>
    <n v="2"/>
    <n v="189.46019999999999"/>
    <n v="512.58000000000004"/>
    <n v="4"/>
    <n v="385.03840000000002"/>
  </r>
  <r>
    <s v="Brand ABC TDM"/>
    <x v="2"/>
    <s v="Mens"/>
    <x v="8"/>
    <s v="A6A3Q-UCZQ"/>
    <x v="20"/>
    <s v="XS"/>
    <x v="1"/>
    <d v="2024-10-28T00:00:00"/>
    <d v="2024-10-28T00:00:00"/>
    <n v="0"/>
    <n v="0"/>
    <n v="0"/>
    <n v="2"/>
    <n v="188.23660000000001"/>
  </r>
  <r>
    <s v="Brand ABC TDM"/>
    <x v="2"/>
    <s v="Mens"/>
    <x v="8"/>
    <s v="A6A5W-BB2J"/>
    <x v="19"/>
    <s v="L"/>
    <x v="0"/>
    <d v="2024-10-26T00:00:00"/>
    <d v="2024-11-21T00:00:00"/>
    <n v="8"/>
    <n v="547.65679999999998"/>
    <n v="1501.7"/>
    <n v="0"/>
    <n v="0"/>
  </r>
  <r>
    <s v="Brand ABC TDM"/>
    <x v="2"/>
    <s v="Mens"/>
    <x v="8"/>
    <s v="A6A5W-BB2J"/>
    <x v="19"/>
    <s v="M"/>
    <x v="0"/>
    <d v="2024-10-26T00:00:00"/>
    <d v="2024-11-20T00:00:00"/>
    <n v="11"/>
    <n v="752.6721"/>
    <n v="2064.87"/>
    <n v="0"/>
    <n v="0"/>
  </r>
  <r>
    <s v="Brand ABC TDM"/>
    <x v="2"/>
    <s v="Mens"/>
    <x v="8"/>
    <s v="A6A5W-BB2J"/>
    <x v="19"/>
    <s v="S"/>
    <x v="0"/>
    <d v="2024-10-26T00:00:00"/>
    <d v="2024-12-04T00:00:00"/>
    <n v="10"/>
    <n v="684.57100000000003"/>
    <n v="1856.28"/>
    <n v="0"/>
    <n v="0"/>
  </r>
  <r>
    <s v="Brand ABC TDM"/>
    <x v="2"/>
    <s v="Mens"/>
    <x v="8"/>
    <s v="A6A5W-BB2J"/>
    <x v="19"/>
    <s v="XL"/>
    <x v="0"/>
    <d v="2024-10-26T00:00:00"/>
    <d v="2024-10-26T00:00:00"/>
    <n v="1"/>
    <n v="68.457099999999997"/>
    <n v="187.72"/>
    <n v="1"/>
    <n v="68.457099999999997"/>
  </r>
  <r>
    <s v="Brand ABC TDM"/>
    <x v="2"/>
    <s v="Mens"/>
    <x v="8"/>
    <s v="A6A5W-BB2J"/>
    <x v="19"/>
    <s v="XS"/>
    <x v="0"/>
    <d v="2024-10-26T00:00:00"/>
    <d v="2024-11-12T00:00:00"/>
    <n v="3"/>
    <n v="205.37129999999999"/>
    <n v="563.14"/>
    <n v="0"/>
    <n v="0"/>
  </r>
  <r>
    <s v="Brand ABC TDM"/>
    <x v="2"/>
    <s v="Mens"/>
    <x v="8"/>
    <s v="A6A5W-GB7N"/>
    <x v="19"/>
    <s v="L"/>
    <x v="1"/>
    <d v="2024-10-26T00:00:00"/>
    <d v="2024-10-26T00:00:00"/>
    <n v="1"/>
    <n v="68.457099999999997"/>
    <n v="187.71"/>
    <n v="0"/>
    <n v="0"/>
  </r>
  <r>
    <s v="Brand ABC TDM"/>
    <x v="2"/>
    <s v="Mens"/>
    <x v="8"/>
    <s v="A6A5W-GB7N"/>
    <x v="19"/>
    <s v="M"/>
    <x v="1"/>
    <d v="2024-10-26T00:00:00"/>
    <d v="2024-11-13T00:00:00"/>
    <n v="6"/>
    <n v="410.74259999999998"/>
    <n v="1084.56"/>
    <n v="0"/>
    <n v="0"/>
  </r>
  <r>
    <s v="Brand ABC TDM"/>
    <x v="2"/>
    <s v="Mens"/>
    <x v="8"/>
    <s v="A6A5W-GB7N"/>
    <x v="19"/>
    <s v="S"/>
    <x v="1"/>
    <d v="2024-10-26T00:00:00"/>
    <d v="2024-10-26T00:00:00"/>
    <n v="1"/>
    <n v="68.457099999999997"/>
    <n v="187.71"/>
    <n v="0"/>
    <n v="0"/>
  </r>
  <r>
    <s v="Brand ABC TDM"/>
    <x v="2"/>
    <s v="Mens"/>
    <x v="8"/>
    <s v="A6A6B-BB2J"/>
    <x v="8"/>
    <s v="L"/>
    <x v="0"/>
    <d v="2024-10-26T00:00:00"/>
    <d v="2024-12-21T00:00:00"/>
    <n v="0"/>
    <n v="0"/>
    <n v="0"/>
    <n v="6"/>
    <n v="465.18959999999998"/>
  </r>
  <r>
    <s v="Brand ABC TDM"/>
    <x v="2"/>
    <s v="Mens"/>
    <x v="8"/>
    <s v="A6A6B-BB2J"/>
    <x v="8"/>
    <s v="M"/>
    <x v="0"/>
    <d v="2024-10-26T00:00:00"/>
    <d v="2024-12-21T00:00:00"/>
    <n v="0"/>
    <n v="0"/>
    <n v="0"/>
    <n v="6"/>
    <n v="453.5274"/>
  </r>
  <r>
    <s v="Brand ABC TDM"/>
    <x v="2"/>
    <s v="Mens"/>
    <x v="8"/>
    <s v="A6A6B-BB2J"/>
    <x v="8"/>
    <s v="S"/>
    <x v="0"/>
    <d v="2024-10-26T00:00:00"/>
    <d v="2024-12-21T00:00:00"/>
    <n v="0"/>
    <n v="0"/>
    <n v="0"/>
    <n v="4"/>
    <n v="302.35160000000002"/>
  </r>
  <r>
    <s v="Brand ABC TDM"/>
    <x v="2"/>
    <s v="Mens"/>
    <x v="8"/>
    <s v="A6A6B-BB2J"/>
    <x v="8"/>
    <s v="XL"/>
    <x v="0"/>
    <d v="2024-12-12T00:00:00"/>
    <d v="2024-12-12T00:00:00"/>
    <n v="0"/>
    <n v="0"/>
    <n v="0"/>
    <n v="2"/>
    <n v="151.17580000000001"/>
  </r>
  <r>
    <s v="Brand ABC TDM"/>
    <x v="2"/>
    <s v="Mens"/>
    <x v="8"/>
    <s v="A6A6B-BB2J"/>
    <x v="8"/>
    <s v="XS"/>
    <x v="0"/>
    <d v="2024-12-12T00:00:00"/>
    <d v="2024-12-12T00:00:00"/>
    <n v="0"/>
    <n v="0"/>
    <n v="0"/>
    <n v="2"/>
    <n v="151.17580000000001"/>
  </r>
  <r>
    <s v="Brand ABC TDM"/>
    <x v="2"/>
    <s v="Mens"/>
    <x v="8"/>
    <s v="A6A9A-BB2J"/>
    <x v="21"/>
    <s v="L"/>
    <x v="1"/>
    <d v="2024-12-04T00:00:00"/>
    <d v="2024-12-20T00:00:00"/>
    <n v="2"/>
    <n v="287.98219999999998"/>
    <n v="794.39"/>
    <n v="5"/>
    <n v="719.95550000000003"/>
  </r>
  <r>
    <s v="Brand ABC TDM"/>
    <x v="2"/>
    <s v="Mens"/>
    <x v="8"/>
    <s v="A6A9A-BB2J"/>
    <x v="21"/>
    <s v="M"/>
    <x v="1"/>
    <d v="2024-12-04T00:00:00"/>
    <d v="2024-12-17T00:00:00"/>
    <n v="2"/>
    <n v="287.98219999999998"/>
    <n v="752.57"/>
    <n v="5"/>
    <n v="719.95550000000003"/>
  </r>
  <r>
    <s v="Brand ABC TDM"/>
    <x v="2"/>
    <s v="Mens"/>
    <x v="8"/>
    <s v="A6A9A-BB2J"/>
    <x v="21"/>
    <s v="S"/>
    <x v="1"/>
    <d v="2024-12-04T00:00:00"/>
    <d v="2024-12-16T00:00:00"/>
    <n v="2"/>
    <n v="287.98219999999998"/>
    <n v="752.57"/>
    <n v="4"/>
    <n v="575.96439999999996"/>
  </r>
  <r>
    <s v="Brand ABC TDM"/>
    <x v="2"/>
    <s v="Mens"/>
    <x v="8"/>
    <s v="A6A9A-BB2J"/>
    <x v="21"/>
    <s v="XL"/>
    <x v="1"/>
    <d v="2024-12-04T00:00:00"/>
    <d v="2024-12-16T00:00:00"/>
    <n v="1"/>
    <n v="143.99109999999999"/>
    <n v="418.1"/>
    <n v="2"/>
    <n v="287.98219999999998"/>
  </r>
  <r>
    <s v="Brand ABC TDM"/>
    <x v="2"/>
    <s v="Mens"/>
    <x v="8"/>
    <s v="A6A9U-BB2J"/>
    <x v="25"/>
    <s v="L"/>
    <x v="2"/>
    <d v="2024-10-26T00:00:00"/>
    <d v="2024-11-30T00:00:00"/>
    <n v="0"/>
    <n v="0"/>
    <n v="0"/>
    <n v="3"/>
    <n v="355.18680000000001"/>
  </r>
  <r>
    <s v="Brand ABC TDM"/>
    <x v="2"/>
    <s v="Mens"/>
    <x v="8"/>
    <s v="A6A9U-BB2J"/>
    <x v="25"/>
    <s v="M"/>
    <x v="2"/>
    <d v="2024-10-26T00:00:00"/>
    <d v="2024-11-30T00:00:00"/>
    <n v="0"/>
    <n v="0"/>
    <n v="0"/>
    <n v="3"/>
    <n v="355.33139999999997"/>
  </r>
  <r>
    <s v="Brand ABC TDM"/>
    <x v="2"/>
    <s v="Mens"/>
    <x v="9"/>
    <s v="A1B5F-UC32"/>
    <x v="27"/>
    <s v="L"/>
    <x v="2"/>
    <d v="2024-11-12T00:00:00"/>
    <d v="2024-12-21T00:00:00"/>
    <n v="0"/>
    <n v="0"/>
    <n v="0"/>
    <n v="6"/>
    <n v="539.35559999999998"/>
  </r>
  <r>
    <s v="Brand ABC TDM"/>
    <x v="2"/>
    <s v="Mens"/>
    <x v="9"/>
    <s v="A1B5F-UC32"/>
    <x v="27"/>
    <s v="M"/>
    <x v="2"/>
    <d v="2024-11-12T00:00:00"/>
    <d v="2024-12-21T00:00:00"/>
    <n v="0"/>
    <n v="0"/>
    <n v="0"/>
    <n v="6"/>
    <n v="539.89980000000003"/>
  </r>
  <r>
    <s v="Brand ABC TDM"/>
    <x v="2"/>
    <s v="Mens"/>
    <x v="9"/>
    <s v="A1B5F-UC32"/>
    <x v="27"/>
    <s v="S"/>
    <x v="2"/>
    <d v="2024-11-12T00:00:00"/>
    <d v="2024-12-21T00:00:00"/>
    <n v="0"/>
    <n v="0"/>
    <n v="0"/>
    <n v="4"/>
    <n v="358.74799999999999"/>
  </r>
  <r>
    <s v="Brand ABC TDM"/>
    <x v="2"/>
    <s v="Mens"/>
    <x v="9"/>
    <s v="A1B5F-UC32"/>
    <x v="27"/>
    <s v="XS"/>
    <x v="2"/>
    <d v="2024-11-12T00:00:00"/>
    <d v="2024-12-14T00:00:00"/>
    <n v="0"/>
    <n v="0"/>
    <n v="0"/>
    <n v="2"/>
    <n v="189.3596"/>
  </r>
  <r>
    <s v="Brand ABC TDM"/>
    <x v="2"/>
    <s v="Mens"/>
    <x v="9"/>
    <s v="A1B5L-BB2J"/>
    <x v="3"/>
    <s v="L"/>
    <x v="2"/>
    <d v="2024-12-07T00:00:00"/>
    <d v="2024-12-12T00:00:00"/>
    <n v="4"/>
    <n v="288.06760000000003"/>
    <n v="750.85"/>
    <n v="4"/>
    <n v="288.06760000000003"/>
  </r>
  <r>
    <s v="Brand ABC TDM"/>
    <x v="2"/>
    <s v="Mens"/>
    <x v="9"/>
    <s v="A1B5L-BB2J"/>
    <x v="3"/>
    <s v="M"/>
    <x v="2"/>
    <d v="2024-12-07T00:00:00"/>
    <d v="2024-12-12T00:00:00"/>
    <n v="1"/>
    <n v="72.016900000000007"/>
    <n v="208.57"/>
    <n v="6"/>
    <n v="432.10140000000001"/>
  </r>
  <r>
    <s v="Brand ABC TDM"/>
    <x v="2"/>
    <s v="Mens"/>
    <x v="9"/>
    <s v="A1B5L-BB2J"/>
    <x v="3"/>
    <s v="S"/>
    <x v="2"/>
    <d v="2024-12-07T00:00:00"/>
    <d v="2024-12-07T00:00:00"/>
    <n v="2"/>
    <n v="144.03380000000001"/>
    <n v="396.28"/>
    <n v="2"/>
    <n v="144.03380000000001"/>
  </r>
  <r>
    <s v="Brand ABC TDM"/>
    <x v="2"/>
    <s v="Mens"/>
    <x v="9"/>
    <s v="A1B5L-BB2J"/>
    <x v="3"/>
    <s v="XS"/>
    <x v="2"/>
    <d v="2024-12-07T00:00:00"/>
    <d v="2024-12-07T00:00:00"/>
    <n v="0"/>
    <n v="0"/>
    <n v="0"/>
    <n v="2"/>
    <n v="144.03380000000001"/>
  </r>
  <r>
    <s v="Brand ABC TDM"/>
    <x v="2"/>
    <s v="Mens"/>
    <x v="9"/>
    <s v="A1B5L-ECH1"/>
    <x v="3"/>
    <s v="L"/>
    <x v="1"/>
    <d v="2024-12-07T00:00:00"/>
    <d v="2024-12-07T00:00:00"/>
    <n v="2"/>
    <n v="144.03380000000001"/>
    <n v="396.29"/>
    <n v="2"/>
    <n v="144.03380000000001"/>
  </r>
  <r>
    <s v="Brand ABC TDM"/>
    <x v="2"/>
    <s v="Mens"/>
    <x v="9"/>
    <s v="A1B5L-ECH1"/>
    <x v="3"/>
    <s v="M"/>
    <x v="1"/>
    <d v="2024-12-07T00:00:00"/>
    <d v="2024-12-07T00:00:00"/>
    <n v="0"/>
    <n v="0"/>
    <n v="0"/>
    <n v="6"/>
    <n v="432.10140000000001"/>
  </r>
  <r>
    <s v="Brand ABC TDM"/>
    <x v="2"/>
    <s v="Mens"/>
    <x v="9"/>
    <s v="A1B5L-ECH1"/>
    <x v="3"/>
    <s v="S"/>
    <x v="1"/>
    <d v="2024-12-07T00:00:00"/>
    <d v="2024-12-07T00:00:00"/>
    <n v="0"/>
    <n v="0"/>
    <n v="0"/>
    <n v="4"/>
    <n v="288.06760000000003"/>
  </r>
  <r>
    <s v="Brand ABC TDM"/>
    <x v="2"/>
    <s v="Mens"/>
    <x v="9"/>
    <s v="A1B5L-ECH1"/>
    <x v="3"/>
    <s v="XS"/>
    <x v="1"/>
    <d v="2024-12-07T00:00:00"/>
    <d v="2024-12-07T00:00:00"/>
    <n v="0"/>
    <n v="0"/>
    <n v="0"/>
    <n v="2"/>
    <n v="144.03380000000001"/>
  </r>
  <r>
    <s v="Brand ABC TDM"/>
    <x v="2"/>
    <s v="Mens"/>
    <x v="9"/>
    <s v="A1B5L-GBCN"/>
    <x v="3"/>
    <s v="L"/>
    <x v="1"/>
    <d v="2024-12-07T00:00:00"/>
    <d v="2024-12-14T00:00:00"/>
    <n v="2"/>
    <n v="144.03380000000001"/>
    <n v="417.14"/>
    <n v="6"/>
    <n v="432.10140000000001"/>
  </r>
  <r>
    <s v="Brand ABC TDM"/>
    <x v="2"/>
    <s v="Mens"/>
    <x v="9"/>
    <s v="A1B5L-GBCN"/>
    <x v="3"/>
    <s v="M"/>
    <x v="1"/>
    <d v="2024-12-07T00:00:00"/>
    <d v="2024-12-14T00:00:00"/>
    <n v="1"/>
    <n v="72.016900000000007"/>
    <n v="208.57"/>
    <n v="6"/>
    <n v="432.10140000000001"/>
  </r>
  <r>
    <s v="Brand ABC TDM"/>
    <x v="2"/>
    <s v="Mens"/>
    <x v="9"/>
    <s v="A1B5L-GBCN"/>
    <x v="3"/>
    <s v="S"/>
    <x v="1"/>
    <d v="2024-12-07T00:00:00"/>
    <d v="2024-12-07T00:00:00"/>
    <n v="1"/>
    <n v="72.016900000000007"/>
    <n v="187.71"/>
    <n v="4"/>
    <n v="288.06760000000003"/>
  </r>
  <r>
    <s v="Brand ABC TDM"/>
    <x v="2"/>
    <s v="Mens"/>
    <x v="9"/>
    <s v="A1B5L-GBCN"/>
    <x v="3"/>
    <s v="XS"/>
    <x v="1"/>
    <d v="2024-12-07T00:00:00"/>
    <d v="2024-12-07T00:00:00"/>
    <n v="0"/>
    <n v="0"/>
    <n v="0"/>
    <n v="2"/>
    <n v="144.03380000000001"/>
  </r>
  <r>
    <s v="Brand ABC TDM"/>
    <x v="2"/>
    <s v="Mens"/>
    <x v="9"/>
    <s v="A1B5N-GC02"/>
    <x v="27"/>
    <s v="L"/>
    <x v="2"/>
    <d v="2024-11-13T00:00:00"/>
    <d v="2024-12-14T00:00:00"/>
    <n v="0"/>
    <n v="0"/>
    <n v="0"/>
    <n v="1"/>
    <n v="131.29660000000001"/>
  </r>
  <r>
    <s v="Brand ABC TDM"/>
    <x v="2"/>
    <s v="Mens"/>
    <x v="9"/>
    <s v="A1B5N-GC02"/>
    <x v="27"/>
    <s v="M"/>
    <x v="2"/>
    <d v="2024-11-13T00:00:00"/>
    <d v="2024-12-14T00:00:00"/>
    <n v="0"/>
    <n v="0"/>
    <n v="0"/>
    <n v="4"/>
    <n v="529.89120000000003"/>
  </r>
  <r>
    <s v="Brand ABC TDM"/>
    <x v="2"/>
    <s v="Mens"/>
    <x v="9"/>
    <s v="A1B5N-GC02"/>
    <x v="27"/>
    <s v="S"/>
    <x v="2"/>
    <d v="2024-11-13T00:00:00"/>
    <d v="2024-11-26T00:00:00"/>
    <n v="0"/>
    <n v="0"/>
    <n v="0"/>
    <n v="1"/>
    <n v="124.2564"/>
  </r>
  <r>
    <s v="Brand ABC TDM"/>
    <x v="2"/>
    <s v="Mens"/>
    <x v="9"/>
    <s v="A2A1U-GBFG"/>
    <x v="11"/>
    <s v="L"/>
    <x v="0"/>
    <d v="2024-11-09T00:00:00"/>
    <d v="2024-12-13T00:00:00"/>
    <n v="6"/>
    <n v="416.40429999999998"/>
    <n v="1126.28"/>
    <n v="8"/>
    <n v="563.35440000000006"/>
  </r>
  <r>
    <s v="Brand ABC TDM"/>
    <x v="2"/>
    <s v="Mens"/>
    <x v="9"/>
    <s v="A2A1U-GBFG"/>
    <x v="11"/>
    <s v="M"/>
    <x v="0"/>
    <d v="2024-11-09T00:00:00"/>
    <d v="2024-12-07T00:00:00"/>
    <n v="6"/>
    <n v="416.14330000000001"/>
    <n v="1147.1500000000001"/>
    <n v="8"/>
    <n v="563.61519999999996"/>
  </r>
  <r>
    <s v="Brand ABC TDM"/>
    <x v="2"/>
    <s v="Mens"/>
    <x v="9"/>
    <s v="A2A1U-GBFG"/>
    <x v="11"/>
    <s v="S"/>
    <x v="0"/>
    <d v="2024-11-09T00:00:00"/>
    <d v="2024-11-25T00:00:00"/>
    <n v="3"/>
    <n v="205.76679999999999"/>
    <n v="563.14"/>
    <n v="9"/>
    <n v="622.83780000000002"/>
  </r>
  <r>
    <s v="Brand ABC TDM"/>
    <x v="2"/>
    <s v="Mens"/>
    <x v="9"/>
    <s v="A2A1U-GBFG"/>
    <x v="11"/>
    <s v="XS"/>
    <x v="0"/>
    <d v="2024-11-09T00:00:00"/>
    <d v="2024-11-09T00:00:00"/>
    <n v="1"/>
    <n v="68.457099999999997"/>
    <n v="187.72"/>
    <n v="2"/>
    <n v="136.91419999999999"/>
  </r>
  <r>
    <s v="Brand ABC TDM"/>
    <x v="2"/>
    <s v="Mens"/>
    <x v="9"/>
    <s v="A2A8C-BB7Q"/>
    <x v="8"/>
    <s v="L"/>
    <x v="1"/>
    <d v="2024-10-28T00:00:00"/>
    <d v="2024-12-10T00:00:00"/>
    <n v="6"/>
    <n v="519.48559999999998"/>
    <n v="1409.05"/>
    <n v="6"/>
    <n v="533.82060000000001"/>
  </r>
  <r>
    <s v="Brand ABC TDM"/>
    <x v="2"/>
    <s v="Mens"/>
    <x v="9"/>
    <s v="A2A8C-BB7Q"/>
    <x v="8"/>
    <s v="M"/>
    <x v="1"/>
    <d v="2024-10-28T00:00:00"/>
    <d v="2024-12-10T00:00:00"/>
    <n v="11"/>
    <n v="966.46910000000003"/>
    <n v="2561.91"/>
    <n v="6"/>
    <n v="537.62580000000003"/>
  </r>
  <r>
    <s v="Brand ABC TDM"/>
    <x v="2"/>
    <s v="Mens"/>
    <x v="9"/>
    <s v="A2A8C-BB7Q"/>
    <x v="8"/>
    <s v="S"/>
    <x v="1"/>
    <d v="2024-10-28T00:00:00"/>
    <d v="2024-12-04T00:00:00"/>
    <n v="5"/>
    <n v="436.20819999999998"/>
    <n v="1152.8699999999999"/>
    <n v="4"/>
    <n v="355.99560000000002"/>
  </r>
  <r>
    <s v="Brand ABC TDM"/>
    <x v="2"/>
    <s v="Mens"/>
    <x v="9"/>
    <s v="A2A8C-BB7Q"/>
    <x v="8"/>
    <s v="XL"/>
    <x v="1"/>
    <d v="2024-10-28T00:00:00"/>
    <d v="2024-10-28T00:00:00"/>
    <n v="0"/>
    <n v="0"/>
    <n v="0"/>
    <n v="2"/>
    <n v="171.10220000000001"/>
  </r>
  <r>
    <s v="Brand ABC TDM"/>
    <x v="2"/>
    <s v="Mens"/>
    <x v="9"/>
    <s v="A2A8C-BB7Q"/>
    <x v="8"/>
    <s v="XS"/>
    <x v="1"/>
    <d v="2024-10-28T00:00:00"/>
    <d v="2024-10-28T00:00:00"/>
    <n v="0"/>
    <n v="0"/>
    <n v="0"/>
    <n v="2"/>
    <n v="171.10220000000001"/>
  </r>
  <r>
    <s v="Brand ABC TDM"/>
    <x v="2"/>
    <s v="Mens"/>
    <x v="9"/>
    <s v="A2A8C-NB43"/>
    <x v="8"/>
    <s v="L"/>
    <x v="0"/>
    <d v="2024-10-28T00:00:00"/>
    <d v="2024-12-06T00:00:00"/>
    <n v="4"/>
    <n v="345.66460000000001"/>
    <n v="922.29"/>
    <n v="6"/>
    <n v="527.64120000000003"/>
  </r>
  <r>
    <s v="Brand ABC TDM"/>
    <x v="2"/>
    <s v="Mens"/>
    <x v="9"/>
    <s v="A2A8C-NB43"/>
    <x v="8"/>
    <s v="M"/>
    <x v="0"/>
    <d v="2024-10-28T00:00:00"/>
    <d v="2024-12-10T00:00:00"/>
    <n v="10"/>
    <n v="876.30930000000001"/>
    <n v="2305.6999999999998"/>
    <n v="7"/>
    <n v="626.99490000000003"/>
  </r>
  <r>
    <s v="Brand ABC TDM"/>
    <x v="2"/>
    <s v="Mens"/>
    <x v="9"/>
    <s v="A2A8C-NB43"/>
    <x v="8"/>
    <s v="S"/>
    <x v="0"/>
    <d v="2024-10-28T00:00:00"/>
    <d v="2024-12-14T00:00:00"/>
    <n v="3"/>
    <n v="259.71179999999998"/>
    <n v="691.72"/>
    <n v="4"/>
    <n v="352.49200000000002"/>
  </r>
  <r>
    <s v="Brand ABC TDM"/>
    <x v="2"/>
    <s v="Mens"/>
    <x v="9"/>
    <s v="A2A8C-NB43"/>
    <x v="8"/>
    <s v="XL"/>
    <x v="0"/>
    <d v="2024-10-28T00:00:00"/>
    <d v="2024-10-28T00:00:00"/>
    <n v="2"/>
    <n v="171.10220000000001"/>
    <n v="461.14"/>
    <n v="0"/>
    <n v="0"/>
  </r>
  <r>
    <s v="Brand ABC TDM"/>
    <x v="2"/>
    <s v="Mens"/>
    <x v="9"/>
    <s v="A2A8C-NB43"/>
    <x v="8"/>
    <s v="XS"/>
    <x v="0"/>
    <d v="2024-10-28T00:00:00"/>
    <d v="2024-12-10T00:00:00"/>
    <n v="1"/>
    <n v="85.551100000000005"/>
    <n v="256.19"/>
    <n v="2"/>
    <n v="175.55099999999999"/>
  </r>
  <r>
    <s v="Brand ABC TDM"/>
    <x v="2"/>
    <s v="Mens"/>
    <x v="9"/>
    <s v="A3A1S-UB9P"/>
    <x v="14"/>
    <s v="M"/>
    <x v="0"/>
    <d v="2024-12-11T00:00:00"/>
    <d v="2024-12-11T00:00:00"/>
    <n v="0"/>
    <n v="0"/>
    <n v="0"/>
    <n v="1"/>
    <n v="57.608499999999999"/>
  </r>
  <r>
    <s v="Brand ABC TDM"/>
    <x v="2"/>
    <s v="Mens"/>
    <x v="9"/>
    <s v="A3A4P-BBMW"/>
    <x v="18"/>
    <s v="L"/>
    <x v="0"/>
    <d v="2024-10-26T00:00:00"/>
    <d v="2024-11-30T00:00:00"/>
    <n v="17"/>
    <n v="1202.3353"/>
    <n v="3191.11"/>
    <n v="0"/>
    <n v="0"/>
  </r>
  <r>
    <s v="Brand ABC TDM"/>
    <x v="2"/>
    <s v="Mens"/>
    <x v="9"/>
    <s v="A3A4P-BBMW"/>
    <x v="18"/>
    <s v="M"/>
    <x v="0"/>
    <d v="2024-10-26T00:00:00"/>
    <d v="2024-12-17T00:00:00"/>
    <n v="16"/>
    <n v="1131.2551000000001"/>
    <n v="3024.25"/>
    <n v="4"/>
    <n v="287.7244"/>
  </r>
  <r>
    <s v="Brand ABC TDM"/>
    <x v="2"/>
    <s v="Mens"/>
    <x v="9"/>
    <s v="A3A4P-BBMW"/>
    <x v="18"/>
    <s v="S"/>
    <x v="0"/>
    <d v="2024-10-26T00:00:00"/>
    <d v="2024-12-17T00:00:00"/>
    <n v="8"/>
    <n v="565.41099999999994"/>
    <n v="1501.71"/>
    <n v="4"/>
    <n v="287.22320000000002"/>
  </r>
  <r>
    <s v="Brand ABC TDM"/>
    <x v="2"/>
    <s v="Mens"/>
    <x v="9"/>
    <s v="A3A4P-BBMW"/>
    <x v="18"/>
    <s v="XS"/>
    <x v="0"/>
    <d v="2024-10-26T00:00:00"/>
    <d v="2024-12-04T00:00:00"/>
    <n v="2"/>
    <n v="138.69409999999999"/>
    <n v="375.42"/>
    <n v="2"/>
    <n v="142.25399999999999"/>
  </r>
  <r>
    <s v="Brand ABC TDM"/>
    <x v="2"/>
    <s v="Mens"/>
    <x v="9"/>
    <s v="A3A4P-GB8V"/>
    <x v="18"/>
    <s v="L"/>
    <x v="0"/>
    <d v="2024-10-26T00:00:00"/>
    <d v="2024-11-21T00:00:00"/>
    <n v="6"/>
    <n v="414.30259999999998"/>
    <n v="1126.27"/>
    <n v="1"/>
    <n v="69.347099999999998"/>
  </r>
  <r>
    <s v="Brand ABC TDM"/>
    <x v="2"/>
    <s v="Mens"/>
    <x v="9"/>
    <s v="A3A4P-GB8V"/>
    <x v="18"/>
    <s v="M"/>
    <x v="0"/>
    <d v="2024-10-26T00:00:00"/>
    <d v="2024-11-28T00:00:00"/>
    <n v="18"/>
    <n v="1274.866"/>
    <n v="3378.84"/>
    <n v="0"/>
    <n v="0"/>
  </r>
  <r>
    <s v="Brand ABC TDM"/>
    <x v="2"/>
    <s v="Mens"/>
    <x v="9"/>
    <s v="A3A4P-GB8V"/>
    <x v="18"/>
    <s v="S"/>
    <x v="0"/>
    <d v="2024-10-26T00:00:00"/>
    <d v="2024-12-17T00:00:00"/>
    <n v="7"/>
    <n v="490.88040000000001"/>
    <n v="1334.87"/>
    <n v="4"/>
    <n v="287.06639999999999"/>
  </r>
  <r>
    <s v="Brand ABC TDM"/>
    <x v="2"/>
    <s v="Mens"/>
    <x v="9"/>
    <s v="A3A4P-GB8V"/>
    <x v="18"/>
    <s v="XS"/>
    <x v="0"/>
    <d v="2024-10-26T00:00:00"/>
    <d v="2024-11-18T00:00:00"/>
    <n v="1"/>
    <n v="68.457099999999997"/>
    <n v="187.71"/>
    <n v="2"/>
    <n v="136.91419999999999"/>
  </r>
  <r>
    <s v="Brand ABC TDM"/>
    <x v="2"/>
    <s v="Mens"/>
    <x v="9"/>
    <s v="A4A3S-BBBB"/>
    <x v="8"/>
    <s v="L"/>
    <x v="0"/>
    <d v="2024-10-28T00:00:00"/>
    <d v="2024-12-21T00:00:00"/>
    <n v="4"/>
    <n v="311.04880000000003"/>
    <n v="842.2"/>
    <n v="6"/>
    <n v="474.80220000000003"/>
  </r>
  <r>
    <s v="Brand ABC TDM"/>
    <x v="2"/>
    <s v="Mens"/>
    <x v="9"/>
    <s v="A4A3S-BBBB"/>
    <x v="8"/>
    <s v="M"/>
    <x v="0"/>
    <d v="2024-10-28T00:00:00"/>
    <d v="2024-12-20T00:00:00"/>
    <n v="9"/>
    <n v="708.46749999999997"/>
    <n v="1866.47"/>
    <n v="7"/>
    <n v="563.30539999999996"/>
  </r>
  <r>
    <s v="Brand ABC TDM"/>
    <x v="2"/>
    <s v="Mens"/>
    <x v="9"/>
    <s v="A4A3S-BBBB"/>
    <x v="8"/>
    <s v="S"/>
    <x v="0"/>
    <d v="2024-10-28T00:00:00"/>
    <d v="2024-12-20T00:00:00"/>
    <n v="4"/>
    <n v="312.43880000000001"/>
    <n v="819.43"/>
    <n v="4"/>
    <n v="319.44439999999997"/>
  </r>
  <r>
    <s v="Brand ABC TDM"/>
    <x v="2"/>
    <s v="Mens"/>
    <x v="9"/>
    <s v="A4A3S-BBBB"/>
    <x v="8"/>
    <s v="XL"/>
    <x v="0"/>
    <d v="2024-10-28T00:00:00"/>
    <d v="2024-12-12T00:00:00"/>
    <n v="3"/>
    <n v="234.9546"/>
    <n v="614.57000000000005"/>
    <n v="2"/>
    <n v="161.97399999999999"/>
  </r>
  <r>
    <s v="Brand ABC TDM"/>
    <x v="2"/>
    <s v="Mens"/>
    <x v="9"/>
    <s v="A4A3S-BBBB"/>
    <x v="8"/>
    <s v="XS"/>
    <x v="0"/>
    <d v="2024-10-28T00:00:00"/>
    <d v="2024-12-18T00:00:00"/>
    <n v="1"/>
    <n v="76.983800000000002"/>
    <n v="204.86"/>
    <n v="2"/>
    <n v="157.9708"/>
  </r>
  <r>
    <s v="Brand ABC TDM"/>
    <x v="2"/>
    <s v="Mens"/>
    <x v="9"/>
    <s v="A4A3S-NBRP"/>
    <x v="8"/>
    <s v="L"/>
    <x v="1"/>
    <d v="2024-10-28T00:00:00"/>
    <d v="2024-12-21T00:00:00"/>
    <n v="7"/>
    <n v="547.5231"/>
    <n v="1479.53"/>
    <n v="6"/>
    <n v="481.28879999999998"/>
  </r>
  <r>
    <s v="Brand ABC TDM"/>
    <x v="2"/>
    <s v="Mens"/>
    <x v="9"/>
    <s v="A4A3S-NBRP"/>
    <x v="8"/>
    <s v="M"/>
    <x v="1"/>
    <d v="2024-10-28T00:00:00"/>
    <d v="2024-12-21T00:00:00"/>
    <n v="13"/>
    <n v="1030.2419"/>
    <n v="2663.17"/>
    <n v="5"/>
    <n v="403.505"/>
  </r>
  <r>
    <s v="Brand ABC TDM"/>
    <x v="2"/>
    <s v="Mens"/>
    <x v="9"/>
    <s v="A4A3S-NBRP"/>
    <x v="8"/>
    <s v="S"/>
    <x v="1"/>
    <d v="2024-10-28T00:00:00"/>
    <d v="2024-12-21T00:00:00"/>
    <n v="5"/>
    <n v="392.3"/>
    <n v="1024.27"/>
    <n v="4"/>
    <n v="320.57040000000001"/>
  </r>
  <r>
    <s v="Brand ABC TDM"/>
    <x v="2"/>
    <s v="Mens"/>
    <x v="9"/>
    <s v="A4A3S-NBRP"/>
    <x v="8"/>
    <s v="XS"/>
    <x v="1"/>
    <d v="2024-10-28T00:00:00"/>
    <d v="2024-12-21T00:00:00"/>
    <n v="0"/>
    <n v="0"/>
    <n v="0"/>
    <n v="2"/>
    <n v="153.9676"/>
  </r>
  <r>
    <s v="Brand ABC TDM"/>
    <x v="2"/>
    <s v="Mens"/>
    <x v="9"/>
    <s v="A4A7J-GB8N"/>
    <x v="24"/>
    <s v="L"/>
    <x v="0"/>
    <d v="2024-10-26T00:00:00"/>
    <d v="2024-11-21T00:00:00"/>
    <n v="16"/>
    <n v="1582.7088000000001"/>
    <n v="4418"/>
    <n v="3"/>
    <n v="312.1893"/>
  </r>
  <r>
    <s v="Brand ABC TDM"/>
    <x v="2"/>
    <s v="Mens"/>
    <x v="9"/>
    <s v="A4A7J-GB8N"/>
    <x v="24"/>
    <s v="M"/>
    <x v="0"/>
    <d v="2024-10-26T00:00:00"/>
    <d v="2024-11-19T00:00:00"/>
    <n v="11"/>
    <n v="1119.4392"/>
    <n v="3102"/>
    <n v="0"/>
    <n v="0"/>
  </r>
  <r>
    <s v="Brand ABC TDM"/>
    <x v="2"/>
    <s v="Mens"/>
    <x v="9"/>
    <s v="A4A7J-GB8N"/>
    <x v="24"/>
    <s v="S"/>
    <x v="0"/>
    <d v="2024-10-26T00:00:00"/>
    <d v="2024-11-13T00:00:00"/>
    <n v="8"/>
    <n v="800.27120000000002"/>
    <n v="2256"/>
    <n v="0"/>
    <n v="0"/>
  </r>
  <r>
    <s v="Brand ABC TDM"/>
    <x v="2"/>
    <s v="Mens"/>
    <x v="9"/>
    <s v="A4A7J-GB8N"/>
    <x v="24"/>
    <s v="XL"/>
    <x v="0"/>
    <d v="2024-10-26T00:00:00"/>
    <d v="2024-10-26T00:00:00"/>
    <n v="2"/>
    <n v="193.97499999999999"/>
    <n v="564"/>
    <n v="0"/>
    <n v="0"/>
  </r>
  <r>
    <s v="Brand ABC TDM"/>
    <x v="2"/>
    <s v="Mens"/>
    <x v="9"/>
    <s v="A4A7J-GB8N"/>
    <x v="24"/>
    <s v="XS"/>
    <x v="0"/>
    <d v="2024-10-25T00:00:00"/>
    <d v="2024-11-12T00:00:00"/>
    <n v="4"/>
    <n v="393.60759999999999"/>
    <n v="1128"/>
    <n v="0"/>
    <n v="0"/>
  </r>
  <r>
    <s v="Brand ABC TDM"/>
    <x v="2"/>
    <s v="Mens"/>
    <x v="9"/>
    <s v="A4A8F-GB8N"/>
    <x v="24"/>
    <s v="L"/>
    <x v="0"/>
    <d v="2024-10-25T00:00:00"/>
    <d v="2024-11-21T00:00:00"/>
    <n v="17"/>
    <n v="1587.5589"/>
    <n v="4385.37"/>
    <n v="2"/>
    <n v="195.3254"/>
  </r>
  <r>
    <s v="Brand ABC TDM"/>
    <x v="2"/>
    <s v="Mens"/>
    <x v="9"/>
    <s v="A4A8F-GB8N"/>
    <x v="24"/>
    <s v="M"/>
    <x v="0"/>
    <d v="2024-10-25T00:00:00"/>
    <d v="2024-11-21T00:00:00"/>
    <n v="10"/>
    <n v="948.77869999999996"/>
    <n v="2562.88"/>
    <n v="3"/>
    <n v="289.02300000000002"/>
  </r>
  <r>
    <s v="Brand ABC TDM"/>
    <x v="2"/>
    <s v="Mens"/>
    <x v="9"/>
    <s v="A4A8F-GB8N"/>
    <x v="24"/>
    <s v="S"/>
    <x v="0"/>
    <d v="2024-10-25T00:00:00"/>
    <d v="2024-11-19T00:00:00"/>
    <n v="10"/>
    <n v="937.12300000000005"/>
    <n v="2591.36"/>
    <n v="0"/>
    <n v="0"/>
  </r>
  <r>
    <s v="Brand ABC TDM"/>
    <x v="2"/>
    <s v="Mens"/>
    <x v="9"/>
    <s v="A4A8F-GB8N"/>
    <x v="24"/>
    <s v="XL"/>
    <x v="0"/>
    <d v="2024-10-26T00:00:00"/>
    <d v="2024-11-13T00:00:00"/>
    <n v="7"/>
    <n v="608.32240000000002"/>
    <n v="1794"/>
    <n v="0"/>
    <n v="0"/>
  </r>
  <r>
    <s v="Brand ABC TDM"/>
    <x v="2"/>
    <s v="Mens"/>
    <x v="9"/>
    <s v="A4A8F-UCMS"/>
    <x v="24"/>
    <s v="L"/>
    <x v="1"/>
    <d v="2024-10-25T00:00:00"/>
    <d v="2024-11-15T00:00:00"/>
    <n v="10"/>
    <n v="941.18299999999999"/>
    <n v="2562.88"/>
    <n v="1"/>
    <n v="94.118300000000005"/>
  </r>
  <r>
    <s v="Brand ABC TDM"/>
    <x v="2"/>
    <s v="Mens"/>
    <x v="9"/>
    <s v="A4A8F-UCMS"/>
    <x v="24"/>
    <s v="M"/>
    <x v="1"/>
    <d v="2024-10-26T00:00:00"/>
    <d v="2024-11-14T00:00:00"/>
    <n v="9"/>
    <n v="847.06470000000002"/>
    <n v="2306.58"/>
    <n v="0"/>
    <n v="0"/>
  </r>
  <r>
    <s v="Brand ABC TDM"/>
    <x v="2"/>
    <s v="Mens"/>
    <x v="9"/>
    <s v="A4A8F-UCMS"/>
    <x v="24"/>
    <s v="S"/>
    <x v="1"/>
    <d v="2024-10-26T00:00:00"/>
    <d v="2024-11-13T00:00:00"/>
    <n v="11"/>
    <n v="1035.3013000000001"/>
    <n v="2847.63"/>
    <n v="1"/>
    <n v="94.118300000000005"/>
  </r>
  <r>
    <s v="Brand ABC TDM"/>
    <x v="2"/>
    <s v="Mens"/>
    <x v="9"/>
    <s v="A4A8F-UCMS"/>
    <x v="24"/>
    <s v="XL"/>
    <x v="1"/>
    <d v="2024-10-25T00:00:00"/>
    <d v="2024-10-25T00:00:00"/>
    <n v="2"/>
    <n v="188.23660000000001"/>
    <n v="512.57000000000005"/>
    <n v="0"/>
    <n v="0"/>
  </r>
  <r>
    <s v="Brand ABC TDM"/>
    <x v="2"/>
    <s v="Mens"/>
    <x v="9"/>
    <s v="A4A8F-UCMS"/>
    <x v="24"/>
    <s v="XS"/>
    <x v="1"/>
    <d v="2024-10-26T00:00:00"/>
    <d v="2024-10-26T00:00:00"/>
    <n v="2"/>
    <n v="188.23660000000001"/>
    <n v="512.57000000000005"/>
    <n v="0"/>
    <n v="0"/>
  </r>
  <r>
    <s v="Brand ABC TDM"/>
    <x v="2"/>
    <s v="Mens"/>
    <x v="9"/>
    <s v="A5A4V-BB3K"/>
    <x v="16"/>
    <s v="L"/>
    <x v="1"/>
    <d v="2024-10-25T00:00:00"/>
    <d v="2024-11-21T00:00:00"/>
    <n v="18"/>
    <n v="1544.3688"/>
    <n v="4090.19"/>
    <n v="0"/>
    <n v="0"/>
  </r>
  <r>
    <s v="Brand ABC TDM"/>
    <x v="2"/>
    <s v="Mens"/>
    <x v="9"/>
    <s v="A5A4V-BB3K"/>
    <x v="16"/>
    <s v="M"/>
    <x v="1"/>
    <d v="2024-10-25T00:00:00"/>
    <d v="2024-11-28T00:00:00"/>
    <n v="16"/>
    <n v="1376.0469000000001"/>
    <n v="3701.89"/>
    <n v="8"/>
    <n v="708.32079999999996"/>
  </r>
  <r>
    <s v="Brand ABC TDM"/>
    <x v="2"/>
    <s v="Mens"/>
    <x v="9"/>
    <s v="A5A4V-BB3K"/>
    <x v="16"/>
    <s v="S"/>
    <x v="1"/>
    <d v="2024-10-26T00:00:00"/>
    <d v="2024-11-13T00:00:00"/>
    <n v="11"/>
    <n v="941.06209999999999"/>
    <n v="2415.41"/>
    <n v="0"/>
    <n v="0"/>
  </r>
  <r>
    <s v="Brand ABC TDM"/>
    <x v="2"/>
    <s v="Mens"/>
    <x v="9"/>
    <s v="A5A4V-BB3K"/>
    <x v="16"/>
    <s v="XL"/>
    <x v="1"/>
    <d v="2024-10-26T00:00:00"/>
    <d v="2024-10-26T00:00:00"/>
    <n v="2"/>
    <n v="171.10220000000001"/>
    <n v="461.14"/>
    <n v="0"/>
    <n v="0"/>
  </r>
  <r>
    <s v="Brand ABC TDM"/>
    <x v="2"/>
    <s v="Mens"/>
    <x v="9"/>
    <s v="A5A4V-BB3K"/>
    <x v="16"/>
    <s v="XS"/>
    <x v="1"/>
    <d v="2024-10-26T00:00:00"/>
    <d v="2024-10-26T00:00:00"/>
    <n v="2"/>
    <n v="171.10220000000001"/>
    <n v="461.14"/>
    <n v="0"/>
    <n v="0"/>
  </r>
  <r>
    <s v="Brand ABC TDM"/>
    <x v="2"/>
    <s v="Mens"/>
    <x v="9"/>
    <s v="A5A8O-BB2J"/>
    <x v="11"/>
    <s v="L"/>
    <x v="0"/>
    <d v="2024-10-28T00:00:00"/>
    <d v="2024-12-04T00:00:00"/>
    <n v="12"/>
    <n v="885.93510000000003"/>
    <n v="2333.61"/>
    <n v="2"/>
    <n v="149.87860000000001"/>
  </r>
  <r>
    <s v="Brand ABC TDM"/>
    <x v="2"/>
    <s v="Mens"/>
    <x v="9"/>
    <s v="A5A8O-BB2J"/>
    <x v="11"/>
    <s v="M"/>
    <x v="0"/>
    <d v="2024-10-28T00:00:00"/>
    <d v="2024-12-17T00:00:00"/>
    <n v="7"/>
    <n v="512.61310000000003"/>
    <n v="1374.02"/>
    <n v="6"/>
    <n v="448.85700000000003"/>
  </r>
  <r>
    <s v="Brand ABC TDM"/>
    <x v="2"/>
    <s v="Mens"/>
    <x v="9"/>
    <s v="A5A8O-BB2J"/>
    <x v="11"/>
    <s v="S"/>
    <x v="0"/>
    <d v="2024-10-28T00:00:00"/>
    <d v="2024-12-04T00:00:00"/>
    <n v="9"/>
    <n v="666.2799"/>
    <n v="1766.58"/>
    <n v="2"/>
    <n v="150.7088"/>
  </r>
  <r>
    <s v="Brand ABC TDM"/>
    <x v="2"/>
    <s v="Mens"/>
    <x v="9"/>
    <s v="A5A8O-BB2J"/>
    <x v="11"/>
    <s v="XS"/>
    <x v="0"/>
    <d v="2024-10-28T00:00:00"/>
    <d v="2024-12-04T00:00:00"/>
    <n v="3"/>
    <n v="220.2253"/>
    <n v="588.86"/>
    <n v="1"/>
    <n v="74.653899999999993"/>
  </r>
  <r>
    <s v="Brand ABC TDM"/>
    <x v="2"/>
    <s v="Mens"/>
    <x v="9"/>
    <s v="A5A8O-NCCZ"/>
    <x v="11"/>
    <s v="L"/>
    <x v="0"/>
    <d v="2024-10-28T00:00:00"/>
    <d v="2024-12-04T00:00:00"/>
    <n v="11"/>
    <n v="813.35990000000004"/>
    <n v="2180.9"/>
    <n v="1"/>
    <n v="75.014099999999999"/>
  </r>
  <r>
    <s v="Brand ABC TDM"/>
    <x v="2"/>
    <s v="Mens"/>
    <x v="9"/>
    <s v="A5A8O-NCCZ"/>
    <x v="11"/>
    <s v="M"/>
    <x v="0"/>
    <d v="2024-10-28T00:00:00"/>
    <d v="2024-11-30T00:00:00"/>
    <n v="13"/>
    <n v="964.40940000000001"/>
    <n v="2573.5500000000002"/>
    <n v="1"/>
    <n v="75.139499999999998"/>
  </r>
  <r>
    <s v="Brand ABC TDM"/>
    <x v="2"/>
    <s v="Mens"/>
    <x v="9"/>
    <s v="A5A8O-NCCZ"/>
    <x v="11"/>
    <s v="S"/>
    <x v="0"/>
    <d v="2024-10-28T00:00:00"/>
    <d v="2024-12-05T00:00:00"/>
    <n v="8"/>
    <n v="591.31489999999997"/>
    <n v="1592.03"/>
    <n v="0"/>
    <n v="0"/>
  </r>
  <r>
    <s v="Brand ABC TDM"/>
    <x v="2"/>
    <s v="Mens"/>
    <x v="9"/>
    <s v="A5A8O-NCCZ"/>
    <x v="11"/>
    <s v="XS"/>
    <x v="0"/>
    <d v="2024-10-28T00:00:00"/>
    <d v="2024-10-28T00:00:00"/>
    <n v="2"/>
    <n v="143.70320000000001"/>
    <n v="392.58"/>
    <n v="0"/>
    <n v="0"/>
  </r>
  <r>
    <s v="Brand ABC TDM"/>
    <x v="2"/>
    <s v="Mens"/>
    <x v="9"/>
    <s v="A6A6Z-NB4S"/>
    <x v="20"/>
    <s v="L"/>
    <x v="1"/>
    <d v="2024-12-12T00:00:00"/>
    <d v="2024-12-12T00:00:00"/>
    <n v="0"/>
    <n v="0"/>
    <n v="0"/>
    <n v="6"/>
    <n v="756.04859999999996"/>
  </r>
  <r>
    <s v="Brand ABC TDM"/>
    <x v="2"/>
    <s v="Mens"/>
    <x v="9"/>
    <s v="A6A6Z-NB4S"/>
    <x v="20"/>
    <s v="M"/>
    <x v="1"/>
    <d v="2024-12-12T00:00:00"/>
    <d v="2024-12-12T00:00:00"/>
    <n v="0"/>
    <n v="0"/>
    <n v="0"/>
    <n v="6"/>
    <n v="756.04859999999996"/>
  </r>
  <r>
    <s v="Brand ABC TDM"/>
    <x v="2"/>
    <s v="Mens"/>
    <x v="9"/>
    <s v="A6A6Z-NB4S"/>
    <x v="20"/>
    <s v="S"/>
    <x v="1"/>
    <d v="2024-12-12T00:00:00"/>
    <d v="2024-12-12T00:00:00"/>
    <n v="0"/>
    <n v="0"/>
    <n v="0"/>
    <n v="4"/>
    <n v="504.0324"/>
  </r>
  <r>
    <s v="Brand ABC TDM"/>
    <x v="2"/>
    <s v="Mens"/>
    <x v="9"/>
    <s v="A6A6Z-NB4S"/>
    <x v="20"/>
    <s v="XS"/>
    <x v="1"/>
    <d v="2024-12-12T00:00:00"/>
    <d v="2024-12-12T00:00:00"/>
    <n v="0"/>
    <n v="0"/>
    <n v="0"/>
    <n v="2"/>
    <n v="252.0162"/>
  </r>
  <r>
    <s v="Brand ABC TDM"/>
    <x v="2"/>
    <s v="Mens"/>
    <x v="9"/>
    <s v="A6A7J-BCPH"/>
    <x v="22"/>
    <s v="L"/>
    <x v="1"/>
    <d v="2024-11-29T00:00:00"/>
    <d v="2024-12-17T00:00:00"/>
    <n v="8"/>
    <n v="1079.8263999999999"/>
    <n v="2882.46"/>
    <n v="3"/>
    <n v="404.93490000000003"/>
  </r>
  <r>
    <s v="Brand ABC TDM"/>
    <x v="2"/>
    <s v="Mens"/>
    <x v="9"/>
    <s v="A6A7J-BCPH"/>
    <x v="22"/>
    <s v="M"/>
    <x v="1"/>
    <d v="2024-11-29T00:00:00"/>
    <d v="2024-12-21T00:00:00"/>
    <n v="6"/>
    <n v="809.86980000000005"/>
    <n v="2142.37"/>
    <n v="4"/>
    <n v="539.91319999999996"/>
  </r>
  <r>
    <s v="Brand ABC TDM"/>
    <x v="2"/>
    <s v="Mens"/>
    <x v="9"/>
    <s v="A6A7J-BCPH"/>
    <x v="22"/>
    <s v="S"/>
    <x v="1"/>
    <d v="2024-11-29T00:00:00"/>
    <d v="2024-12-20T00:00:00"/>
    <n v="3"/>
    <n v="404.93490000000003"/>
    <n v="1051.71"/>
    <n v="4"/>
    <n v="539.91319999999996"/>
  </r>
  <r>
    <s v="Brand ABC TDM"/>
    <x v="2"/>
    <s v="Mens"/>
    <x v="9"/>
    <s v="A6A7J-BCPH"/>
    <x v="22"/>
    <s v="XS"/>
    <x v="1"/>
    <d v="2024-11-29T00:00:00"/>
    <d v="2024-12-17T00:00:00"/>
    <n v="1"/>
    <n v="134.97829999999999"/>
    <n v="389.52"/>
    <n v="3"/>
    <n v="404.93490000000003"/>
  </r>
  <r>
    <s v="Brand ABC TDM"/>
    <x v="2"/>
    <s v="Mens"/>
    <x v="9"/>
    <s v="A6A7J-GCV5"/>
    <x v="22"/>
    <s v="L"/>
    <x v="1"/>
    <d v="2024-11-29T00:00:00"/>
    <d v="2024-12-13T00:00:00"/>
    <n v="3"/>
    <n v="404.93490000000003"/>
    <n v="1090.67"/>
    <n v="4"/>
    <n v="539.91319999999996"/>
  </r>
  <r>
    <s v="Brand ABC TDM"/>
    <x v="2"/>
    <s v="Mens"/>
    <x v="9"/>
    <s v="A6A7J-GCV5"/>
    <x v="22"/>
    <s v="M"/>
    <x v="1"/>
    <d v="2024-11-29T00:00:00"/>
    <d v="2024-12-12T00:00:00"/>
    <n v="5"/>
    <n v="674.89149999999995"/>
    <n v="1830.76"/>
    <n v="4"/>
    <n v="539.91319999999996"/>
  </r>
  <r>
    <s v="Brand ABC TDM"/>
    <x v="2"/>
    <s v="Mens"/>
    <x v="9"/>
    <s v="A6A7J-GCV5"/>
    <x v="22"/>
    <s v="S"/>
    <x v="1"/>
    <d v="2024-11-29T00:00:00"/>
    <d v="2024-12-13T00:00:00"/>
    <n v="4"/>
    <n v="539.91319999999996"/>
    <n v="1402.28"/>
    <n v="4"/>
    <n v="539.91319999999996"/>
  </r>
  <r>
    <s v="Brand ABC TDM"/>
    <x v="2"/>
    <s v="Mens"/>
    <x v="9"/>
    <s v="A6A7J-GCV5"/>
    <x v="22"/>
    <s v="XS"/>
    <x v="1"/>
    <d v="2024-11-29T00:00:00"/>
    <d v="2024-11-29T00:00:00"/>
    <n v="1"/>
    <n v="134.97829999999999"/>
    <n v="350.57"/>
    <n v="1"/>
    <n v="134.97829999999999"/>
  </r>
  <r>
    <s v="Brand ABC TDM"/>
    <x v="2"/>
    <s v="Mens"/>
    <x v="9"/>
    <s v="A7A1J-BB2J"/>
    <x v="21"/>
    <s v="L"/>
    <x v="1"/>
    <d v="2024-12-04T00:00:00"/>
    <d v="2024-12-04T00:00:00"/>
    <n v="2"/>
    <n v="269.95659999999998"/>
    <n v="740.09"/>
    <n v="4"/>
    <n v="539.91319999999996"/>
  </r>
  <r>
    <s v="Brand ABC TDM"/>
    <x v="2"/>
    <s v="Mens"/>
    <x v="9"/>
    <s v="A7A1J-BB2J"/>
    <x v="21"/>
    <s v="M"/>
    <x v="1"/>
    <d v="2024-12-04T00:00:00"/>
    <d v="2024-12-11T00:00:00"/>
    <n v="3"/>
    <n v="404.93490000000003"/>
    <n v="1129.6099999999999"/>
    <n v="4"/>
    <n v="539.91319999999996"/>
  </r>
  <r>
    <s v="Brand ABC TDM"/>
    <x v="2"/>
    <s v="Mens"/>
    <x v="9"/>
    <s v="A7A3M-BB67"/>
    <x v="20"/>
    <s v="L"/>
    <x v="0"/>
    <d v="2024-10-28T00:00:00"/>
    <d v="2024-12-12T00:00:00"/>
    <n v="13"/>
    <n v="1488.1004"/>
    <n v="4034.47"/>
    <n v="4"/>
    <n v="466.12240000000003"/>
  </r>
  <r>
    <s v="Brand ABC TDM"/>
    <x v="2"/>
    <s v="Mens"/>
    <x v="9"/>
    <s v="A7A3M-BB67"/>
    <x v="20"/>
    <s v="M"/>
    <x v="0"/>
    <d v="2024-10-28T00:00:00"/>
    <d v="2024-12-13T00:00:00"/>
    <n v="12"/>
    <n v="1373.5767000000001"/>
    <n v="3863.49"/>
    <n v="6"/>
    <n v="699.18359999999996"/>
  </r>
  <r>
    <s v="Brand ABC TDM"/>
    <x v="2"/>
    <s v="Mens"/>
    <x v="9"/>
    <s v="A7A3M-BB67"/>
    <x v="20"/>
    <s v="S"/>
    <x v="0"/>
    <d v="2024-10-28T00:00:00"/>
    <d v="2024-12-12T00:00:00"/>
    <n v="7"/>
    <n v="801.13620000000003"/>
    <n v="2154.02"/>
    <n v="4"/>
    <n v="466.53559999999999"/>
  </r>
  <r>
    <s v="Brand ABC TDM"/>
    <x v="2"/>
    <s v="Mens"/>
    <x v="9"/>
    <s v="A7A3M-BB67"/>
    <x v="20"/>
    <s v="XS"/>
    <x v="0"/>
    <d v="2024-10-28T00:00:00"/>
    <d v="2024-10-28T00:00:00"/>
    <n v="1"/>
    <n v="111.2123"/>
    <n v="307.70999999999998"/>
    <n v="1"/>
    <n v="111.2123"/>
  </r>
  <r>
    <s v="Brand ABC TDM"/>
    <x v="2"/>
    <s v="Mens"/>
    <x v="10"/>
    <s v="A1B5T-BB2J"/>
    <x v="28"/>
    <s v="L"/>
    <x v="1"/>
    <d v="2024-10-26T00:00:00"/>
    <d v="2024-11-26T00:00:00"/>
    <n v="12"/>
    <n v="337.33609999999999"/>
    <n v="915.47"/>
    <n v="0"/>
    <n v="0"/>
  </r>
  <r>
    <s v="Brand ABC TDM"/>
    <x v="2"/>
    <s v="Mens"/>
    <x v="10"/>
    <s v="A1B5T-BB2J"/>
    <x v="28"/>
    <s v="M"/>
    <x v="1"/>
    <d v="2024-10-26T00:00:00"/>
    <d v="2024-12-07T00:00:00"/>
    <n v="9"/>
    <n v="252.43559999999999"/>
    <n v="686.56"/>
    <n v="6"/>
    <n v="171.37200000000001"/>
  </r>
  <r>
    <s v="Brand ABC TDM"/>
    <x v="2"/>
    <s v="Mens"/>
    <x v="10"/>
    <s v="A1B5T-BB2J"/>
    <x v="28"/>
    <s v="S"/>
    <x v="1"/>
    <d v="2024-10-26T00:00:00"/>
    <d v="2024-12-13T00:00:00"/>
    <n v="5"/>
    <n v="139.62200000000001"/>
    <n v="389.91"/>
    <n v="4"/>
    <n v="114.0932"/>
  </r>
  <r>
    <s v="Brand ABC TDM"/>
    <x v="2"/>
    <s v="Mens"/>
    <x v="10"/>
    <s v="A1B5T-BB2J"/>
    <x v="28"/>
    <s v="XS"/>
    <x v="1"/>
    <d v="2024-10-26T00:00:00"/>
    <d v="2024-12-10T00:00:00"/>
    <n v="4"/>
    <n v="112.6237"/>
    <n v="322.10000000000002"/>
    <n v="2"/>
    <n v="57.4694"/>
  </r>
  <r>
    <s v="Brand ABC TDM"/>
    <x v="2"/>
    <s v="Mens"/>
    <x v="10"/>
    <s v="A1B5T-WB57"/>
    <x v="28"/>
    <s v="L"/>
    <x v="1"/>
    <d v="2024-10-26T00:00:00"/>
    <d v="2024-12-12T00:00:00"/>
    <n v="9"/>
    <n v="252.3306"/>
    <n v="686.57"/>
    <n v="4"/>
    <n v="113.8288"/>
  </r>
  <r>
    <s v="Brand ABC TDM"/>
    <x v="2"/>
    <s v="Mens"/>
    <x v="10"/>
    <s v="A1B5T-WB57"/>
    <x v="28"/>
    <s v="M"/>
    <x v="1"/>
    <d v="2024-10-26T00:00:00"/>
    <d v="2024-12-10T00:00:00"/>
    <n v="3"/>
    <n v="82.320300000000003"/>
    <n v="228.87"/>
    <n v="8"/>
    <n v="226.19280000000001"/>
  </r>
  <r>
    <s v="Brand ABC TDM"/>
    <x v="2"/>
    <s v="Mens"/>
    <x v="10"/>
    <s v="A1B5T-WB57"/>
    <x v="28"/>
    <s v="S"/>
    <x v="1"/>
    <d v="2024-10-26T00:00:00"/>
    <d v="2024-12-10T00:00:00"/>
    <n v="3"/>
    <n v="83.176500000000004"/>
    <n v="228.86"/>
    <n v="4"/>
    <n v="112.8908"/>
  </r>
  <r>
    <s v="Brand ABC TDM"/>
    <x v="2"/>
    <s v="Mens"/>
    <x v="10"/>
    <s v="A1B5T-WB57"/>
    <x v="28"/>
    <s v="XS"/>
    <x v="1"/>
    <d v="2024-10-26T00:00:00"/>
    <d v="2024-12-07T00:00:00"/>
    <n v="2"/>
    <n v="55.510399999999997"/>
    <n v="152.58000000000001"/>
    <n v="2"/>
    <n v="56.935200000000002"/>
  </r>
  <r>
    <s v="Brand ABC TDM"/>
    <x v="2"/>
    <s v="Mens"/>
    <x v="10"/>
    <s v="A2A1O-GB7P"/>
    <x v="14"/>
    <s v="L"/>
    <x v="1"/>
    <d v="2024-10-28T00:00:00"/>
    <d v="2024-12-14T00:00:00"/>
    <n v="22"/>
    <n v="703.19039999999995"/>
    <n v="1895.07"/>
    <n v="4"/>
    <n v="129.46639999999999"/>
  </r>
  <r>
    <s v="Brand ABC TDM"/>
    <x v="2"/>
    <s v="Mens"/>
    <x v="10"/>
    <s v="A2A1O-GB7P"/>
    <x v="14"/>
    <s v="M"/>
    <x v="1"/>
    <d v="2024-10-28T00:00:00"/>
    <d v="2024-12-14T00:00:00"/>
    <n v="16"/>
    <n v="509.09050000000002"/>
    <n v="1367.17"/>
    <n v="4"/>
    <n v="129.19800000000001"/>
  </r>
  <r>
    <s v="Brand ABC TDM"/>
    <x v="2"/>
    <s v="Mens"/>
    <x v="10"/>
    <s v="A2A1O-GB7P"/>
    <x v="14"/>
    <s v="S"/>
    <x v="1"/>
    <d v="2024-10-28T00:00:00"/>
    <d v="2024-12-13T00:00:00"/>
    <n v="7"/>
    <n v="221.0343"/>
    <n v="603.42999999999995"/>
    <n v="4"/>
    <n v="128.904"/>
  </r>
  <r>
    <s v="Brand ABC TDM"/>
    <x v="2"/>
    <s v="Mens"/>
    <x v="10"/>
    <s v="A2A1O-GB7P"/>
    <x v="14"/>
    <s v="XL"/>
    <x v="1"/>
    <d v="2024-10-28T00:00:00"/>
    <d v="2024-10-28T00:00:00"/>
    <n v="2"/>
    <n v="61.587000000000003"/>
    <n v="169.72"/>
    <n v="0"/>
    <n v="0"/>
  </r>
  <r>
    <s v="Brand ABC TDM"/>
    <x v="2"/>
    <s v="Mens"/>
    <x v="10"/>
    <s v="A2A1O-GB7P"/>
    <x v="14"/>
    <s v="XS"/>
    <x v="1"/>
    <d v="2024-10-28T00:00:00"/>
    <d v="2024-11-28T00:00:00"/>
    <n v="0"/>
    <n v="-0.80069999999999897"/>
    <n v="0"/>
    <n v="3"/>
    <n v="94.782600000000002"/>
  </r>
  <r>
    <s v="Brand ABC TDM"/>
    <x v="2"/>
    <s v="Mens"/>
    <x v="10"/>
    <s v="A2A1O-OBRS"/>
    <x v="14"/>
    <s v="L"/>
    <x v="1"/>
    <d v="2024-10-28T00:00:00"/>
    <d v="2024-10-28T00:00:00"/>
    <n v="0"/>
    <n v="0"/>
    <n v="0"/>
    <n v="6"/>
    <n v="184.761"/>
  </r>
  <r>
    <s v="Brand ABC TDM"/>
    <x v="2"/>
    <s v="Mens"/>
    <x v="10"/>
    <s v="A2A1O-OBRS"/>
    <x v="14"/>
    <s v="M"/>
    <x v="1"/>
    <d v="2024-10-28T00:00:00"/>
    <d v="2024-10-28T00:00:00"/>
    <n v="0"/>
    <n v="0"/>
    <n v="0"/>
    <n v="6"/>
    <n v="184.761"/>
  </r>
  <r>
    <s v="Brand ABC TDM"/>
    <x v="2"/>
    <s v="Mens"/>
    <x v="10"/>
    <s v="A2A1O-OBRS"/>
    <x v="14"/>
    <s v="S"/>
    <x v="1"/>
    <d v="2024-10-28T00:00:00"/>
    <d v="2024-11-28T00:00:00"/>
    <n v="1"/>
    <n v="30.793500000000002"/>
    <n v="84.85"/>
    <n v="4"/>
    <n v="124.7752"/>
  </r>
  <r>
    <s v="Brand ABC TDM"/>
    <x v="2"/>
    <s v="Mens"/>
    <x v="10"/>
    <s v="A2A1O-OBRS"/>
    <x v="14"/>
    <s v="XS"/>
    <x v="1"/>
    <d v="2024-10-28T00:00:00"/>
    <d v="2024-10-28T00:00:00"/>
    <n v="0"/>
    <n v="0"/>
    <n v="0"/>
    <n v="2"/>
    <n v="61.587000000000003"/>
  </r>
  <r>
    <s v="Brand ABC TDM"/>
    <x v="2"/>
    <s v="Mens"/>
    <x v="10"/>
    <s v="A3A7Q-BBBB"/>
    <x v="11"/>
    <s v="L"/>
    <x v="0"/>
    <d v="2024-05-20T00:00:00"/>
    <d v="2024-12-04T00:00:00"/>
    <n v="5"/>
    <n v="173.2835"/>
    <n v="467.15"/>
    <n v="6"/>
    <n v="212.85300000000001"/>
  </r>
  <r>
    <s v="Brand ABC TDM"/>
    <x v="2"/>
    <s v="Mens"/>
    <x v="10"/>
    <s v="A3A7Q-BBBB"/>
    <x v="11"/>
    <s v="M"/>
    <x v="0"/>
    <d v="2024-05-20T00:00:00"/>
    <d v="2024-12-11T00:00:00"/>
    <n v="6"/>
    <n v="208.9513"/>
    <n v="560.58000000000004"/>
    <n v="6"/>
    <n v="213.23580000000001"/>
  </r>
  <r>
    <s v="Brand ABC TDM"/>
    <x v="2"/>
    <s v="Mens"/>
    <x v="10"/>
    <s v="A3A7Q-BBBB"/>
    <x v="11"/>
    <s v="S"/>
    <x v="0"/>
    <d v="2024-05-20T00:00:00"/>
    <d v="2024-12-05T00:00:00"/>
    <n v="3"/>
    <n v="103.9177"/>
    <n v="280.29000000000002"/>
    <n v="4"/>
    <n v="141.04159999999999"/>
  </r>
  <r>
    <s v="Brand ABC TDM"/>
    <x v="2"/>
    <s v="Mens"/>
    <x v="10"/>
    <s v="A3A7Q-BBBB"/>
    <x v="11"/>
    <s v="XL"/>
    <x v="0"/>
    <d v="2024-05-20T00:00:00"/>
    <d v="2024-12-04T00:00:00"/>
    <n v="2"/>
    <n v="69.387900000000002"/>
    <n v="186.86"/>
    <n v="2"/>
    <n v="71.168800000000005"/>
  </r>
  <r>
    <s v="Brand ABC TDM"/>
    <x v="2"/>
    <s v="Mens"/>
    <x v="10"/>
    <s v="A3A7Q-BBBB"/>
    <x v="11"/>
    <s v="XS"/>
    <x v="0"/>
    <d v="2024-05-20T00:00:00"/>
    <d v="2024-11-30T00:00:00"/>
    <n v="2"/>
    <n v="67.596999999999994"/>
    <n v="166.1"/>
    <n v="2"/>
    <n v="71.111999999999995"/>
  </r>
  <r>
    <s v="Brand ABC TDM"/>
    <x v="2"/>
    <s v="Mens"/>
    <x v="10"/>
    <s v="A3A7Q-WBBM"/>
    <x v="11"/>
    <s v="L"/>
    <x v="0"/>
    <d v="2024-10-28T00:00:00"/>
    <d v="2024-12-04T00:00:00"/>
    <n v="2"/>
    <n v="68.754300000000001"/>
    <n v="186.86"/>
    <n v="6"/>
    <n v="208.6362"/>
  </r>
  <r>
    <s v="Brand ABC TDM"/>
    <x v="2"/>
    <s v="Mens"/>
    <x v="10"/>
    <s v="A3A7Q-WBBM"/>
    <x v="11"/>
    <s v="M"/>
    <x v="0"/>
    <d v="2024-10-28T00:00:00"/>
    <d v="2024-12-11T00:00:00"/>
    <n v="3"/>
    <n v="103.5261"/>
    <n v="290.66000000000003"/>
    <n v="6"/>
    <n v="210.9084"/>
  </r>
  <r>
    <s v="Brand ABC TDM"/>
    <x v="2"/>
    <s v="Mens"/>
    <x v="10"/>
    <s v="A3A7Q-WBBM"/>
    <x v="11"/>
    <s v="S"/>
    <x v="0"/>
    <d v="2024-10-28T00:00:00"/>
    <d v="2024-12-04T00:00:00"/>
    <n v="1"/>
    <n v="34.228499999999997"/>
    <n v="93.43"/>
    <n v="4"/>
    <n v="138.69399999999999"/>
  </r>
  <r>
    <s v="Brand ABC TDM"/>
    <x v="2"/>
    <s v="Mens"/>
    <x v="10"/>
    <s v="A3A7Q-WBBM"/>
    <x v="11"/>
    <s v="XL"/>
    <x v="0"/>
    <d v="2024-10-28T00:00:00"/>
    <d v="2024-12-04T00:00:00"/>
    <n v="1"/>
    <n v="34.250700000000002"/>
    <n v="93.43"/>
    <n v="2"/>
    <n v="70.282399999999996"/>
  </r>
  <r>
    <s v="Brand ABC TDM"/>
    <x v="2"/>
    <s v="Mens"/>
    <x v="10"/>
    <s v="A3A7Q-WBBM"/>
    <x v="11"/>
    <s v="XS"/>
    <x v="0"/>
    <d v="2024-10-28T00:00:00"/>
    <d v="2024-11-30T00:00:00"/>
    <n v="1"/>
    <n v="34.231699999999996"/>
    <n v="93.43"/>
    <n v="2"/>
    <n v="70.243399999999994"/>
  </r>
  <r>
    <s v="Brand ABC TDM"/>
    <x v="2"/>
    <s v="Mens"/>
    <x v="10"/>
    <s v="A4A8U-GB8N"/>
    <x v="24"/>
    <s v="L"/>
    <x v="0"/>
    <d v="2024-10-26T00:00:00"/>
    <d v="2024-11-15T00:00:00"/>
    <n v="15"/>
    <n v="768.72149999999999"/>
    <n v="2237.2199999999998"/>
    <n v="2"/>
    <n v="102.4962"/>
  </r>
  <r>
    <s v="Brand ABC TDM"/>
    <x v="2"/>
    <s v="Mens"/>
    <x v="10"/>
    <s v="A4A8U-GB8N"/>
    <x v="24"/>
    <s v="M"/>
    <x v="0"/>
    <d v="2024-10-25T00:00:00"/>
    <d v="2024-11-15T00:00:00"/>
    <n v="7"/>
    <n v="359.25819999999999"/>
    <n v="1014"/>
    <n v="0"/>
    <n v="0"/>
  </r>
  <r>
    <s v="Brand ABC TDM"/>
    <x v="2"/>
    <s v="Mens"/>
    <x v="10"/>
    <s v="A4A8U-GB8N"/>
    <x v="24"/>
    <s v="S"/>
    <x v="0"/>
    <d v="2024-10-26T00:00:00"/>
    <d v="2024-11-15T00:00:00"/>
    <n v="3"/>
    <n v="153.78809999999999"/>
    <n v="434.57"/>
    <n v="1"/>
    <n v="51.262700000000002"/>
  </r>
  <r>
    <s v="Brand ABC TDM"/>
    <x v="2"/>
    <s v="Mens"/>
    <x v="10"/>
    <s v="A4A8U-GB8N"/>
    <x v="24"/>
    <s v="XL"/>
    <x v="0"/>
    <d v="2024-10-25T00:00:00"/>
    <d v="2024-10-25T00:00:00"/>
    <n v="2"/>
    <n v="98.811800000000005"/>
    <n v="289.72000000000003"/>
    <n v="0"/>
    <n v="0"/>
  </r>
  <r>
    <s v="Brand ABC TDM"/>
    <x v="2"/>
    <s v="Mens"/>
    <x v="10"/>
    <s v="A4A8U-GB8N"/>
    <x v="24"/>
    <s v="XS"/>
    <x v="0"/>
    <d v="2024-10-26T00:00:00"/>
    <d v="2024-11-09T00:00:00"/>
    <n v="3"/>
    <n v="153.96780000000001"/>
    <n v="434.67"/>
    <n v="0"/>
    <n v="0"/>
  </r>
  <r>
    <s v="Brand ABC TDM"/>
    <x v="2"/>
    <s v="Mens"/>
    <x v="10"/>
    <s v="A4A8U-GCWD"/>
    <x v="24"/>
    <s v="L"/>
    <x v="1"/>
    <d v="2024-10-26T00:00:00"/>
    <d v="2024-11-14T00:00:00"/>
    <n v="3"/>
    <n v="153.96780000000001"/>
    <n v="434.56"/>
    <n v="0"/>
    <n v="0"/>
  </r>
  <r>
    <s v="Brand ABC TDM"/>
    <x v="2"/>
    <s v="Mens"/>
    <x v="10"/>
    <s v="A4A8U-GCWD"/>
    <x v="24"/>
    <s v="M"/>
    <x v="1"/>
    <d v="2024-10-25T00:00:00"/>
    <d v="2024-11-15T00:00:00"/>
    <n v="5"/>
    <n v="256.613"/>
    <n v="724.3"/>
    <n v="1"/>
    <n v="51.322600000000001"/>
  </r>
  <r>
    <s v="Brand ABC TDM"/>
    <x v="2"/>
    <s v="Mens"/>
    <x v="10"/>
    <s v="A4A8U-GCWD"/>
    <x v="24"/>
    <s v="S"/>
    <x v="1"/>
    <d v="2024-10-26T00:00:00"/>
    <d v="2024-11-09T00:00:00"/>
    <n v="2"/>
    <n v="102.6452"/>
    <n v="273.62"/>
    <n v="0"/>
    <n v="0"/>
  </r>
  <r>
    <s v="Brand ABC TDM"/>
    <x v="2"/>
    <s v="Mens"/>
    <x v="10"/>
    <s v="A4A8U-GCWD"/>
    <x v="24"/>
    <s v="XL"/>
    <x v="1"/>
    <d v="2024-10-26T00:00:00"/>
    <d v="2024-10-26T00:00:00"/>
    <n v="2"/>
    <n v="102.6452"/>
    <n v="289.72000000000003"/>
    <n v="0"/>
    <n v="0"/>
  </r>
  <r>
    <s v="Brand ABC TDM"/>
    <x v="2"/>
    <s v="Mens"/>
    <x v="10"/>
    <s v="A4A8U-GCWD"/>
    <x v="24"/>
    <s v="XS"/>
    <x v="1"/>
    <d v="2024-10-26T00:00:00"/>
    <d v="2024-11-12T00:00:00"/>
    <n v="2"/>
    <n v="102.6452"/>
    <n v="305.81"/>
    <n v="0"/>
    <n v="0"/>
  </r>
  <r>
    <s v="Brand ABC TDM"/>
    <x v="2"/>
    <s v="Mens"/>
    <x v="10"/>
    <s v="A4A8U-UCMS"/>
    <x v="24"/>
    <s v="L"/>
    <x v="0"/>
    <d v="2024-10-26T00:00:00"/>
    <d v="2024-11-12T00:00:00"/>
    <n v="2"/>
    <n v="102.6452"/>
    <n v="289.72000000000003"/>
    <n v="0"/>
    <n v="0"/>
  </r>
  <r>
    <s v="Brand ABC TDM"/>
    <x v="2"/>
    <s v="Mens"/>
    <x v="10"/>
    <s v="A4A8U-UCMS"/>
    <x v="24"/>
    <s v="M"/>
    <x v="0"/>
    <d v="2024-10-26T00:00:00"/>
    <d v="2024-11-15T00:00:00"/>
    <n v="4"/>
    <n v="205.29040000000001"/>
    <n v="595.52"/>
    <n v="1"/>
    <n v="51.322600000000001"/>
  </r>
  <r>
    <s v="Brand ABC TDM"/>
    <x v="2"/>
    <s v="Mens"/>
    <x v="10"/>
    <s v="A4A8U-UCMS"/>
    <x v="24"/>
    <s v="S"/>
    <x v="0"/>
    <d v="2024-10-26T00:00:00"/>
    <d v="2024-11-13T00:00:00"/>
    <n v="3"/>
    <n v="153.96780000000001"/>
    <n v="434.58"/>
    <n v="0"/>
    <n v="0"/>
  </r>
  <r>
    <s v="Brand ABC TDM"/>
    <x v="2"/>
    <s v="Mens"/>
    <x v="10"/>
    <s v="A4A8U-UCMS"/>
    <x v="24"/>
    <s v="XL"/>
    <x v="0"/>
    <d v="2024-10-25T00:00:00"/>
    <d v="2024-10-25T00:00:00"/>
    <n v="2"/>
    <n v="102.6452"/>
    <n v="305.81"/>
    <n v="0"/>
    <n v="0"/>
  </r>
  <r>
    <s v="Brand ABC TDM"/>
    <x v="2"/>
    <s v="Mens"/>
    <x v="10"/>
    <s v="A4A8U-UCMS"/>
    <x v="24"/>
    <s v="XS"/>
    <x v="0"/>
    <d v="2024-10-26T00:00:00"/>
    <d v="2024-11-12T00:00:00"/>
    <n v="2"/>
    <n v="102.6452"/>
    <n v="289.70999999999998"/>
    <n v="0"/>
    <n v="0"/>
  </r>
  <r>
    <s v="Brand ABC TDM"/>
    <x v="2"/>
    <s v="Mens"/>
    <x v="10"/>
    <s v="A5A3A-ECH1"/>
    <x v="3"/>
    <s v="L"/>
    <x v="1"/>
    <d v="2024-12-07T00:00:00"/>
    <d v="2024-12-07T00:00:00"/>
    <n v="1"/>
    <n v="43.192999999999998"/>
    <n v="110.57"/>
    <n v="5"/>
    <n v="215.965"/>
  </r>
  <r>
    <s v="Brand ABC TDM"/>
    <x v="2"/>
    <s v="Mens"/>
    <x v="10"/>
    <s v="A5A3A-ECH1"/>
    <x v="3"/>
    <s v="M"/>
    <x v="1"/>
    <d v="2024-12-07T00:00:00"/>
    <d v="2024-12-07T00:00:00"/>
    <n v="0"/>
    <n v="0"/>
    <n v="0"/>
    <n v="6"/>
    <n v="259.15800000000002"/>
  </r>
  <r>
    <s v="Brand ABC TDM"/>
    <x v="2"/>
    <s v="Mens"/>
    <x v="10"/>
    <s v="A5A3A-ECH1"/>
    <x v="3"/>
    <s v="S"/>
    <x v="1"/>
    <d v="2024-12-07T00:00:00"/>
    <d v="2024-12-07T00:00:00"/>
    <n v="0"/>
    <n v="0"/>
    <n v="0"/>
    <n v="4"/>
    <n v="172.77199999999999"/>
  </r>
  <r>
    <s v="Brand ABC TDM"/>
    <x v="2"/>
    <s v="Mens"/>
    <x v="10"/>
    <s v="A5A3A-ECH1"/>
    <x v="3"/>
    <s v="XS"/>
    <x v="1"/>
    <d v="2024-12-07T00:00:00"/>
    <d v="2024-12-07T00:00:00"/>
    <n v="0"/>
    <n v="0"/>
    <n v="0"/>
    <n v="2"/>
    <n v="86.385999999999996"/>
  </r>
  <r>
    <s v="Brand ABC TDM"/>
    <x v="2"/>
    <s v="Mens"/>
    <x v="10"/>
    <s v="A5A3A-GB7P"/>
    <x v="3"/>
    <s v="L"/>
    <x v="3"/>
    <d v="2024-10-28T00:00:00"/>
    <d v="2024-10-28T00:00:00"/>
    <n v="0"/>
    <n v="0"/>
    <n v="0"/>
    <n v="4"/>
    <n v="164.232"/>
  </r>
  <r>
    <s v="Brand ABC TDM"/>
    <x v="2"/>
    <s v="Mens"/>
    <x v="10"/>
    <s v="A5A3A-GB7P"/>
    <x v="3"/>
    <s v="M"/>
    <x v="3"/>
    <d v="2024-10-28T00:00:00"/>
    <d v="2024-10-28T00:00:00"/>
    <n v="1"/>
    <n v="41.058"/>
    <n v="110.57"/>
    <n v="3"/>
    <n v="123.17400000000001"/>
  </r>
  <r>
    <s v="Brand ABC TDM"/>
    <x v="2"/>
    <s v="Mens"/>
    <x v="10"/>
    <s v="A5A3A-GB7P"/>
    <x v="3"/>
    <s v="S"/>
    <x v="3"/>
    <d v="2024-10-28T00:00:00"/>
    <d v="2024-10-28T00:00:00"/>
    <n v="0"/>
    <n v="0"/>
    <n v="0"/>
    <n v="3"/>
    <n v="123.17400000000001"/>
  </r>
  <r>
    <s v="Brand ABC TDM"/>
    <x v="2"/>
    <s v="Mens"/>
    <x v="10"/>
    <s v="A5A3A-GB7P"/>
    <x v="3"/>
    <s v="XL"/>
    <x v="3"/>
    <d v="2024-10-28T00:00:00"/>
    <d v="2024-10-28T00:00:00"/>
    <n v="1"/>
    <n v="41.058"/>
    <n v="122.86"/>
    <n v="0"/>
    <n v="0"/>
  </r>
  <r>
    <s v="Brand ABC TDM"/>
    <x v="2"/>
    <s v="Mens"/>
    <x v="10"/>
    <s v="A5A3A-GB7P"/>
    <x v="3"/>
    <s v="XS"/>
    <x v="3"/>
    <d v="2024-10-28T00:00:00"/>
    <d v="2024-10-28T00:00:00"/>
    <n v="0"/>
    <n v="0"/>
    <n v="0"/>
    <n v="1"/>
    <n v="41.058"/>
  </r>
  <r>
    <s v="Brand ABC TDM"/>
    <x v="2"/>
    <s v="Mens"/>
    <x v="10"/>
    <s v="A5A3A-NBZD"/>
    <x v="3"/>
    <s v="L"/>
    <x v="1"/>
    <d v="2024-12-07T00:00:00"/>
    <d v="2024-12-07T00:00:00"/>
    <n v="0"/>
    <n v="0"/>
    <n v="0"/>
    <n v="6"/>
    <n v="259.15800000000002"/>
  </r>
  <r>
    <s v="Brand ABC TDM"/>
    <x v="2"/>
    <s v="Mens"/>
    <x v="10"/>
    <s v="A5A3A-NBZD"/>
    <x v="3"/>
    <s v="M"/>
    <x v="1"/>
    <d v="2024-12-07T00:00:00"/>
    <d v="2024-12-07T00:00:00"/>
    <n v="0"/>
    <n v="0"/>
    <n v="0"/>
    <n v="6"/>
    <n v="259.15800000000002"/>
  </r>
  <r>
    <s v="Brand ABC TDM"/>
    <x v="2"/>
    <s v="Mens"/>
    <x v="10"/>
    <s v="A5A3A-NBZD"/>
    <x v="3"/>
    <s v="S"/>
    <x v="1"/>
    <d v="2024-12-07T00:00:00"/>
    <d v="2024-12-07T00:00:00"/>
    <n v="0"/>
    <n v="0"/>
    <n v="0"/>
    <n v="4"/>
    <n v="172.7724"/>
  </r>
  <r>
    <s v="Brand ABC TDM"/>
    <x v="2"/>
    <s v="Mens"/>
    <x v="10"/>
    <s v="A5A3A-NBZD"/>
    <x v="3"/>
    <s v="XL"/>
    <x v="1"/>
    <d v="2024-12-07T00:00:00"/>
    <d v="2024-12-11T00:00:00"/>
    <n v="1"/>
    <n v="43.193100000000001"/>
    <n v="122.86"/>
    <n v="2"/>
    <n v="86.386200000000002"/>
  </r>
  <r>
    <s v="Brand ABC TDM"/>
    <x v="2"/>
    <s v="Mens"/>
    <x v="10"/>
    <s v="A5A3A-NBZD"/>
    <x v="3"/>
    <s v="XS"/>
    <x v="1"/>
    <d v="2024-12-07T00:00:00"/>
    <d v="2024-12-07T00:00:00"/>
    <n v="0"/>
    <n v="0"/>
    <n v="0"/>
    <n v="2"/>
    <n v="86.386200000000002"/>
  </r>
  <r>
    <s v="Brand ABC TDM"/>
    <x v="2"/>
    <s v="Mens"/>
    <x v="10"/>
    <s v="A5A5C-BB3K"/>
    <x v="16"/>
    <s v="L"/>
    <x v="0"/>
    <d v="2024-10-11T00:00:00"/>
    <d v="2024-12-10T00:00:00"/>
    <n v="20"/>
    <n v="1127.3025"/>
    <n v="2889.09"/>
    <n v="6"/>
    <n v="345.88440000000003"/>
  </r>
  <r>
    <s v="Brand ABC TDM"/>
    <x v="2"/>
    <s v="Mens"/>
    <x v="10"/>
    <s v="A5A5C-BB3K"/>
    <x v="16"/>
    <s v="M"/>
    <x v="0"/>
    <d v="2024-10-11T00:00:00"/>
    <d v="2024-12-13T00:00:00"/>
    <n v="17"/>
    <n v="946.63630000000001"/>
    <n v="2494.79"/>
    <n v="6"/>
    <n v="345.06"/>
  </r>
  <r>
    <s v="Brand ABC TDM"/>
    <x v="2"/>
    <s v="Mens"/>
    <x v="10"/>
    <s v="A5A5C-BB3K"/>
    <x v="16"/>
    <s v="S"/>
    <x v="0"/>
    <d v="2024-10-11T00:00:00"/>
    <d v="2024-11-30T00:00:00"/>
    <n v="10"/>
    <n v="553.678"/>
    <n v="1416.41"/>
    <n v="6"/>
    <n v="345.88440000000003"/>
  </r>
  <r>
    <s v="Brand ABC TDM"/>
    <x v="2"/>
    <s v="Mens"/>
    <x v="10"/>
    <s v="A5A5C-BB3K"/>
    <x v="16"/>
    <s v="XL"/>
    <x v="0"/>
    <d v="2024-10-26T00:00:00"/>
    <d v="2024-12-10T00:00:00"/>
    <n v="2"/>
    <n v="109.5958"/>
    <n v="289.72000000000003"/>
    <n v="2"/>
    <n v="115.21"/>
  </r>
  <r>
    <s v="Brand ABC TDM"/>
    <x v="2"/>
    <s v="Mens"/>
    <x v="10"/>
    <s v="A5A5C-BB3K"/>
    <x v="16"/>
    <s v="XS"/>
    <x v="0"/>
    <d v="2024-10-26T00:00:00"/>
    <d v="2024-10-26T00:00:00"/>
    <n v="2"/>
    <n v="109.5958"/>
    <n v="289.70999999999998"/>
    <n v="0"/>
    <n v="0"/>
  </r>
  <r>
    <s v="Brand ABC TDM"/>
    <x v="2"/>
    <s v="Mens"/>
    <x v="10"/>
    <s v="A5A5C-GCHX"/>
    <x v="16"/>
    <s v="L"/>
    <x v="0"/>
    <d v="2024-10-26T00:00:00"/>
    <d v="2024-11-26T00:00:00"/>
    <n v="8"/>
    <n v="444.0822"/>
    <n v="1174.96"/>
    <n v="6"/>
    <n v="345.88440000000003"/>
  </r>
  <r>
    <s v="Brand ABC TDM"/>
    <x v="2"/>
    <s v="Mens"/>
    <x v="10"/>
    <s v="A5A5C-GCHX"/>
    <x v="16"/>
    <s v="M"/>
    <x v="0"/>
    <d v="2024-10-26T00:00:00"/>
    <d v="2024-11-21T00:00:00"/>
    <n v="6"/>
    <n v="328.78739999999999"/>
    <n v="869.14"/>
    <n v="6"/>
    <n v="343.03500000000003"/>
  </r>
  <r>
    <s v="Brand ABC TDM"/>
    <x v="2"/>
    <s v="Mens"/>
    <x v="10"/>
    <s v="A5A5C-GCHX"/>
    <x v="16"/>
    <s v="S"/>
    <x v="0"/>
    <d v="2024-10-26T00:00:00"/>
    <d v="2024-12-13T00:00:00"/>
    <n v="7"/>
    <n v="388.0376"/>
    <n v="1030.1099999999999"/>
    <n v="4"/>
    <n v="228.98679999999999"/>
  </r>
  <r>
    <s v="Brand ABC TDM"/>
    <x v="2"/>
    <s v="Mens"/>
    <x v="10"/>
    <s v="A5A5C-GCHX"/>
    <x v="16"/>
    <s v="XL"/>
    <x v="0"/>
    <d v="2024-10-26T00:00:00"/>
    <d v="2024-12-10T00:00:00"/>
    <n v="1"/>
    <n v="54.797899999999998"/>
    <n v="144.85"/>
    <n v="2"/>
    <n v="112.40560000000001"/>
  </r>
  <r>
    <s v="Brand ABC TDM"/>
    <x v="2"/>
    <s v="Mens"/>
    <x v="10"/>
    <s v="A5A5C-TBRK"/>
    <x v="16"/>
    <s v="L"/>
    <x v="1"/>
    <d v="2024-10-26T00:00:00"/>
    <d v="2024-12-10T00:00:00"/>
    <n v="9"/>
    <n v="503.55790000000002"/>
    <n v="1335.91"/>
    <n v="6"/>
    <n v="343.43340000000001"/>
  </r>
  <r>
    <s v="Brand ABC TDM"/>
    <x v="2"/>
    <s v="Mens"/>
    <x v="10"/>
    <s v="A5A5C-TBRK"/>
    <x v="16"/>
    <s v="M"/>
    <x v="1"/>
    <d v="2024-10-26T00:00:00"/>
    <d v="2024-12-13T00:00:00"/>
    <n v="6"/>
    <n v="334.43040000000002"/>
    <n v="885.25"/>
    <n v="6"/>
    <n v="340.88459999999998"/>
  </r>
  <r>
    <s v="Brand ABC TDM"/>
    <x v="2"/>
    <s v="Mens"/>
    <x v="10"/>
    <s v="A5A5C-TBRK"/>
    <x v="16"/>
    <s v="S"/>
    <x v="1"/>
    <d v="2024-10-26T00:00:00"/>
    <d v="2024-12-13T00:00:00"/>
    <n v="3"/>
    <n v="166.23050000000001"/>
    <n v="450.67"/>
    <n v="4"/>
    <n v="225.61519999999999"/>
  </r>
  <r>
    <s v="Brand ABC TDM"/>
    <x v="2"/>
    <s v="Mens"/>
    <x v="10"/>
    <s v="A5A5C-TBRK"/>
    <x v="16"/>
    <s v="XL"/>
    <x v="1"/>
    <d v="2024-10-26T00:00:00"/>
    <d v="2024-10-26T00:00:00"/>
    <n v="1"/>
    <n v="54.757599999999996"/>
    <n v="144.86000000000001"/>
    <n v="1"/>
    <n v="54.757599999999996"/>
  </r>
  <r>
    <s v="Brand ABC TDM"/>
    <x v="2"/>
    <s v="Mens"/>
    <x v="10"/>
    <s v="A5A5C-TBRK"/>
    <x v="16"/>
    <s v="XS"/>
    <x v="1"/>
    <d v="2024-10-26T00:00:00"/>
    <d v="2024-11-26T00:00:00"/>
    <n v="3"/>
    <n v="167.12020000000001"/>
    <n v="434.48"/>
    <n v="0"/>
    <n v="0"/>
  </r>
  <r>
    <s v="Brand ABC TDM"/>
    <x v="2"/>
    <s v="Mens"/>
    <x v="10"/>
    <s v="A5A9P-GB8N"/>
    <x v="24"/>
    <s v="L"/>
    <x v="0"/>
    <d v="2024-10-26T00:00:00"/>
    <d v="2024-11-15T00:00:00"/>
    <n v="6"/>
    <n v="307.93560000000002"/>
    <n v="869.16"/>
    <n v="0"/>
    <n v="0"/>
  </r>
  <r>
    <s v="Brand ABC TDM"/>
    <x v="2"/>
    <s v="Mens"/>
    <x v="10"/>
    <s v="A5A9P-GB8N"/>
    <x v="24"/>
    <s v="M"/>
    <x v="0"/>
    <d v="2024-10-26T00:00:00"/>
    <d v="2024-11-15T00:00:00"/>
    <n v="11"/>
    <n v="564.09320000000002"/>
    <n v="1561.25"/>
    <n v="0"/>
    <n v="0"/>
  </r>
  <r>
    <s v="Brand ABC TDM"/>
    <x v="2"/>
    <s v="Mens"/>
    <x v="10"/>
    <s v="A5A9P-GB8N"/>
    <x v="24"/>
    <s v="S"/>
    <x v="0"/>
    <d v="2024-10-26T00:00:00"/>
    <d v="2024-11-15T00:00:00"/>
    <n v="7"/>
    <n v="358.69889999999998"/>
    <n v="1014.01"/>
    <n v="1"/>
    <n v="51.242699999999999"/>
  </r>
  <r>
    <s v="Brand ABC TDM"/>
    <x v="2"/>
    <s v="Mens"/>
    <x v="10"/>
    <s v="A5A9P-GB8N"/>
    <x v="24"/>
    <s v="XL"/>
    <x v="0"/>
    <d v="2024-10-26T00:00:00"/>
    <d v="2024-10-26T00:00:00"/>
    <n v="2"/>
    <n v="102.6452"/>
    <n v="289.72000000000003"/>
    <n v="0"/>
    <n v="0"/>
  </r>
  <r>
    <s v="Brand ABC TDM"/>
    <x v="2"/>
    <s v="Mens"/>
    <x v="10"/>
    <s v="A5A9P-GB8N"/>
    <x v="24"/>
    <s v="XS"/>
    <x v="0"/>
    <d v="2024-10-26T00:00:00"/>
    <d v="2024-11-13T00:00:00"/>
    <n v="4"/>
    <n v="205.29040000000001"/>
    <n v="579.44000000000005"/>
    <n v="0"/>
    <n v="0"/>
  </r>
  <r>
    <s v="Brand ABC TDM"/>
    <x v="2"/>
    <s v="Mens"/>
    <x v="10"/>
    <s v="A6A7B-BB67"/>
    <x v="20"/>
    <s v="L"/>
    <x v="0"/>
    <d v="2024-12-12T00:00:00"/>
    <d v="2024-12-12T00:00:00"/>
    <n v="0"/>
    <n v="0"/>
    <n v="0"/>
    <n v="6"/>
    <n v="323.94839999999999"/>
  </r>
  <r>
    <s v="Brand ABC TDM"/>
    <x v="2"/>
    <s v="Mens"/>
    <x v="10"/>
    <s v="A6A7B-BB67"/>
    <x v="20"/>
    <s v="M"/>
    <x v="0"/>
    <d v="2024-12-12T00:00:00"/>
    <d v="2024-12-12T00:00:00"/>
    <n v="0"/>
    <n v="0"/>
    <n v="0"/>
    <n v="6"/>
    <n v="323.94839999999999"/>
  </r>
  <r>
    <s v="Brand ABC TDM"/>
    <x v="2"/>
    <s v="Mens"/>
    <x v="10"/>
    <s v="A6A7B-BB67"/>
    <x v="20"/>
    <s v="S"/>
    <x v="0"/>
    <d v="2024-12-12T00:00:00"/>
    <d v="2024-12-12T00:00:00"/>
    <n v="0"/>
    <n v="0"/>
    <n v="0"/>
    <n v="4"/>
    <n v="215.96559999999999"/>
  </r>
  <r>
    <s v="Brand ABC TDM"/>
    <x v="2"/>
    <s v="Mens"/>
    <x v="10"/>
    <s v="A6A7B-BB67"/>
    <x v="20"/>
    <s v="XL"/>
    <x v="0"/>
    <d v="2024-12-12T00:00:00"/>
    <d v="2024-12-12T00:00:00"/>
    <n v="0"/>
    <n v="0"/>
    <n v="0"/>
    <n v="2"/>
    <n v="107.9828"/>
  </r>
  <r>
    <s v="Brand ABC TDM"/>
    <x v="2"/>
    <s v="Mens"/>
    <x v="10"/>
    <s v="A6A7B-BB67"/>
    <x v="20"/>
    <s v="XS"/>
    <x v="0"/>
    <d v="2024-12-12T00:00:00"/>
    <d v="2024-12-12T00:00:00"/>
    <n v="0"/>
    <n v="0"/>
    <n v="0"/>
    <n v="2"/>
    <n v="107.9828"/>
  </r>
  <r>
    <s v="Brand ABC TDM"/>
    <x v="2"/>
    <s v="Mens"/>
    <x v="10"/>
    <s v="A6A7B-NB4S"/>
    <x v="20"/>
    <s v="L"/>
    <x v="1"/>
    <d v="2024-12-12T00:00:00"/>
    <d v="2024-12-12T00:00:00"/>
    <n v="0"/>
    <n v="0"/>
    <n v="0"/>
    <n v="6"/>
    <n v="323.94839999999999"/>
  </r>
  <r>
    <s v="Brand ABC TDM"/>
    <x v="2"/>
    <s v="Mens"/>
    <x v="10"/>
    <s v="A6A7B-NB4S"/>
    <x v="20"/>
    <s v="M"/>
    <x v="1"/>
    <d v="2024-12-12T00:00:00"/>
    <d v="2024-12-12T00:00:00"/>
    <n v="0"/>
    <n v="0"/>
    <n v="0"/>
    <n v="6"/>
    <n v="323.94839999999999"/>
  </r>
  <r>
    <s v="Brand ABC TDM"/>
    <x v="2"/>
    <s v="Mens"/>
    <x v="10"/>
    <s v="A6A7B-NB4S"/>
    <x v="20"/>
    <s v="S"/>
    <x v="1"/>
    <d v="2024-12-12T00:00:00"/>
    <d v="2024-12-12T00:00:00"/>
    <n v="0"/>
    <n v="0"/>
    <n v="0"/>
    <n v="4"/>
    <n v="215.96559999999999"/>
  </r>
  <r>
    <s v="Brand ABC TDM"/>
    <x v="2"/>
    <s v="Mens"/>
    <x v="10"/>
    <s v="A6A7B-NB4S"/>
    <x v="20"/>
    <s v="XL"/>
    <x v="1"/>
    <d v="2024-12-12T00:00:00"/>
    <d v="2024-12-12T00:00:00"/>
    <n v="0"/>
    <n v="0"/>
    <n v="0"/>
    <n v="2"/>
    <n v="107.9828"/>
  </r>
  <r>
    <s v="Brand ABC TDM"/>
    <x v="2"/>
    <s v="Mens"/>
    <x v="10"/>
    <s v="A6A7B-NB4S"/>
    <x v="20"/>
    <s v="XS"/>
    <x v="1"/>
    <d v="2024-12-12T00:00:00"/>
    <d v="2024-12-12T00:00:00"/>
    <n v="0"/>
    <n v="0"/>
    <n v="0"/>
    <n v="2"/>
    <n v="107.9828"/>
  </r>
  <r>
    <s v="Brand ABC TDM"/>
    <x v="2"/>
    <s v="Mens"/>
    <x v="11"/>
    <s v="A5A3V-BCCN"/>
    <x v="29"/>
    <s v="L"/>
    <x v="0"/>
    <d v="2024-12-07T00:00:00"/>
    <d v="2024-12-07T00:00:00"/>
    <n v="0"/>
    <n v="0"/>
    <n v="0"/>
    <n v="4"/>
    <n v="201.85120000000001"/>
  </r>
  <r>
    <s v="Brand ABC TDM"/>
    <x v="2"/>
    <s v="Mens"/>
    <x v="11"/>
    <s v="A5A3V-BCCN"/>
    <x v="29"/>
    <s v="M"/>
    <x v="0"/>
    <d v="2024-12-07T00:00:00"/>
    <d v="2024-12-07T00:00:00"/>
    <n v="0"/>
    <n v="0"/>
    <n v="0"/>
    <n v="5"/>
    <n v="252.31399999999999"/>
  </r>
  <r>
    <s v="Brand ABC TDM"/>
    <x v="2"/>
    <s v="Mens"/>
    <x v="11"/>
    <s v="A5A3V-BCCN"/>
    <x v="29"/>
    <s v="S"/>
    <x v="0"/>
    <d v="2024-12-07T00:00:00"/>
    <d v="2024-12-07T00:00:00"/>
    <n v="0"/>
    <n v="0"/>
    <n v="0"/>
    <n v="4"/>
    <n v="201.85120000000001"/>
  </r>
  <r>
    <s v="Brand ABC TDM"/>
    <x v="2"/>
    <s v="Mens"/>
    <x v="11"/>
    <s v="A5A3V-BCCN"/>
    <x v="29"/>
    <s v="XL"/>
    <x v="0"/>
    <d v="2024-12-07T00:00:00"/>
    <d v="2024-12-07T00:00:00"/>
    <n v="0"/>
    <n v="0"/>
    <n v="0"/>
    <n v="2"/>
    <n v="100.9256"/>
  </r>
  <r>
    <s v="Brand ABC TDM"/>
    <x v="2"/>
    <s v="Mens"/>
    <x v="11"/>
    <s v="A5A3V-BCCN"/>
    <x v="29"/>
    <s v="XS"/>
    <x v="0"/>
    <d v="2024-12-07T00:00:00"/>
    <d v="2024-12-07T00:00:00"/>
    <n v="0"/>
    <n v="0"/>
    <n v="0"/>
    <n v="2"/>
    <n v="100.9256"/>
  </r>
  <r>
    <s v="Brand ABC TDM"/>
    <x v="2"/>
    <s v="Mens"/>
    <x v="11"/>
    <s v="A5A3V-BCCW"/>
    <x v="29"/>
    <s v="L"/>
    <x v="0"/>
    <d v="2024-05-20T00:00:00"/>
    <d v="2024-12-07T00:00:00"/>
    <n v="0"/>
    <n v="0"/>
    <n v="0"/>
    <n v="4"/>
    <n v="208.9932"/>
  </r>
  <r>
    <s v="Brand ABC TDM"/>
    <x v="2"/>
    <s v="Mens"/>
    <x v="11"/>
    <s v="A5A3V-BCCW"/>
    <x v="29"/>
    <s v="M"/>
    <x v="0"/>
    <d v="2024-05-20T00:00:00"/>
    <d v="2024-12-07T00:00:00"/>
    <n v="0"/>
    <n v="0"/>
    <n v="0"/>
    <n v="5"/>
    <n v="261.24149999999997"/>
  </r>
  <r>
    <s v="Brand ABC TDM"/>
    <x v="2"/>
    <s v="Mens"/>
    <x v="11"/>
    <s v="A5A3V-BCCW"/>
    <x v="29"/>
    <s v="S"/>
    <x v="0"/>
    <d v="2024-05-20T00:00:00"/>
    <d v="2024-12-07T00:00:00"/>
    <n v="0"/>
    <n v="0"/>
    <n v="0"/>
    <n v="4"/>
    <n v="208.9932"/>
  </r>
  <r>
    <s v="Brand ABC TDM"/>
    <x v="2"/>
    <s v="Mens"/>
    <x v="11"/>
    <s v="A5A3V-BCCW"/>
    <x v="29"/>
    <s v="XL"/>
    <x v="0"/>
    <d v="2024-05-20T00:00:00"/>
    <d v="2024-12-07T00:00:00"/>
    <n v="0"/>
    <n v="0"/>
    <n v="0"/>
    <n v="1"/>
    <n v="52.2483"/>
  </r>
  <r>
    <s v="Brand ABC TDM"/>
    <x v="2"/>
    <s v="Mens"/>
    <x v="11"/>
    <s v="A5A3V-BCCW"/>
    <x v="29"/>
    <s v="XS"/>
    <x v="0"/>
    <d v="2024-05-20T00:00:00"/>
    <d v="2024-12-07T00:00:00"/>
    <n v="0"/>
    <n v="0"/>
    <n v="0"/>
    <n v="2"/>
    <n v="104.4966"/>
  </r>
  <r>
    <s v="Brand ABC TDM"/>
    <x v="2"/>
    <s v="Womens"/>
    <x v="5"/>
    <s v="B1A7M-BBBB"/>
    <x v="30"/>
    <s v="L"/>
    <x v="0"/>
    <d v="2024-12-07T00:00:00"/>
    <d v="2024-12-19T00:00:00"/>
    <n v="0"/>
    <n v="0"/>
    <n v="0"/>
    <n v="5"/>
    <n v="180.042"/>
  </r>
  <r>
    <s v="Brand ABC TDM"/>
    <x v="2"/>
    <s v="Womens"/>
    <x v="5"/>
    <s v="B1A7M-BBBB"/>
    <x v="30"/>
    <s v="M"/>
    <x v="0"/>
    <d v="2024-12-07T00:00:00"/>
    <d v="2024-12-17T00:00:00"/>
    <n v="1"/>
    <n v="36.014499999999998"/>
    <n v="103.81"/>
    <n v="4"/>
    <n v="144.05799999999999"/>
  </r>
  <r>
    <s v="Brand ABC TDM"/>
    <x v="2"/>
    <s v="Womens"/>
    <x v="5"/>
    <s v="B1A7M-BBBB"/>
    <x v="30"/>
    <s v="S"/>
    <x v="0"/>
    <d v="2024-12-07T00:00:00"/>
    <d v="2024-12-21T00:00:00"/>
    <n v="1"/>
    <n v="36.023000000000003"/>
    <n v="93.43"/>
    <n v="4"/>
    <n v="144.09200000000001"/>
  </r>
  <r>
    <s v="Brand ABC TDM"/>
    <x v="2"/>
    <s v="Womens"/>
    <x v="5"/>
    <s v="B1A7M-BBBB"/>
    <x v="30"/>
    <s v="XL"/>
    <x v="0"/>
    <d v="2024-12-07T00:00:00"/>
    <d v="2024-12-07T00:00:00"/>
    <n v="0"/>
    <n v="0"/>
    <n v="0"/>
    <n v="3"/>
    <n v="108.1185"/>
  </r>
  <r>
    <s v="Brand ABC TDM"/>
    <x v="2"/>
    <s v="Womens"/>
    <x v="5"/>
    <s v="B1A7M-BBBB"/>
    <x v="30"/>
    <s v="XS"/>
    <x v="0"/>
    <d v="2024-12-07T00:00:00"/>
    <d v="2024-12-19T00:00:00"/>
    <n v="4"/>
    <n v="144.10759999999999"/>
    <n v="384.1"/>
    <n v="2"/>
    <n v="72.053799999999995"/>
  </r>
  <r>
    <s v="Brand ABC TDM"/>
    <x v="2"/>
    <s v="Womens"/>
    <x v="5"/>
    <s v="B1A7M-UBCY"/>
    <x v="30"/>
    <s v="S"/>
    <x v="0"/>
    <d v="2024-11-25T00:00:00"/>
    <d v="2024-11-25T00:00:00"/>
    <n v="0"/>
    <n v="0"/>
    <n v="0"/>
    <n v="2"/>
    <n v="72.101799999999997"/>
  </r>
  <r>
    <s v="Brand ABC TDM"/>
    <x v="2"/>
    <s v="Womens"/>
    <x v="5"/>
    <s v="B1A7M-WBBM"/>
    <x v="30"/>
    <s v="L"/>
    <x v="0"/>
    <d v="2024-12-07T00:00:00"/>
    <d v="2024-12-07T00:00:00"/>
    <n v="0"/>
    <n v="0"/>
    <n v="0"/>
    <n v="5"/>
    <n v="180.06800000000001"/>
  </r>
  <r>
    <s v="Brand ABC TDM"/>
    <x v="2"/>
    <s v="Womens"/>
    <x v="5"/>
    <s v="B1A7M-WBBM"/>
    <x v="30"/>
    <s v="M"/>
    <x v="0"/>
    <d v="2024-12-07T00:00:00"/>
    <d v="2024-12-14T00:00:00"/>
    <n v="1"/>
    <n v="36.013399999999997"/>
    <n v="93.43"/>
    <n v="5"/>
    <n v="180.06700000000001"/>
  </r>
  <r>
    <s v="Brand ABC TDM"/>
    <x v="2"/>
    <s v="Womens"/>
    <x v="5"/>
    <s v="B1A7M-WBBM"/>
    <x v="30"/>
    <s v="S"/>
    <x v="0"/>
    <d v="2024-12-07T00:00:00"/>
    <d v="2024-12-21T00:00:00"/>
    <n v="3"/>
    <n v="108.0561"/>
    <n v="280.29000000000002"/>
    <n v="3"/>
    <n v="108.0561"/>
  </r>
  <r>
    <s v="Brand ABC TDM"/>
    <x v="2"/>
    <s v="Womens"/>
    <x v="5"/>
    <s v="B1A7M-WBBM"/>
    <x v="30"/>
    <s v="XS"/>
    <x v="0"/>
    <d v="2024-12-07T00:00:00"/>
    <d v="2024-12-11T00:00:00"/>
    <n v="3"/>
    <n v="108.0252"/>
    <n v="280.29000000000002"/>
    <n v="2"/>
    <n v="72.016800000000003"/>
  </r>
  <r>
    <s v="Brand ABC TDM"/>
    <x v="2"/>
    <s v="Womens"/>
    <x v="5"/>
    <s v="B1C9V-BB2J"/>
    <x v="31"/>
    <s v="L"/>
    <x v="1"/>
    <d v="2024-12-12T00:00:00"/>
    <d v="2024-12-12T00:00:00"/>
    <n v="0"/>
    <n v="0"/>
    <n v="0"/>
    <n v="5"/>
    <n v="315.233"/>
  </r>
  <r>
    <s v="Brand ABC TDM"/>
    <x v="2"/>
    <s v="Womens"/>
    <x v="5"/>
    <s v="B1C9V-BB2J"/>
    <x v="31"/>
    <s v="M"/>
    <x v="1"/>
    <d v="2024-12-12T00:00:00"/>
    <d v="2024-12-20T00:00:00"/>
    <n v="0"/>
    <n v="0"/>
    <n v="0"/>
    <n v="5"/>
    <n v="315.33"/>
  </r>
  <r>
    <s v="Brand ABC TDM"/>
    <x v="2"/>
    <s v="Womens"/>
    <x v="5"/>
    <s v="B1C9V-BB2J"/>
    <x v="31"/>
    <s v="S"/>
    <x v="1"/>
    <d v="2024-12-12T00:00:00"/>
    <d v="2024-12-19T00:00:00"/>
    <n v="0"/>
    <n v="0"/>
    <n v="0"/>
    <n v="4"/>
    <n v="252.18639999999999"/>
  </r>
  <r>
    <s v="Brand ABC TDM"/>
    <x v="2"/>
    <s v="Womens"/>
    <x v="5"/>
    <s v="B1C9V-BB2J"/>
    <x v="31"/>
    <s v="XS"/>
    <x v="1"/>
    <d v="2024-12-12T00:00:00"/>
    <d v="2024-12-21T00:00:00"/>
    <n v="0"/>
    <n v="0"/>
    <n v="0"/>
    <n v="3"/>
    <n v="189.13980000000001"/>
  </r>
  <r>
    <s v="Brand ABC TDM"/>
    <x v="2"/>
    <s v="Womens"/>
    <x v="5"/>
    <s v="B1C9V-GCHK"/>
    <x v="31"/>
    <s v="L"/>
    <x v="1"/>
    <d v="2024-12-12T00:00:00"/>
    <d v="2024-12-19T00:00:00"/>
    <n v="0"/>
    <n v="0"/>
    <n v="0"/>
    <n v="3"/>
    <n v="189.13980000000001"/>
  </r>
  <r>
    <s v="Brand ABC TDM"/>
    <x v="2"/>
    <s v="Womens"/>
    <x v="5"/>
    <s v="B1C9V-GCHK"/>
    <x v="31"/>
    <s v="M"/>
    <x v="1"/>
    <d v="2024-12-12T00:00:00"/>
    <d v="2024-12-21T00:00:00"/>
    <n v="0"/>
    <n v="0"/>
    <n v="0"/>
    <n v="5"/>
    <n v="315.233"/>
  </r>
  <r>
    <s v="Brand ABC TDM"/>
    <x v="2"/>
    <s v="Womens"/>
    <x v="5"/>
    <s v="B1C9V-GCHK"/>
    <x v="31"/>
    <s v="S"/>
    <x v="1"/>
    <d v="2024-12-12T00:00:00"/>
    <d v="2024-12-20T00:00:00"/>
    <n v="0"/>
    <n v="0"/>
    <n v="0"/>
    <n v="4"/>
    <n v="252.18639999999999"/>
  </r>
  <r>
    <s v="Brand ABC TDM"/>
    <x v="2"/>
    <s v="Womens"/>
    <x v="5"/>
    <s v="B1C9V-GCHK"/>
    <x v="31"/>
    <s v="XS"/>
    <x v="1"/>
    <d v="2024-12-12T00:00:00"/>
    <d v="2024-12-19T00:00:00"/>
    <n v="0"/>
    <n v="0"/>
    <n v="0"/>
    <n v="3"/>
    <n v="189.13980000000001"/>
  </r>
  <r>
    <s v="Brand ABC TDM"/>
    <x v="2"/>
    <s v="Womens"/>
    <x v="5"/>
    <s v="B2B1S-UCTP"/>
    <x v="32"/>
    <s v="L"/>
    <x v="1"/>
    <d v="2024-12-07T00:00:00"/>
    <d v="2024-12-21T00:00:00"/>
    <n v="0"/>
    <n v="0"/>
    <n v="0"/>
    <n v="5"/>
    <n v="269.95699999999999"/>
  </r>
  <r>
    <s v="Brand ABC TDM"/>
    <x v="2"/>
    <s v="Womens"/>
    <x v="5"/>
    <s v="B2B1S-UCTP"/>
    <x v="32"/>
    <s v="M"/>
    <x v="1"/>
    <d v="2024-12-07T00:00:00"/>
    <d v="2024-12-07T00:00:00"/>
    <n v="0"/>
    <n v="0"/>
    <n v="0"/>
    <n v="5"/>
    <n v="269.95699999999999"/>
  </r>
  <r>
    <s v="Brand ABC TDM"/>
    <x v="2"/>
    <s v="Womens"/>
    <x v="5"/>
    <s v="B2B1S-UCTP"/>
    <x v="32"/>
    <s v="S"/>
    <x v="1"/>
    <d v="2024-12-07T00:00:00"/>
    <d v="2024-12-21T00:00:00"/>
    <n v="1"/>
    <n v="53.991399999999999"/>
    <n v="144.85"/>
    <n v="4"/>
    <n v="215.96559999999999"/>
  </r>
  <r>
    <s v="Brand ABC TDM"/>
    <x v="2"/>
    <s v="Womens"/>
    <x v="5"/>
    <s v="B2B1S-UCTP"/>
    <x v="32"/>
    <s v="XS"/>
    <x v="1"/>
    <d v="2024-12-07T00:00:00"/>
    <d v="2024-12-07T00:00:00"/>
    <n v="2"/>
    <n v="107.9828"/>
    <n v="289.72000000000003"/>
    <n v="0"/>
    <n v="0"/>
  </r>
  <r>
    <s v="Brand ABC TDM"/>
    <x v="2"/>
    <s v="Womens"/>
    <x v="5"/>
    <s v="B2B1X-BB2J"/>
    <x v="33"/>
    <s v="L"/>
    <x v="1"/>
    <d v="2024-11-29T00:00:00"/>
    <d v="2024-11-29T00:00:00"/>
    <n v="0"/>
    <n v="0"/>
    <n v="0"/>
    <n v="5"/>
    <n v="269.95699999999999"/>
  </r>
  <r>
    <s v="Brand ABC TDM"/>
    <x v="2"/>
    <s v="Womens"/>
    <x v="5"/>
    <s v="B2B1X-BB2J"/>
    <x v="33"/>
    <s v="M"/>
    <x v="1"/>
    <d v="2024-11-29T00:00:00"/>
    <d v="2024-11-29T00:00:00"/>
    <n v="0"/>
    <n v="0"/>
    <n v="0"/>
    <n v="5"/>
    <n v="269.95699999999999"/>
  </r>
  <r>
    <s v="Brand ABC TDM"/>
    <x v="2"/>
    <s v="Womens"/>
    <x v="5"/>
    <s v="B2B1X-BB2J"/>
    <x v="33"/>
    <s v="S"/>
    <x v="1"/>
    <d v="2024-11-29T00:00:00"/>
    <d v="2024-12-13T00:00:00"/>
    <n v="0"/>
    <n v="0"/>
    <n v="0"/>
    <n v="5"/>
    <n v="269.95699999999999"/>
  </r>
  <r>
    <s v="Brand ABC TDM"/>
    <x v="2"/>
    <s v="Womens"/>
    <x v="5"/>
    <s v="B2B1X-BB2J"/>
    <x v="33"/>
    <s v="XS"/>
    <x v="1"/>
    <d v="2024-11-29T00:00:00"/>
    <d v="2024-12-12T00:00:00"/>
    <n v="3"/>
    <n v="161.9742"/>
    <n v="434.56"/>
    <n v="8"/>
    <n v="431.93119999999999"/>
  </r>
  <r>
    <s v="Brand ABC TDM"/>
    <x v="2"/>
    <s v="Womens"/>
    <x v="5"/>
    <s v="B2B1X-WCMZ"/>
    <x v="33"/>
    <s v="L"/>
    <x v="1"/>
    <d v="2024-10-28T00:00:00"/>
    <d v="2024-11-29T00:00:00"/>
    <n v="0"/>
    <n v="0"/>
    <n v="0"/>
    <n v="5"/>
    <n v="269.95699999999999"/>
  </r>
  <r>
    <s v="Brand ABC TDM"/>
    <x v="2"/>
    <s v="Womens"/>
    <x v="5"/>
    <s v="B2B1X-WCMZ"/>
    <x v="33"/>
    <s v="M"/>
    <x v="1"/>
    <d v="2024-10-28T00:00:00"/>
    <d v="2024-11-29T00:00:00"/>
    <n v="1"/>
    <n v="53.991399999999999"/>
    <n v="160.94999999999999"/>
    <n v="4"/>
    <n v="215.96559999999999"/>
  </r>
  <r>
    <s v="Brand ABC TDM"/>
    <x v="2"/>
    <s v="Womens"/>
    <x v="5"/>
    <s v="B2B1X-WCMZ"/>
    <x v="33"/>
    <s v="S"/>
    <x v="1"/>
    <d v="2024-10-28T00:00:00"/>
    <d v="2024-11-29T00:00:00"/>
    <n v="0"/>
    <n v="0"/>
    <n v="0"/>
    <n v="4"/>
    <n v="215.96559999999999"/>
  </r>
  <r>
    <s v="Brand ABC TDM"/>
    <x v="2"/>
    <s v="Womens"/>
    <x v="5"/>
    <s v="B2B1X-WCMZ"/>
    <x v="33"/>
    <s v="XS"/>
    <x v="1"/>
    <d v="2024-11-29T00:00:00"/>
    <d v="2024-12-12T00:00:00"/>
    <n v="2"/>
    <n v="107.9828"/>
    <n v="289.72000000000003"/>
    <n v="3"/>
    <n v="161.9742"/>
  </r>
  <r>
    <s v="Brand ABC TDM"/>
    <x v="2"/>
    <s v="Womens"/>
    <x v="5"/>
    <s v="B2B1X-WCMZ"/>
    <x v="33"/>
    <s v="XXL"/>
    <x v="1"/>
    <d v="2024-11-29T00:00:00"/>
    <d v="2024-11-29T00:00:00"/>
    <n v="0"/>
    <n v="0"/>
    <n v="0"/>
    <n v="1"/>
    <n v="53.991399999999999"/>
  </r>
  <r>
    <s v="Brand ABC TDM"/>
    <x v="2"/>
    <s v="Womens"/>
    <x v="5"/>
    <s v="B2B2N-UB9P"/>
    <x v="34"/>
    <s v="L"/>
    <x v="1"/>
    <d v="2024-11-29T00:00:00"/>
    <d v="2024-12-20T00:00:00"/>
    <n v="2"/>
    <n v="107.9828"/>
    <n v="289.72000000000003"/>
    <n v="5"/>
    <n v="269.95699999999999"/>
  </r>
  <r>
    <s v="Brand ABC TDM"/>
    <x v="2"/>
    <s v="Womens"/>
    <x v="5"/>
    <s v="B2B2N-UB9P"/>
    <x v="34"/>
    <s v="M"/>
    <x v="1"/>
    <d v="2024-11-29T00:00:00"/>
    <d v="2024-12-12T00:00:00"/>
    <n v="5"/>
    <n v="269.95699999999999"/>
    <n v="724.28"/>
    <n v="8"/>
    <n v="431.93119999999999"/>
  </r>
  <r>
    <s v="Brand ABC TDM"/>
    <x v="2"/>
    <s v="Womens"/>
    <x v="5"/>
    <s v="B2B2N-UB9P"/>
    <x v="34"/>
    <s v="S"/>
    <x v="1"/>
    <d v="2024-11-29T00:00:00"/>
    <d v="2024-12-12T00:00:00"/>
    <n v="3"/>
    <n v="161.9742"/>
    <n v="434.57"/>
    <n v="9"/>
    <n v="485.92259999999999"/>
  </r>
  <r>
    <s v="Brand ABC TDM"/>
    <x v="2"/>
    <s v="Womens"/>
    <x v="5"/>
    <s v="B2B2N-UB9P"/>
    <x v="34"/>
    <s v="XS"/>
    <x v="1"/>
    <d v="2024-11-29T00:00:00"/>
    <d v="2024-12-20T00:00:00"/>
    <n v="2"/>
    <n v="107.9828"/>
    <n v="289.72000000000003"/>
    <n v="4"/>
    <n v="215.96559999999999"/>
  </r>
  <r>
    <s v="Brand ABC TDM"/>
    <x v="2"/>
    <s v="Womens"/>
    <x v="5"/>
    <s v="B2B2N-WB57"/>
    <x v="34"/>
    <s v="L"/>
    <x v="1"/>
    <d v="2024-11-29T00:00:00"/>
    <d v="2024-12-19T00:00:00"/>
    <n v="5"/>
    <n v="269.95699999999999"/>
    <n v="740.39"/>
    <n v="8"/>
    <n v="431.93119999999999"/>
  </r>
  <r>
    <s v="Brand ABC TDM"/>
    <x v="2"/>
    <s v="Womens"/>
    <x v="5"/>
    <s v="B2B2N-WB57"/>
    <x v="34"/>
    <s v="M"/>
    <x v="1"/>
    <d v="2024-11-29T00:00:00"/>
    <d v="2024-12-19T00:00:00"/>
    <n v="7"/>
    <n v="377.93979999999999"/>
    <n v="1030.1099999999999"/>
    <n v="6"/>
    <n v="323.94839999999999"/>
  </r>
  <r>
    <s v="Brand ABC TDM"/>
    <x v="2"/>
    <s v="Womens"/>
    <x v="5"/>
    <s v="B2B2N-WB57"/>
    <x v="34"/>
    <s v="S"/>
    <x v="1"/>
    <d v="2024-11-29T00:00:00"/>
    <d v="2024-12-19T00:00:00"/>
    <n v="5"/>
    <n v="269.95699999999999"/>
    <n v="740.4"/>
    <n v="6"/>
    <n v="323.94839999999999"/>
  </r>
  <r>
    <s v="Brand ABC TDM"/>
    <x v="2"/>
    <s v="Womens"/>
    <x v="5"/>
    <s v="B2B2N-WB57"/>
    <x v="34"/>
    <s v="XS"/>
    <x v="1"/>
    <d v="2024-11-29T00:00:00"/>
    <d v="2024-12-19T00:00:00"/>
    <n v="4"/>
    <n v="215.96559999999999"/>
    <n v="579.42999999999995"/>
    <n v="4"/>
    <n v="215.96559999999999"/>
  </r>
  <r>
    <s v="Brand ABC TDM"/>
    <x v="2"/>
    <s v="Womens"/>
    <x v="5"/>
    <s v="B2B2N-WB57"/>
    <x v="34"/>
    <s v="XXL"/>
    <x v="1"/>
    <d v="2024-11-29T00:00:00"/>
    <d v="2024-11-29T00:00:00"/>
    <n v="0"/>
    <n v="0"/>
    <n v="0"/>
    <n v="1"/>
    <n v="53.991399999999999"/>
  </r>
  <r>
    <s v="Brand ABC TDM"/>
    <x v="2"/>
    <s v="Womens"/>
    <x v="5"/>
    <s v="B2B6K-GBCY"/>
    <x v="13"/>
    <s v="L"/>
    <x v="0"/>
    <d v="2024-10-26T00:00:00"/>
    <d v="2024-12-20T00:00:00"/>
    <n v="4"/>
    <n v="316.29230000000001"/>
    <n v="877.43"/>
    <n v="4"/>
    <n v="319.95920000000001"/>
  </r>
  <r>
    <s v="Brand ABC TDM"/>
    <x v="2"/>
    <s v="Womens"/>
    <x v="5"/>
    <s v="B2B6K-GBCY"/>
    <x v="13"/>
    <s v="M"/>
    <x v="0"/>
    <d v="2024-10-26T00:00:00"/>
    <d v="2024-11-30T00:00:00"/>
    <n v="8"/>
    <n v="639.98929999999996"/>
    <n v="1707.42"/>
    <n v="6"/>
    <n v="488.66160000000002"/>
  </r>
  <r>
    <s v="Brand ABC TDM"/>
    <x v="2"/>
    <s v="Womens"/>
    <x v="5"/>
    <s v="B2B6K-GBCY"/>
    <x v="13"/>
    <s v="S"/>
    <x v="0"/>
    <d v="2024-10-26T00:00:00"/>
    <d v="2024-12-19T00:00:00"/>
    <n v="11"/>
    <n v="886.99680000000001"/>
    <n v="2347.73"/>
    <n v="4"/>
    <n v="327.77800000000002"/>
  </r>
  <r>
    <s v="Brand ABC TDM"/>
    <x v="2"/>
    <s v="Womens"/>
    <x v="5"/>
    <s v="B2B6K-GBCY"/>
    <x v="13"/>
    <s v="XS"/>
    <x v="0"/>
    <d v="2024-10-26T00:00:00"/>
    <d v="2024-11-30T00:00:00"/>
    <n v="9"/>
    <n v="726.75229999999999"/>
    <n v="1920.87"/>
    <n v="1"/>
    <n v="81.746300000000005"/>
  </r>
  <r>
    <s v="Brand ABC TDM"/>
    <x v="2"/>
    <s v="Womens"/>
    <x v="5"/>
    <s v="B2B6K-WB57"/>
    <x v="13"/>
    <s v="L"/>
    <x v="0"/>
    <d v="2024-10-26T00:00:00"/>
    <d v="2024-10-26T00:00:00"/>
    <n v="0"/>
    <n v="0"/>
    <n v="0"/>
    <n v="5"/>
    <n v="390.05099999999999"/>
  </r>
  <r>
    <s v="Brand ABC TDM"/>
    <x v="2"/>
    <s v="Womens"/>
    <x v="5"/>
    <s v="B2B6K-WB57"/>
    <x v="13"/>
    <s v="M"/>
    <x v="0"/>
    <d v="2024-10-26T00:00:00"/>
    <d v="2024-12-21T00:00:00"/>
    <n v="1"/>
    <n v="78.010199999999998"/>
    <n v="213.43"/>
    <n v="5"/>
    <n v="394.10750000000002"/>
  </r>
  <r>
    <s v="Brand ABC TDM"/>
    <x v="2"/>
    <s v="Womens"/>
    <x v="5"/>
    <s v="B2B6K-WB57"/>
    <x v="13"/>
    <s v="S"/>
    <x v="0"/>
    <d v="2024-10-26T00:00:00"/>
    <d v="2024-12-19T00:00:00"/>
    <n v="4"/>
    <n v="317.17520000000002"/>
    <n v="877.44"/>
    <n v="4"/>
    <n v="323.13319999999999"/>
  </r>
  <r>
    <s v="Brand ABC TDM"/>
    <x v="2"/>
    <s v="Womens"/>
    <x v="5"/>
    <s v="B2B6K-WB57"/>
    <x v="13"/>
    <s v="XL"/>
    <x v="0"/>
    <d v="2024-10-26T00:00:00"/>
    <d v="2024-10-26T00:00:00"/>
    <n v="0"/>
    <n v="0"/>
    <n v="0"/>
    <n v="3"/>
    <n v="234.03059999999999"/>
  </r>
  <r>
    <s v="Brand ABC TDM"/>
    <x v="2"/>
    <s v="Womens"/>
    <x v="5"/>
    <s v="B2B6K-WB57"/>
    <x v="13"/>
    <s v="XS"/>
    <x v="0"/>
    <d v="2024-10-26T00:00:00"/>
    <d v="2024-12-20T00:00:00"/>
    <n v="9"/>
    <n v="726.83230000000003"/>
    <n v="1920.85"/>
    <n v="3"/>
    <n v="245.79990000000001"/>
  </r>
  <r>
    <s v="Brand ABC TDM"/>
    <x v="2"/>
    <s v="Womens"/>
    <x v="5"/>
    <s v="B2B6L-KBS4"/>
    <x v="13"/>
    <s v="L"/>
    <x v="0"/>
    <d v="2024-10-26T00:00:00"/>
    <d v="2024-12-16T00:00:00"/>
    <n v="9"/>
    <n v="708.98410000000001"/>
    <n v="1968.29"/>
    <n v="7"/>
    <n v="563.51959999999997"/>
  </r>
  <r>
    <s v="Brand ABC TDM"/>
    <x v="2"/>
    <s v="Womens"/>
    <x v="5"/>
    <s v="B2B6L-KBS4"/>
    <x v="13"/>
    <s v="M"/>
    <x v="0"/>
    <d v="2024-10-26T00:00:00"/>
    <d v="2024-12-14T00:00:00"/>
    <n v="14"/>
    <n v="1109.1387"/>
    <n v="2964.3"/>
    <n v="7"/>
    <n v="569.64110000000005"/>
  </r>
  <r>
    <s v="Brand ABC TDM"/>
    <x v="2"/>
    <s v="Womens"/>
    <x v="5"/>
    <s v="B2B6L-KBS4"/>
    <x v="13"/>
    <s v="S"/>
    <x v="0"/>
    <d v="2024-10-26T00:00:00"/>
    <d v="2024-12-17T00:00:00"/>
    <n v="32"/>
    <n v="2565.5084999999999"/>
    <n v="6877.18"/>
    <n v="3"/>
    <n v="246.1446"/>
  </r>
  <r>
    <s v="Brand ABC TDM"/>
    <x v="2"/>
    <s v="Womens"/>
    <x v="5"/>
    <s v="B2B6L-KBS4"/>
    <x v="13"/>
    <s v="XS"/>
    <x v="0"/>
    <d v="2024-10-26T00:00:00"/>
    <d v="2024-11-15T00:00:00"/>
    <n v="8"/>
    <n v="624.08240000000001"/>
    <n v="1600.72"/>
    <n v="0"/>
    <n v="0"/>
  </r>
  <r>
    <s v="Brand ABC TDM"/>
    <x v="2"/>
    <s v="Womens"/>
    <x v="5"/>
    <s v="B2B6M-BB2J"/>
    <x v="13"/>
    <s v="L"/>
    <x v="0"/>
    <d v="2024-12-12T00:00:00"/>
    <d v="2024-12-12T00:00:00"/>
    <n v="0"/>
    <n v="0"/>
    <n v="0"/>
    <n v="5"/>
    <n v="410.33350000000002"/>
  </r>
  <r>
    <s v="Brand ABC TDM"/>
    <x v="2"/>
    <s v="Womens"/>
    <x v="5"/>
    <s v="B2B6M-BB2J"/>
    <x v="13"/>
    <s v="M"/>
    <x v="0"/>
    <d v="2024-12-12T00:00:00"/>
    <d v="2024-12-19T00:00:00"/>
    <n v="0"/>
    <n v="0"/>
    <n v="0"/>
    <n v="5"/>
    <n v="410.334"/>
  </r>
  <r>
    <s v="Brand ABC TDM"/>
    <x v="2"/>
    <s v="Womens"/>
    <x v="5"/>
    <s v="B2B6M-BB2J"/>
    <x v="13"/>
    <s v="S"/>
    <x v="0"/>
    <d v="2024-12-12T00:00:00"/>
    <d v="2024-12-19T00:00:00"/>
    <n v="0"/>
    <n v="0"/>
    <n v="0"/>
    <n v="4"/>
    <n v="328.2672"/>
  </r>
  <r>
    <s v="Brand ABC TDM"/>
    <x v="2"/>
    <s v="Womens"/>
    <x v="5"/>
    <s v="B2B6M-BB2J"/>
    <x v="13"/>
    <s v="XS"/>
    <x v="0"/>
    <d v="2024-12-12T00:00:00"/>
    <d v="2024-12-19T00:00:00"/>
    <n v="0"/>
    <n v="0"/>
    <n v="0"/>
    <n v="3"/>
    <n v="246.2004"/>
  </r>
  <r>
    <s v="Brand ABC TDM"/>
    <x v="2"/>
    <s v="Womens"/>
    <x v="5"/>
    <s v="B2B6N-GB7N"/>
    <x v="13"/>
    <s v="L"/>
    <x v="0"/>
    <d v="2024-10-26T00:00:00"/>
    <d v="2024-11-14T00:00:00"/>
    <n v="5"/>
    <n v="390.05099999999999"/>
    <n v="1067.1500000000001"/>
    <n v="0"/>
    <n v="0"/>
  </r>
  <r>
    <s v="Brand ABC TDM"/>
    <x v="2"/>
    <s v="Womens"/>
    <x v="5"/>
    <s v="B2B6N-GB7N"/>
    <x v="13"/>
    <s v="M"/>
    <x v="0"/>
    <d v="2024-10-26T00:00:00"/>
    <d v="2024-12-06T00:00:00"/>
    <n v="9"/>
    <n v="703.10680000000002"/>
    <n v="1920.84"/>
    <n v="4"/>
    <n v="319.14"/>
  </r>
  <r>
    <s v="Brand ABC TDM"/>
    <x v="2"/>
    <s v="Womens"/>
    <x v="5"/>
    <s v="B2B6N-GB7N"/>
    <x v="13"/>
    <s v="S"/>
    <x v="0"/>
    <d v="2024-10-26T00:00:00"/>
    <d v="2024-11-26T00:00:00"/>
    <n v="16"/>
    <n v="1264.3892000000001"/>
    <n v="3367.45"/>
    <n v="0"/>
    <n v="0"/>
  </r>
  <r>
    <s v="Brand ABC TDM"/>
    <x v="2"/>
    <s v="Womens"/>
    <x v="5"/>
    <s v="B2B6N-GB7N"/>
    <x v="13"/>
    <s v="XS"/>
    <x v="0"/>
    <d v="2024-10-26T00:00:00"/>
    <d v="2024-11-12T00:00:00"/>
    <n v="3"/>
    <n v="234.03059999999999"/>
    <n v="640.29"/>
    <n v="0"/>
    <n v="0"/>
  </r>
  <r>
    <s v="Brand ABC TDM"/>
    <x v="2"/>
    <s v="Womens"/>
    <x v="5"/>
    <s v="B2B6O-BB2J"/>
    <x v="13"/>
    <s v="S"/>
    <x v="0"/>
    <d v="2024-11-07T00:00:00"/>
    <d v="2024-11-07T00:00:00"/>
    <n v="0"/>
    <n v="0"/>
    <n v="0"/>
    <n v="1"/>
    <n v="86.221900000000005"/>
  </r>
  <r>
    <s v="Brand ABC TDM"/>
    <x v="2"/>
    <s v="Womens"/>
    <x v="5"/>
    <s v="B2B6Q-BB2J"/>
    <x v="13"/>
    <s v="S"/>
    <x v="0"/>
    <d v="2024-05-20T00:00:00"/>
    <d v="2024-11-07T00:00:00"/>
    <n v="0"/>
    <n v="0"/>
    <n v="0"/>
    <n v="1"/>
    <n v="65.692899999999995"/>
  </r>
  <r>
    <s v="Brand ABC TDM"/>
    <x v="2"/>
    <s v="Womens"/>
    <x v="5"/>
    <s v="B2B6T-BB2J"/>
    <x v="13"/>
    <s v="L"/>
    <x v="0"/>
    <d v="2024-10-25T00:00:00"/>
    <d v="2024-11-29T00:00:00"/>
    <n v="9"/>
    <n v="599.81709999999998"/>
    <n v="1573.04"/>
    <n v="0"/>
    <n v="0"/>
  </r>
  <r>
    <s v="Brand ABC TDM"/>
    <x v="2"/>
    <s v="Womens"/>
    <x v="5"/>
    <s v="B2B6T-BB2J"/>
    <x v="13"/>
    <s v="M"/>
    <x v="0"/>
    <d v="2024-10-26T00:00:00"/>
    <d v="2024-12-19T00:00:00"/>
    <n v="11"/>
    <n v="732.92020000000002"/>
    <n v="1895.23"/>
    <n v="8"/>
    <n v="547.72239999999999"/>
  </r>
  <r>
    <s v="Brand ABC TDM"/>
    <x v="2"/>
    <s v="Womens"/>
    <x v="5"/>
    <s v="B2B6T-BB2J"/>
    <x v="13"/>
    <s v="S"/>
    <x v="0"/>
    <d v="2024-10-25T00:00:00"/>
    <d v="2024-12-19T00:00:00"/>
    <n v="15"/>
    <n v="1001.5285"/>
    <n v="2577.52"/>
    <n v="6"/>
    <n v="413.00580000000002"/>
  </r>
  <r>
    <s v="Brand ABC TDM"/>
    <x v="2"/>
    <s v="Womens"/>
    <x v="5"/>
    <s v="B2B6T-BB2J"/>
    <x v="13"/>
    <s v="XL"/>
    <x v="0"/>
    <d v="2024-10-26T00:00:00"/>
    <d v="2024-10-26T00:00:00"/>
    <n v="3"/>
    <n v="197.0787"/>
    <n v="511.72"/>
    <n v="0"/>
    <n v="0"/>
  </r>
  <r>
    <s v="Brand ABC TDM"/>
    <x v="2"/>
    <s v="Womens"/>
    <x v="5"/>
    <s v="B2B6T-BB2J"/>
    <x v="13"/>
    <s v="XS"/>
    <x v="0"/>
    <d v="2024-10-25T00:00:00"/>
    <d v="2024-11-29T00:00:00"/>
    <n v="4"/>
    <n v="261.63290000000001"/>
    <n v="701.23"/>
    <n v="4"/>
    <n v="267.32639999999998"/>
  </r>
  <r>
    <s v="Brand ABC TDM"/>
    <x v="2"/>
    <s v="Womens"/>
    <x v="5"/>
    <s v="B2B6T-WB57"/>
    <x v="13"/>
    <s v="L"/>
    <x v="0"/>
    <d v="2024-10-25T00:00:00"/>
    <d v="2024-12-10T00:00:00"/>
    <n v="6"/>
    <n v="399.75420000000003"/>
    <n v="1023.43"/>
    <n v="5"/>
    <n v="339.94749999999999"/>
  </r>
  <r>
    <s v="Brand ABC TDM"/>
    <x v="2"/>
    <s v="Womens"/>
    <x v="5"/>
    <s v="B2B6T-WB57"/>
    <x v="13"/>
    <s v="M"/>
    <x v="0"/>
    <d v="2024-10-25T00:00:00"/>
    <d v="2024-12-18T00:00:00"/>
    <n v="3"/>
    <n v="197.0787"/>
    <n v="511.71"/>
    <n v="5"/>
    <n v="331.88049999999998"/>
  </r>
  <r>
    <s v="Brand ABC TDM"/>
    <x v="2"/>
    <s v="Womens"/>
    <x v="5"/>
    <s v="B2B6T-WB57"/>
    <x v="13"/>
    <s v="S"/>
    <x v="0"/>
    <d v="2024-10-25T00:00:00"/>
    <d v="2024-12-17T00:00:00"/>
    <n v="10"/>
    <n v="666.19299999999998"/>
    <n v="1686.76"/>
    <n v="3"/>
    <n v="204.89490000000001"/>
  </r>
  <r>
    <s v="Brand ABC TDM"/>
    <x v="2"/>
    <s v="Womens"/>
    <x v="5"/>
    <s v="B2B6T-WB57"/>
    <x v="13"/>
    <s v="XL"/>
    <x v="0"/>
    <d v="2024-10-25T00:00:00"/>
    <d v="2024-10-25T00:00:00"/>
    <n v="3"/>
    <n v="197.0787"/>
    <n v="511.71"/>
    <n v="0"/>
    <n v="0"/>
  </r>
  <r>
    <s v="Brand ABC TDM"/>
    <x v="2"/>
    <s v="Womens"/>
    <x v="5"/>
    <s v="B2B6T-WB57"/>
    <x v="13"/>
    <s v="XS"/>
    <x v="0"/>
    <d v="2024-10-25T00:00:00"/>
    <d v="2024-12-05T00:00:00"/>
    <n v="6"/>
    <n v="397.57350000000002"/>
    <n v="1061.32"/>
    <n v="3"/>
    <n v="205.04939999999999"/>
  </r>
  <r>
    <s v="Brand ABC TDM"/>
    <x v="2"/>
    <s v="Womens"/>
    <x v="5"/>
    <s v="B3A6L-BBGR"/>
    <x v="35"/>
    <s v="L"/>
    <x v="0"/>
    <d v="2024-12-07T00:00:00"/>
    <d v="2024-12-21T00:00:00"/>
    <n v="0"/>
    <n v="0"/>
    <n v="0"/>
    <n v="5"/>
    <n v="225.10550000000001"/>
  </r>
  <r>
    <s v="Brand ABC TDM"/>
    <x v="2"/>
    <s v="Womens"/>
    <x v="5"/>
    <s v="B3A6L-BBGR"/>
    <x v="35"/>
    <s v="M"/>
    <x v="0"/>
    <d v="2024-12-07T00:00:00"/>
    <d v="2024-12-21T00:00:00"/>
    <n v="5"/>
    <n v="222.63399999999999"/>
    <n v="622.17999999999995"/>
    <n v="4"/>
    <n v="178.10720000000001"/>
  </r>
  <r>
    <s v="Brand ABC TDM"/>
    <x v="2"/>
    <s v="Womens"/>
    <x v="5"/>
    <s v="B3A6L-BBGR"/>
    <x v="35"/>
    <s v="S"/>
    <x v="0"/>
    <d v="2024-12-07T00:00:00"/>
    <d v="2024-12-18T00:00:00"/>
    <n v="6"/>
    <n v="267.50639999999999"/>
    <n v="714.85"/>
    <n v="3"/>
    <n v="133.75319999999999"/>
  </r>
  <r>
    <s v="Brand ABC TDM"/>
    <x v="2"/>
    <s v="Womens"/>
    <x v="5"/>
    <s v="B3A6L-BBGR"/>
    <x v="35"/>
    <s v="XL"/>
    <x v="0"/>
    <d v="2024-12-07T00:00:00"/>
    <d v="2024-12-20T00:00:00"/>
    <n v="0"/>
    <n v="0"/>
    <n v="0"/>
    <n v="3"/>
    <n v="112.57380000000001"/>
  </r>
  <r>
    <s v="Brand ABC TDM"/>
    <x v="2"/>
    <s v="Womens"/>
    <x v="5"/>
    <s v="B3A6L-BBGR"/>
    <x v="35"/>
    <s v="XS"/>
    <x v="0"/>
    <d v="2024-12-07T00:00:00"/>
    <d v="2024-12-21T00:00:00"/>
    <n v="5"/>
    <n v="201.43199999999999"/>
    <n v="622.17999999999995"/>
    <n v="2"/>
    <n v="80.572800000000001"/>
  </r>
  <r>
    <s v="Brand ABC TDM"/>
    <x v="2"/>
    <s v="Womens"/>
    <x v="5"/>
    <s v="B6A3Z-BB2J"/>
    <x v="36"/>
    <s v="L"/>
    <x v="0"/>
    <d v="2024-10-25T00:00:00"/>
    <d v="2024-11-09T00:00:00"/>
    <n v="4"/>
    <n v="150.654"/>
    <n v="408"/>
    <n v="1"/>
    <n v="37.663499999999999"/>
  </r>
  <r>
    <s v="Brand ABC TDM"/>
    <x v="2"/>
    <s v="Womens"/>
    <x v="5"/>
    <s v="B6A3Z-BB2J"/>
    <x v="36"/>
    <s v="M"/>
    <x v="0"/>
    <d v="2024-10-26T00:00:00"/>
    <d v="2024-11-14T00:00:00"/>
    <n v="5"/>
    <n v="188.3175"/>
    <n v="487.33"/>
    <n v="0"/>
    <n v="0"/>
  </r>
  <r>
    <s v="Brand ABC TDM"/>
    <x v="2"/>
    <s v="Womens"/>
    <x v="5"/>
    <s v="B6A3Z-BB2J"/>
    <x v="36"/>
    <s v="S"/>
    <x v="0"/>
    <d v="2024-10-26T00:00:00"/>
    <d v="2024-11-09T00:00:00"/>
    <n v="6"/>
    <n v="225.98099999999999"/>
    <n v="612"/>
    <n v="0"/>
    <n v="0"/>
  </r>
  <r>
    <s v="Brand ABC TDM"/>
    <x v="2"/>
    <s v="Womens"/>
    <x v="5"/>
    <s v="B6A3Z-BB2J"/>
    <x v="36"/>
    <s v="XL"/>
    <x v="0"/>
    <d v="2024-10-26T00:00:00"/>
    <d v="2024-10-26T00:00:00"/>
    <n v="1"/>
    <n v="37.663499999999999"/>
    <n v="79.33"/>
    <n v="0"/>
    <n v="0"/>
  </r>
  <r>
    <s v="Brand ABC TDM"/>
    <x v="2"/>
    <s v="Womens"/>
    <x v="5"/>
    <s v="B6A3Z-BB2J"/>
    <x v="36"/>
    <s v="XS"/>
    <x v="0"/>
    <d v="2024-10-26T00:00:00"/>
    <d v="2024-11-09T00:00:00"/>
    <n v="4"/>
    <n v="150.654"/>
    <n v="408"/>
    <n v="0"/>
    <n v="0"/>
  </r>
  <r>
    <s v="Brand ABC TDM"/>
    <x v="2"/>
    <s v="Womens"/>
    <x v="5"/>
    <s v="B6A3Z-ECBB"/>
    <x v="36"/>
    <s v="L"/>
    <x v="0"/>
    <d v="2024-10-26T00:00:00"/>
    <d v="2024-11-12T00:00:00"/>
    <n v="1"/>
    <n v="37.663499999999999"/>
    <n v="102"/>
    <n v="0"/>
    <n v="0"/>
  </r>
  <r>
    <s v="Brand ABC TDM"/>
    <x v="2"/>
    <s v="Womens"/>
    <x v="5"/>
    <s v="B6A3Z-ECBB"/>
    <x v="36"/>
    <s v="M"/>
    <x v="0"/>
    <d v="2024-10-26T00:00:00"/>
    <d v="2024-11-12T00:00:00"/>
    <n v="4"/>
    <n v="150.654"/>
    <n v="385.34"/>
    <n v="1"/>
    <n v="37.663499999999999"/>
  </r>
  <r>
    <s v="Brand ABC TDM"/>
    <x v="2"/>
    <s v="Womens"/>
    <x v="5"/>
    <s v="B6A3Z-ECBB"/>
    <x v="36"/>
    <s v="S"/>
    <x v="0"/>
    <d v="2024-10-25T00:00:00"/>
    <d v="2024-11-09T00:00:00"/>
    <n v="3"/>
    <n v="112.9905"/>
    <n v="306"/>
    <n v="0"/>
    <n v="0"/>
  </r>
  <r>
    <s v="Brand ABC TDM"/>
    <x v="2"/>
    <s v="Womens"/>
    <x v="5"/>
    <s v="B6A3Z-ECBB"/>
    <x v="36"/>
    <s v="XS"/>
    <x v="0"/>
    <d v="2024-10-26T00:00:00"/>
    <d v="2024-11-12T00:00:00"/>
    <n v="2"/>
    <n v="75.326999999999998"/>
    <n v="215.34"/>
    <n v="3"/>
    <n v="112.9905"/>
  </r>
  <r>
    <s v="Brand ABC TDM"/>
    <x v="2"/>
    <s v="Womens"/>
    <x v="5"/>
    <s v="B6A3Z-KB7B"/>
    <x v="36"/>
    <s v="M"/>
    <x v="1"/>
    <d v="2024-10-26T00:00:00"/>
    <d v="2024-11-12T00:00:00"/>
    <n v="3"/>
    <n v="112.9905"/>
    <n v="306"/>
    <n v="1"/>
    <n v="37.663499999999999"/>
  </r>
  <r>
    <s v="Brand ABC TDM"/>
    <x v="2"/>
    <s v="Womens"/>
    <x v="5"/>
    <s v="B6A3Z-KB7B"/>
    <x v="36"/>
    <s v="S"/>
    <x v="1"/>
    <d v="2024-10-25T00:00:00"/>
    <d v="2024-11-14T00:00:00"/>
    <n v="5"/>
    <n v="188.3175"/>
    <n v="521.34"/>
    <n v="1"/>
    <n v="37.663499999999999"/>
  </r>
  <r>
    <s v="Brand ABC TDM"/>
    <x v="2"/>
    <s v="Womens"/>
    <x v="5"/>
    <s v="B6A3Z-WB86"/>
    <x v="36"/>
    <s v="L"/>
    <x v="0"/>
    <d v="2024-10-26T00:00:00"/>
    <d v="2024-11-09T00:00:00"/>
    <n v="1"/>
    <n v="37.663499999999999"/>
    <n v="102"/>
    <n v="0"/>
    <n v="0"/>
  </r>
  <r>
    <s v="Brand ABC TDM"/>
    <x v="2"/>
    <s v="Womens"/>
    <x v="5"/>
    <s v="B6A3Z-WB86"/>
    <x v="36"/>
    <s v="M"/>
    <x v="0"/>
    <d v="2024-10-26T00:00:00"/>
    <d v="2024-11-09T00:00:00"/>
    <n v="1"/>
    <n v="37.663499999999999"/>
    <n v="79.33"/>
    <n v="0"/>
    <n v="0"/>
  </r>
  <r>
    <s v="Brand ABC TDM"/>
    <x v="2"/>
    <s v="Womens"/>
    <x v="5"/>
    <s v="B6A3Z-WB86"/>
    <x v="36"/>
    <s v="S"/>
    <x v="0"/>
    <d v="2024-10-25T00:00:00"/>
    <d v="2024-11-15T00:00:00"/>
    <n v="5"/>
    <n v="187.10550000000001"/>
    <n v="510"/>
    <n v="0"/>
    <n v="0"/>
  </r>
  <r>
    <s v="Brand ABC TDM"/>
    <x v="2"/>
    <s v="Womens"/>
    <x v="5"/>
    <s v="B6A3Z-WB86"/>
    <x v="36"/>
    <s v="XL"/>
    <x v="0"/>
    <d v="2024-10-25T00:00:00"/>
    <d v="2024-10-25T00:00:00"/>
    <n v="0"/>
    <n v="0"/>
    <n v="0"/>
    <n v="1"/>
    <n v="37.663499999999999"/>
  </r>
  <r>
    <s v="Brand ABC TDM"/>
    <x v="2"/>
    <s v="Womens"/>
    <x v="5"/>
    <s v="B6A3Z-WB86"/>
    <x v="36"/>
    <s v="XS"/>
    <x v="0"/>
    <d v="2024-10-26T00:00:00"/>
    <d v="2024-11-15T00:00:00"/>
    <n v="4"/>
    <n v="150.654"/>
    <n v="419.33"/>
    <n v="0"/>
    <n v="0"/>
  </r>
  <r>
    <s v="Brand ABC TDM"/>
    <x v="2"/>
    <s v="Womens"/>
    <x v="5"/>
    <s v="B7A4V-BB2J"/>
    <x v="3"/>
    <s v="L"/>
    <x v="0"/>
    <d v="2024-10-28T00:00:00"/>
    <d v="2024-10-28T00:00:00"/>
    <n v="4"/>
    <n v="191.87360000000001"/>
    <n v="510.85"/>
    <n v="1"/>
    <n v="47.968400000000003"/>
  </r>
  <r>
    <s v="Brand ABC TDM"/>
    <x v="2"/>
    <s v="Womens"/>
    <x v="5"/>
    <s v="B7A4V-BB2J"/>
    <x v="3"/>
    <s v="M"/>
    <x v="0"/>
    <d v="2024-10-28T00:00:00"/>
    <d v="2024-12-21T00:00:00"/>
    <n v="6"/>
    <n v="293.17849999999999"/>
    <n v="780.47"/>
    <n v="5"/>
    <n v="249.44049999999999"/>
  </r>
  <r>
    <s v="Brand ABC TDM"/>
    <x v="2"/>
    <s v="Womens"/>
    <x v="5"/>
    <s v="B7A4V-BB2J"/>
    <x v="3"/>
    <s v="S"/>
    <x v="0"/>
    <d v="2024-10-28T00:00:00"/>
    <d v="2024-12-17T00:00:00"/>
    <n v="10"/>
    <n v="494.65039999999999"/>
    <n v="1291.31"/>
    <n v="3"/>
    <n v="151.38839999999999"/>
  </r>
  <r>
    <s v="Brand ABC TDM"/>
    <x v="2"/>
    <s v="Womens"/>
    <x v="5"/>
    <s v="B7A4V-BB2J"/>
    <x v="3"/>
    <s v="XS"/>
    <x v="0"/>
    <d v="2024-10-28T00:00:00"/>
    <d v="2024-12-04T00:00:00"/>
    <n v="6"/>
    <n v="295.78640000000001"/>
    <n v="766.28"/>
    <n v="1"/>
    <n v="49.970100000000002"/>
  </r>
  <r>
    <s v="Brand ABC TDM"/>
    <x v="2"/>
    <s v="Womens"/>
    <x v="5"/>
    <s v="B8A4O-BB2J"/>
    <x v="37"/>
    <s v="L"/>
    <x v="0"/>
    <d v="2024-10-25T00:00:00"/>
    <d v="2024-12-09T00:00:00"/>
    <n v="11"/>
    <n v="529.05420000000004"/>
    <n v="1404.81"/>
    <n v="8"/>
    <n v="391.54719999999998"/>
  </r>
  <r>
    <s v="Brand ABC TDM"/>
    <x v="2"/>
    <s v="Womens"/>
    <x v="5"/>
    <s v="B8A4O-BB2J"/>
    <x v="37"/>
    <s v="M"/>
    <x v="0"/>
    <d v="2024-10-25T00:00:00"/>
    <d v="2024-12-03T00:00:00"/>
    <n v="38"/>
    <n v="1848.7909999999999"/>
    <n v="4782.13"/>
    <n v="0"/>
    <n v="0"/>
  </r>
  <r>
    <s v="Brand ABC TDM"/>
    <x v="2"/>
    <s v="Womens"/>
    <x v="5"/>
    <s v="B8A4O-BB2J"/>
    <x v="37"/>
    <s v="S"/>
    <x v="0"/>
    <d v="2024-10-25T00:00:00"/>
    <d v="2024-12-13T00:00:00"/>
    <n v="30"/>
    <n v="1458.7002"/>
    <n v="3845.59"/>
    <n v="3"/>
    <n v="150.47640000000001"/>
  </r>
  <r>
    <s v="Brand ABC TDM"/>
    <x v="2"/>
    <s v="Womens"/>
    <x v="5"/>
    <s v="B8A4O-BB2J"/>
    <x v="37"/>
    <s v="XS"/>
    <x v="0"/>
    <d v="2024-10-25T00:00:00"/>
    <d v="2024-11-26T00:00:00"/>
    <n v="16"/>
    <n v="769.34040000000005"/>
    <n v="2043.42"/>
    <n v="0"/>
    <n v="0"/>
  </r>
  <r>
    <s v="Brand ABC TDM"/>
    <x v="2"/>
    <s v="Womens"/>
    <x v="5"/>
    <s v="B8A4O-RBQV"/>
    <x v="37"/>
    <s v="L"/>
    <x v="0"/>
    <d v="2024-10-25T00:00:00"/>
    <d v="2024-10-25T00:00:00"/>
    <n v="3"/>
    <n v="143.78399999999999"/>
    <n v="397.33"/>
    <n v="2"/>
    <n v="95.855999999999995"/>
  </r>
  <r>
    <s v="Brand ABC TDM"/>
    <x v="2"/>
    <s v="Womens"/>
    <x v="5"/>
    <s v="B8A4O-RBQV"/>
    <x v="37"/>
    <s v="M"/>
    <x v="0"/>
    <d v="2024-10-26T00:00:00"/>
    <d v="2024-11-21T00:00:00"/>
    <n v="7"/>
    <n v="335.49599999999998"/>
    <n v="865.62"/>
    <n v="5"/>
    <n v="244.62450000000001"/>
  </r>
  <r>
    <s v="Brand ABC TDM"/>
    <x v="2"/>
    <s v="Womens"/>
    <x v="5"/>
    <s v="B8A4O-RBQV"/>
    <x v="37"/>
    <s v="S"/>
    <x v="0"/>
    <d v="2024-10-25T00:00:00"/>
    <d v="2024-12-17T00:00:00"/>
    <n v="6"/>
    <n v="290.72239999999999"/>
    <n v="780.45"/>
    <n v="3"/>
    <n v="148.10669999999999"/>
  </r>
  <r>
    <s v="Brand ABC TDM"/>
    <x v="2"/>
    <s v="Womens"/>
    <x v="5"/>
    <s v="B8A4O-RBQV"/>
    <x v="37"/>
    <s v="XS"/>
    <x v="0"/>
    <d v="2024-10-25T00:00:00"/>
    <d v="2024-10-25T00:00:00"/>
    <n v="3"/>
    <n v="143.78399999999999"/>
    <n v="397.34"/>
    <n v="0"/>
    <n v="0"/>
  </r>
  <r>
    <s v="Brand ABC TDM"/>
    <x v="2"/>
    <s v="Womens"/>
    <x v="5"/>
    <s v="B9A7A-BB67"/>
    <x v="20"/>
    <s v="L"/>
    <x v="1"/>
    <d v="2024-10-28T00:00:00"/>
    <d v="2024-10-28T00:00:00"/>
    <n v="1"/>
    <n v="59.889800000000001"/>
    <n v="162"/>
    <n v="3"/>
    <n v="179.6694"/>
  </r>
  <r>
    <s v="Brand ABC TDM"/>
    <x v="2"/>
    <s v="Womens"/>
    <x v="5"/>
    <s v="B9A7A-BB67"/>
    <x v="20"/>
    <s v="M"/>
    <x v="1"/>
    <d v="2024-10-28T00:00:00"/>
    <d v="2024-12-17T00:00:00"/>
    <n v="2"/>
    <n v="120.4025"/>
    <n v="324"/>
    <n v="5"/>
    <n v="305.05500000000001"/>
  </r>
  <r>
    <s v="Brand ABC TDM"/>
    <x v="2"/>
    <s v="Womens"/>
    <x v="5"/>
    <s v="B9A7A-BB67"/>
    <x v="20"/>
    <s v="S"/>
    <x v="1"/>
    <d v="2024-10-28T00:00:00"/>
    <d v="2024-12-21T00:00:00"/>
    <n v="3"/>
    <n v="182.2647"/>
    <n v="486"/>
    <n v="3"/>
    <n v="184.34100000000001"/>
  </r>
  <r>
    <s v="Brand ABC TDM"/>
    <x v="2"/>
    <s v="Womens"/>
    <x v="5"/>
    <s v="B9A7A-BB67"/>
    <x v="20"/>
    <s v="XS"/>
    <x v="1"/>
    <d v="2024-10-28T00:00:00"/>
    <d v="2024-10-28T00:00:00"/>
    <n v="2"/>
    <n v="119.7796"/>
    <n v="324"/>
    <n v="1"/>
    <n v="59.889800000000001"/>
  </r>
  <r>
    <s v="Brand ABC TDM"/>
    <x v="2"/>
    <s v="Womens"/>
    <x v="6"/>
    <s v="B4A8C-BBF3"/>
    <x v="18"/>
    <s v="L"/>
    <x v="0"/>
    <d v="2024-05-20T00:00:00"/>
    <d v="2024-10-26T00:00:00"/>
    <n v="1"/>
    <n v="54.797899999999998"/>
    <n v="144.86000000000001"/>
    <n v="0"/>
    <n v="0"/>
  </r>
  <r>
    <s v="Brand ABC TDM"/>
    <x v="2"/>
    <s v="Womens"/>
    <x v="6"/>
    <s v="B4A8C-BBF3"/>
    <x v="18"/>
    <s v="M"/>
    <x v="0"/>
    <d v="2024-05-20T00:00:00"/>
    <d v="2024-11-19T00:00:00"/>
    <n v="17"/>
    <n v="931.01520000000005"/>
    <n v="2478.69"/>
    <n v="2"/>
    <n v="109.5312"/>
  </r>
  <r>
    <s v="Brand ABC TDM"/>
    <x v="2"/>
    <s v="Womens"/>
    <x v="6"/>
    <s v="B4A8C-BBF3"/>
    <x v="18"/>
    <s v="S"/>
    <x v="0"/>
    <d v="2024-05-20T00:00:00"/>
    <d v="2024-12-09T00:00:00"/>
    <n v="22"/>
    <n v="1222.0592999999999"/>
    <n v="3202.97"/>
    <n v="0"/>
    <n v="0"/>
  </r>
  <r>
    <s v="Brand ABC TDM"/>
    <x v="2"/>
    <s v="Womens"/>
    <x v="6"/>
    <s v="B4A8C-BBF3"/>
    <x v="18"/>
    <s v="XS"/>
    <x v="0"/>
    <d v="2024-05-20T00:00:00"/>
    <d v="2024-11-26T00:00:00"/>
    <n v="10"/>
    <n v="555.28859999999997"/>
    <n v="1448.56"/>
    <n v="3"/>
    <n v="171.07980000000001"/>
  </r>
  <r>
    <s v="Brand ABC TDM"/>
    <x v="2"/>
    <s v="Womens"/>
    <x v="6"/>
    <s v="B4A8C-UCW6"/>
    <x v="18"/>
    <s v="L"/>
    <x v="1"/>
    <d v="2024-10-26T00:00:00"/>
    <d v="2024-11-21T00:00:00"/>
    <n v="3"/>
    <n v="165.8674"/>
    <n v="450.67"/>
    <n v="0"/>
    <n v="0"/>
  </r>
  <r>
    <s v="Brand ABC TDM"/>
    <x v="2"/>
    <s v="Womens"/>
    <x v="6"/>
    <s v="B4A8C-UCW6"/>
    <x v="18"/>
    <s v="M"/>
    <x v="1"/>
    <d v="2024-10-26T00:00:00"/>
    <d v="2024-11-26T00:00:00"/>
    <n v="1"/>
    <n v="54.757599999999996"/>
    <n v="144.85"/>
    <n v="0"/>
    <n v="0"/>
  </r>
  <r>
    <s v="Brand ABC TDM"/>
    <x v="2"/>
    <s v="Womens"/>
    <x v="6"/>
    <s v="B5A8Y-KB68"/>
    <x v="38"/>
    <s v="L"/>
    <x v="1"/>
    <d v="2024-12-07T00:00:00"/>
    <d v="2024-12-07T00:00:00"/>
    <n v="0"/>
    <n v="0"/>
    <n v="0"/>
    <n v="5"/>
    <n v="360.08449999999999"/>
  </r>
  <r>
    <s v="Brand ABC TDM"/>
    <x v="2"/>
    <s v="Womens"/>
    <x v="6"/>
    <s v="B5A8Y-KB68"/>
    <x v="38"/>
    <s v="M"/>
    <x v="1"/>
    <d v="2024-12-07T00:00:00"/>
    <d v="2024-12-07T00:00:00"/>
    <n v="0"/>
    <n v="0"/>
    <n v="0"/>
    <n v="5"/>
    <n v="363.53"/>
  </r>
  <r>
    <s v="Brand ABC TDM"/>
    <x v="2"/>
    <s v="Womens"/>
    <x v="6"/>
    <s v="B5A8Y-KB68"/>
    <x v="38"/>
    <s v="S"/>
    <x v="1"/>
    <d v="2024-12-07T00:00:00"/>
    <d v="2024-12-17T00:00:00"/>
    <n v="0"/>
    <n v="0"/>
    <n v="0"/>
    <n v="4"/>
    <n v="288.06760000000003"/>
  </r>
  <r>
    <s v="Brand ABC TDM"/>
    <x v="2"/>
    <s v="Womens"/>
    <x v="6"/>
    <s v="B5A8Y-KB68"/>
    <x v="38"/>
    <s v="XL"/>
    <x v="1"/>
    <d v="2024-12-07T00:00:00"/>
    <d v="2024-12-16T00:00:00"/>
    <n v="1"/>
    <n v="72.016900000000007"/>
    <n v="187.71"/>
    <n v="3"/>
    <n v="216.05070000000001"/>
  </r>
  <r>
    <s v="Brand ABC TDM"/>
    <x v="2"/>
    <s v="Womens"/>
    <x v="6"/>
    <s v="B5A8Y-KB68"/>
    <x v="38"/>
    <s v="XS"/>
    <x v="1"/>
    <d v="2024-12-07T00:00:00"/>
    <d v="2024-12-07T00:00:00"/>
    <n v="0"/>
    <n v="0"/>
    <n v="0"/>
    <n v="3"/>
    <n v="216.05070000000001"/>
  </r>
  <r>
    <s v="Brand ABC TDM"/>
    <x v="2"/>
    <s v="Womens"/>
    <x v="6"/>
    <s v="B5A8Y-UCTN"/>
    <x v="38"/>
    <s v="L"/>
    <x v="2"/>
    <d v="2024-12-07T00:00:00"/>
    <d v="2024-12-07T00:00:00"/>
    <n v="0"/>
    <n v="0"/>
    <n v="0"/>
    <n v="5"/>
    <n v="360.08449999999999"/>
  </r>
  <r>
    <s v="Brand ABC TDM"/>
    <x v="2"/>
    <s v="Womens"/>
    <x v="6"/>
    <s v="B5A8Y-UCTN"/>
    <x v="38"/>
    <s v="M"/>
    <x v="2"/>
    <d v="2024-12-07T00:00:00"/>
    <d v="2024-12-07T00:00:00"/>
    <n v="0"/>
    <n v="0"/>
    <n v="0"/>
    <n v="5"/>
    <n v="360.08449999999999"/>
  </r>
  <r>
    <s v="Brand ABC TDM"/>
    <x v="2"/>
    <s v="Womens"/>
    <x v="6"/>
    <s v="B5A8Y-UCTN"/>
    <x v="38"/>
    <s v="S"/>
    <x v="2"/>
    <d v="2024-12-07T00:00:00"/>
    <d v="2024-12-17T00:00:00"/>
    <n v="1"/>
    <n v="72.016900000000007"/>
    <n v="187.71"/>
    <n v="3"/>
    <n v="216.05070000000001"/>
  </r>
  <r>
    <s v="Brand ABC TDM"/>
    <x v="2"/>
    <s v="Womens"/>
    <x v="6"/>
    <s v="B5A8Y-UCTN"/>
    <x v="38"/>
    <s v="XL"/>
    <x v="2"/>
    <d v="2024-12-07T00:00:00"/>
    <d v="2024-12-07T00:00:00"/>
    <n v="0"/>
    <n v="0"/>
    <n v="0"/>
    <n v="3"/>
    <n v="216.05070000000001"/>
  </r>
  <r>
    <s v="Brand ABC TDM"/>
    <x v="2"/>
    <s v="Womens"/>
    <x v="6"/>
    <s v="B5A8Y-UCTN"/>
    <x v="38"/>
    <s v="XS"/>
    <x v="2"/>
    <d v="2024-12-07T00:00:00"/>
    <d v="2024-12-07T00:00:00"/>
    <n v="0"/>
    <n v="0"/>
    <n v="0"/>
    <n v="3"/>
    <n v="216.05070000000001"/>
  </r>
  <r>
    <s v="Brand ABC TDM"/>
    <x v="2"/>
    <s v="Womens"/>
    <x v="6"/>
    <s v="B8A4Q-BB2J"/>
    <x v="37"/>
    <s v="L"/>
    <x v="0"/>
    <d v="2024-10-26T00:00:00"/>
    <d v="2024-12-17T00:00:00"/>
    <n v="7"/>
    <n v="335.8759"/>
    <n v="908.18"/>
    <n v="6"/>
    <n v="289.72500000000002"/>
  </r>
  <r>
    <s v="Brand ABC TDM"/>
    <x v="2"/>
    <s v="Womens"/>
    <x v="6"/>
    <s v="B8A4Q-BB2J"/>
    <x v="37"/>
    <s v="M"/>
    <x v="0"/>
    <d v="2024-10-26T00:00:00"/>
    <d v="2024-12-18T00:00:00"/>
    <n v="15"/>
    <n v="728.89030000000002"/>
    <n v="1915.66"/>
    <n v="6"/>
    <n v="297.73680000000002"/>
  </r>
  <r>
    <s v="Brand ABC TDM"/>
    <x v="2"/>
    <s v="Womens"/>
    <x v="6"/>
    <s v="B8A4Q-BB2J"/>
    <x v="37"/>
    <s v="S"/>
    <x v="0"/>
    <d v="2024-10-25T00:00:00"/>
    <d v="2024-12-18T00:00:00"/>
    <n v="18"/>
    <n v="870.35469999999998"/>
    <n v="2312.98"/>
    <n v="4"/>
    <n v="199.2808"/>
  </r>
  <r>
    <s v="Brand ABC TDM"/>
    <x v="2"/>
    <s v="Womens"/>
    <x v="6"/>
    <s v="B8A4Q-BB2J"/>
    <x v="37"/>
    <s v="XS"/>
    <x v="0"/>
    <d v="2024-10-26T00:00:00"/>
    <d v="2024-12-13T00:00:00"/>
    <n v="9"/>
    <n v="436.89359999999999"/>
    <n v="1163.6199999999999"/>
    <n v="3"/>
    <n v="149.70779999999999"/>
  </r>
  <r>
    <s v="Brand ABC TDM"/>
    <x v="2"/>
    <s v="Womens"/>
    <x v="6"/>
    <s v="B8A4Q-ECJH"/>
    <x v="37"/>
    <s v="L"/>
    <x v="1"/>
    <d v="2024-10-28T00:00:00"/>
    <d v="2024-10-28T00:00:00"/>
    <n v="2"/>
    <n v="95.855999999999995"/>
    <n v="255.43"/>
    <n v="3"/>
    <n v="143.78399999999999"/>
  </r>
  <r>
    <s v="Brand ABC TDM"/>
    <x v="2"/>
    <s v="Womens"/>
    <x v="6"/>
    <s v="B8A4Q-ECJH"/>
    <x v="37"/>
    <s v="M"/>
    <x v="1"/>
    <d v="2024-10-28T00:00:00"/>
    <d v="2024-12-20T00:00:00"/>
    <n v="3"/>
    <n v="144.7809"/>
    <n v="383.14"/>
    <n v="5"/>
    <n v="246.12"/>
  </r>
  <r>
    <s v="Brand ABC TDM"/>
    <x v="2"/>
    <s v="Womens"/>
    <x v="6"/>
    <s v="B8A4Q-ECJH"/>
    <x v="37"/>
    <s v="S"/>
    <x v="1"/>
    <d v="2024-10-28T00:00:00"/>
    <d v="2024-12-18T00:00:00"/>
    <n v="5"/>
    <n v="244.2353"/>
    <n v="638.55999999999995"/>
    <n v="4"/>
    <n v="199.57839999999999"/>
  </r>
  <r>
    <s v="Brand ABC TDM"/>
    <x v="2"/>
    <s v="Womens"/>
    <x v="6"/>
    <s v="B8A4Q-ECJH"/>
    <x v="37"/>
    <s v="XS"/>
    <x v="1"/>
    <d v="2024-10-28T00:00:00"/>
    <d v="2024-11-27T00:00:00"/>
    <n v="3"/>
    <n v="145.44560000000001"/>
    <n v="383.13"/>
    <n v="1"/>
    <n v="48.758800000000001"/>
  </r>
  <r>
    <s v="Brand ABC TDM"/>
    <x v="2"/>
    <s v="Womens"/>
    <x v="6"/>
    <s v="B8A4Q-RBQV"/>
    <x v="37"/>
    <s v="L"/>
    <x v="0"/>
    <d v="2024-10-26T00:00:00"/>
    <d v="2024-11-12T00:00:00"/>
    <n v="3"/>
    <n v="143.78399999999999"/>
    <n v="383.13"/>
    <n v="3"/>
    <n v="143.78399999999999"/>
  </r>
  <r>
    <s v="Brand ABC TDM"/>
    <x v="2"/>
    <s v="Womens"/>
    <x v="6"/>
    <s v="B8A4Q-RBQV"/>
    <x v="37"/>
    <s v="M"/>
    <x v="0"/>
    <d v="2024-10-26T00:00:00"/>
    <d v="2024-12-12T00:00:00"/>
    <n v="10"/>
    <n v="480.27690000000001"/>
    <n v="1291.33"/>
    <n v="5"/>
    <n v="246.12"/>
  </r>
  <r>
    <s v="Brand ABC TDM"/>
    <x v="2"/>
    <s v="Womens"/>
    <x v="6"/>
    <s v="B8A4Q-RBQV"/>
    <x v="37"/>
    <s v="S"/>
    <x v="0"/>
    <d v="2024-10-25T00:00:00"/>
    <d v="2024-12-16T00:00:00"/>
    <n v="5"/>
    <n v="240.26310000000001"/>
    <n v="638.55999999999995"/>
    <n v="4"/>
    <n v="196.0736"/>
  </r>
  <r>
    <s v="Brand ABC TDM"/>
    <x v="2"/>
    <s v="Womens"/>
    <x v="6"/>
    <s v="B8A4Q-RBQV"/>
    <x v="37"/>
    <s v="XS"/>
    <x v="0"/>
    <d v="2024-10-25T00:00:00"/>
    <d v="2024-11-12T00:00:00"/>
    <n v="3"/>
    <n v="143.78399999999999"/>
    <n v="383.14"/>
    <n v="1"/>
    <n v="47.927999999999997"/>
  </r>
  <r>
    <s v="Brand ABC TDM"/>
    <x v="2"/>
    <s v="Womens"/>
    <x v="6"/>
    <s v="B8A4Q-TBNG"/>
    <x v="37"/>
    <s v="L"/>
    <x v="0"/>
    <d v="2024-10-26T00:00:00"/>
    <d v="2024-10-26T00:00:00"/>
    <n v="0"/>
    <n v="0"/>
    <n v="0"/>
    <n v="2"/>
    <n v="95.936800000000005"/>
  </r>
  <r>
    <s v="Brand ABC TDM"/>
    <x v="2"/>
    <s v="Womens"/>
    <x v="6"/>
    <s v="B8A4Q-TBNG"/>
    <x v="37"/>
    <s v="M"/>
    <x v="0"/>
    <d v="2024-10-26T00:00:00"/>
    <d v="2024-10-26T00:00:00"/>
    <n v="0"/>
    <n v="0"/>
    <n v="0"/>
    <n v="5"/>
    <n v="239.84200000000001"/>
  </r>
  <r>
    <s v="Brand ABC TDM"/>
    <x v="2"/>
    <s v="Womens"/>
    <x v="6"/>
    <s v="B8A4Q-TBNG"/>
    <x v="37"/>
    <s v="S"/>
    <x v="0"/>
    <d v="2024-10-26T00:00:00"/>
    <d v="2024-10-26T00:00:00"/>
    <n v="0"/>
    <n v="0"/>
    <n v="0"/>
    <n v="4"/>
    <n v="191.87360000000001"/>
  </r>
  <r>
    <s v="Brand ABC TDM"/>
    <x v="2"/>
    <s v="Womens"/>
    <x v="6"/>
    <s v="B8A4Q-TBNG"/>
    <x v="37"/>
    <s v="XS"/>
    <x v="0"/>
    <d v="2024-10-26T00:00:00"/>
    <d v="2024-10-26T00:00:00"/>
    <n v="0"/>
    <n v="0"/>
    <n v="0"/>
    <n v="3"/>
    <n v="143.90520000000001"/>
  </r>
  <r>
    <s v="Brand ABC TDM"/>
    <x v="2"/>
    <s v="Womens"/>
    <x v="6"/>
    <s v="B9A5S-BB2J"/>
    <x v="39"/>
    <s v="L"/>
    <x v="1"/>
    <d v="2024-10-28T00:00:00"/>
    <d v="2024-10-28T00:00:00"/>
    <n v="0"/>
    <n v="0"/>
    <n v="0"/>
    <n v="3"/>
    <n v="205.37129999999999"/>
  </r>
  <r>
    <s v="Brand ABC TDM"/>
    <x v="2"/>
    <s v="Womens"/>
    <x v="6"/>
    <s v="B9A5S-BB2J"/>
    <x v="39"/>
    <s v="M"/>
    <x v="1"/>
    <d v="2024-10-28T00:00:00"/>
    <d v="2024-11-09T00:00:00"/>
    <n v="0"/>
    <n v="0"/>
    <n v="0"/>
    <n v="6"/>
    <n v="410.74259999999998"/>
  </r>
  <r>
    <s v="Brand ABC TDM"/>
    <x v="2"/>
    <s v="Womens"/>
    <x v="6"/>
    <s v="B9A5S-BB2J"/>
    <x v="39"/>
    <s v="S"/>
    <x v="1"/>
    <d v="2024-10-28T00:00:00"/>
    <d v="2024-11-09T00:00:00"/>
    <n v="0"/>
    <n v="0"/>
    <n v="0"/>
    <n v="5"/>
    <n v="342.28550000000001"/>
  </r>
  <r>
    <s v="Brand ABC TDM"/>
    <x v="2"/>
    <s v="Womens"/>
    <x v="6"/>
    <s v="B9A5S-BB2J"/>
    <x v="39"/>
    <s v="XS"/>
    <x v="1"/>
    <d v="2024-10-28T00:00:00"/>
    <d v="2024-10-28T00:00:00"/>
    <n v="0"/>
    <n v="0"/>
    <n v="0"/>
    <n v="3"/>
    <n v="205.37129999999999"/>
  </r>
  <r>
    <s v="Brand ABC TDM"/>
    <x v="2"/>
    <s v="Womens"/>
    <x v="6"/>
    <s v="B9A5S-NCNW"/>
    <x v="39"/>
    <s v="L"/>
    <x v="1"/>
    <d v="2024-10-28T00:00:00"/>
    <d v="2024-11-12T00:00:00"/>
    <n v="0"/>
    <n v="0"/>
    <n v="0"/>
    <n v="3"/>
    <n v="205.37129999999999"/>
  </r>
  <r>
    <s v="Brand ABC TDM"/>
    <x v="2"/>
    <s v="Womens"/>
    <x v="6"/>
    <s v="B9A5S-NCNW"/>
    <x v="39"/>
    <s v="M"/>
    <x v="1"/>
    <d v="2024-10-28T00:00:00"/>
    <d v="2024-11-09T00:00:00"/>
    <n v="0"/>
    <n v="0"/>
    <n v="0"/>
    <n v="6"/>
    <n v="410.74259999999998"/>
  </r>
  <r>
    <s v="Brand ABC TDM"/>
    <x v="2"/>
    <s v="Womens"/>
    <x v="6"/>
    <s v="B9A5S-NCNW"/>
    <x v="39"/>
    <s v="S"/>
    <x v="1"/>
    <d v="2024-10-28T00:00:00"/>
    <d v="2024-11-09T00:00:00"/>
    <n v="0"/>
    <n v="0"/>
    <n v="0"/>
    <n v="5"/>
    <n v="342.28550000000001"/>
  </r>
  <r>
    <s v="Brand ABC TDM"/>
    <x v="2"/>
    <s v="Womens"/>
    <x v="6"/>
    <s v="B9A5S-NCNW"/>
    <x v="39"/>
    <s v="XS"/>
    <x v="1"/>
    <d v="2024-10-28T00:00:00"/>
    <d v="2024-10-28T00:00:00"/>
    <n v="0"/>
    <n v="0"/>
    <n v="0"/>
    <n v="2"/>
    <n v="136.91419999999999"/>
  </r>
  <r>
    <s v="Brand ABC TDM"/>
    <x v="2"/>
    <s v="Womens"/>
    <x v="6"/>
    <s v="B9A5T-PB1M"/>
    <x v="20"/>
    <s v="L"/>
    <x v="1"/>
    <d v="2024-10-28T00:00:00"/>
    <d v="2024-10-28T00:00:00"/>
    <n v="1"/>
    <n v="71.851600000000005"/>
    <n v="196.29"/>
    <n v="4"/>
    <n v="287.40640000000002"/>
  </r>
  <r>
    <s v="Brand ABC TDM"/>
    <x v="2"/>
    <s v="Womens"/>
    <x v="6"/>
    <s v="B9A5T-PB1M"/>
    <x v="20"/>
    <s v="M"/>
    <x v="1"/>
    <d v="2024-10-28T00:00:00"/>
    <d v="2024-12-06T00:00:00"/>
    <n v="2"/>
    <n v="144.45050000000001"/>
    <n v="392.58"/>
    <n v="5"/>
    <n v="365.98349999999999"/>
  </r>
  <r>
    <s v="Brand ABC TDM"/>
    <x v="2"/>
    <s v="Womens"/>
    <x v="6"/>
    <s v="B9A5T-PB1M"/>
    <x v="20"/>
    <s v="S"/>
    <x v="1"/>
    <d v="2024-10-28T00:00:00"/>
    <d v="2024-10-28T00:00:00"/>
    <n v="0"/>
    <n v="0"/>
    <n v="0"/>
    <n v="4"/>
    <n v="287.40640000000002"/>
  </r>
  <r>
    <s v="Brand ABC TDM"/>
    <x v="2"/>
    <s v="Womens"/>
    <x v="6"/>
    <s v="B9A5T-PB1M"/>
    <x v="20"/>
    <s v="XS"/>
    <x v="1"/>
    <d v="2024-10-28T00:00:00"/>
    <d v="2024-10-28T00:00:00"/>
    <n v="0"/>
    <n v="0"/>
    <n v="0"/>
    <n v="3"/>
    <n v="215.5548"/>
  </r>
  <r>
    <s v="Brand ABC TDM"/>
    <x v="2"/>
    <s v="Womens"/>
    <x v="12"/>
    <s v="B1A2B-BBF3"/>
    <x v="18"/>
    <s v="L"/>
    <x v="0"/>
    <d v="2024-10-25T00:00:00"/>
    <d v="2024-12-21T00:00:00"/>
    <n v="16"/>
    <n v="1237.2166"/>
    <n v="3323.24"/>
    <n v="11"/>
    <n v="868.57539999999995"/>
  </r>
  <r>
    <s v="Brand ABC TDM"/>
    <x v="2"/>
    <s v="Womens"/>
    <x v="12"/>
    <s v="B1A2B-BBF3"/>
    <x v="18"/>
    <s v="M"/>
    <x v="0"/>
    <d v="2024-10-25T00:00:00"/>
    <d v="2024-12-21T00:00:00"/>
    <n v="49"/>
    <n v="3788.5776999999998"/>
    <n v="9969.76"/>
    <n v="17"/>
    <n v="1347.0868"/>
  </r>
  <r>
    <s v="Brand ABC TDM"/>
    <x v="2"/>
    <s v="Womens"/>
    <x v="12"/>
    <s v="B1A2B-BBF3"/>
    <x v="18"/>
    <s v="S"/>
    <x v="0"/>
    <d v="2024-10-25T00:00:00"/>
    <d v="2024-12-21T00:00:00"/>
    <n v="51"/>
    <n v="3980.8849"/>
    <n v="10459.049999999999"/>
    <n v="11"/>
    <n v="876.13239999999996"/>
  </r>
  <r>
    <s v="Brand ABC TDM"/>
    <x v="2"/>
    <s v="Womens"/>
    <x v="12"/>
    <s v="B1A2B-BBF3"/>
    <x v="18"/>
    <s v="XL"/>
    <x v="0"/>
    <d v="2024-10-25T00:00:00"/>
    <d v="2024-12-17T00:00:00"/>
    <n v="3"/>
    <n v="230.95140000000001"/>
    <n v="614.58000000000004"/>
    <n v="5"/>
    <n v="384.91899999999998"/>
  </r>
  <r>
    <s v="Brand ABC TDM"/>
    <x v="2"/>
    <s v="Womens"/>
    <x v="12"/>
    <s v="B1A2B-BBF3"/>
    <x v="18"/>
    <s v="XS"/>
    <x v="0"/>
    <d v="2024-10-25T00:00:00"/>
    <d v="2024-12-21T00:00:00"/>
    <n v="27"/>
    <n v="2120.8780999999999"/>
    <n v="5576.7"/>
    <n v="5"/>
    <n v="400.709"/>
  </r>
  <r>
    <s v="Brand ABC TDM"/>
    <x v="2"/>
    <s v="Womens"/>
    <x v="12"/>
    <s v="B1A2B-EBTF"/>
    <x v="18"/>
    <s v="L"/>
    <x v="0"/>
    <d v="2024-10-25T00:00:00"/>
    <d v="2024-12-04T00:00:00"/>
    <n v="8"/>
    <n v="616.66549999999995"/>
    <n v="1638.87"/>
    <n v="9"/>
    <n v="703.57410000000004"/>
  </r>
  <r>
    <s v="Brand ABC TDM"/>
    <x v="2"/>
    <s v="Womens"/>
    <x v="12"/>
    <s v="B1A2B-EBTF"/>
    <x v="18"/>
    <s v="M"/>
    <x v="0"/>
    <d v="2024-10-25T00:00:00"/>
    <d v="2024-12-21T00:00:00"/>
    <n v="25"/>
    <n v="1916.4928"/>
    <n v="5144.24"/>
    <n v="10"/>
    <n v="784.84"/>
  </r>
  <r>
    <s v="Brand ABC TDM"/>
    <x v="2"/>
    <s v="Womens"/>
    <x v="12"/>
    <s v="B1A2B-EBTF"/>
    <x v="18"/>
    <s v="S"/>
    <x v="0"/>
    <d v="2024-10-25T00:00:00"/>
    <d v="2024-12-20T00:00:00"/>
    <n v="29"/>
    <n v="2224.1363999999999"/>
    <n v="5918.09"/>
    <n v="8"/>
    <n v="632.84159999999997"/>
  </r>
  <r>
    <s v="Brand ABC TDM"/>
    <x v="2"/>
    <s v="Womens"/>
    <x v="12"/>
    <s v="B1A2B-EBTF"/>
    <x v="18"/>
    <s v="XL"/>
    <x v="0"/>
    <d v="2024-10-25T00:00:00"/>
    <d v="2024-12-07T00:00:00"/>
    <n v="1"/>
    <n v="76.983800000000002"/>
    <n v="204.86"/>
    <n v="5"/>
    <n v="396.92849999999999"/>
  </r>
  <r>
    <s v="Brand ABC TDM"/>
    <x v="2"/>
    <s v="Womens"/>
    <x v="12"/>
    <s v="B1A2B-EBTF"/>
    <x v="18"/>
    <s v="XS"/>
    <x v="0"/>
    <d v="2024-10-25T00:00:00"/>
    <d v="2024-12-21T00:00:00"/>
    <n v="11"/>
    <n v="848.11810000000003"/>
    <n v="2253.46"/>
    <n v="5"/>
    <n v="394.9425"/>
  </r>
  <r>
    <s v="Brand ABC TDM"/>
    <x v="2"/>
    <s v="Womens"/>
    <x v="12"/>
    <s v="B1A2B-GCSV"/>
    <x v="18"/>
    <s v="L"/>
    <x v="2"/>
    <d v="2024-10-25T00:00:00"/>
    <d v="2024-12-03T00:00:00"/>
    <n v="0"/>
    <n v="0"/>
    <n v="0"/>
    <n v="9"/>
    <n v="701.8614"/>
  </r>
  <r>
    <s v="Brand ABC TDM"/>
    <x v="2"/>
    <s v="Womens"/>
    <x v="12"/>
    <s v="B1A2B-GCSV"/>
    <x v="18"/>
    <s v="M"/>
    <x v="2"/>
    <d v="2024-10-25T00:00:00"/>
    <d v="2024-12-11T00:00:00"/>
    <n v="1"/>
    <n v="78.885800000000003"/>
    <n v="204.86"/>
    <n v="10"/>
    <n v="790.95899999999995"/>
  </r>
  <r>
    <s v="Brand ABC TDM"/>
    <x v="2"/>
    <s v="Womens"/>
    <x v="12"/>
    <s v="B1A2B-GCSV"/>
    <x v="18"/>
    <s v="S"/>
    <x v="2"/>
    <d v="2024-10-25T00:00:00"/>
    <d v="2024-12-17T00:00:00"/>
    <n v="0"/>
    <n v="0"/>
    <n v="0"/>
    <n v="7"/>
    <n v="561.07730000000004"/>
  </r>
  <r>
    <s v="Brand ABC TDM"/>
    <x v="2"/>
    <s v="Womens"/>
    <x v="12"/>
    <s v="B1A2B-GCSV"/>
    <x v="18"/>
    <s v="XL"/>
    <x v="2"/>
    <d v="2024-10-25T00:00:00"/>
    <d v="2024-12-07T00:00:00"/>
    <n v="0"/>
    <n v="0"/>
    <n v="0"/>
    <n v="2"/>
    <n v="161.97399999999999"/>
  </r>
  <r>
    <s v="Brand ABC TDM"/>
    <x v="2"/>
    <s v="Womens"/>
    <x v="12"/>
    <s v="B1A2B-GCSV"/>
    <x v="18"/>
    <s v="XS"/>
    <x v="2"/>
    <d v="2024-10-25T00:00:00"/>
    <d v="2024-12-04T00:00:00"/>
    <n v="0"/>
    <n v="0"/>
    <n v="0"/>
    <n v="4"/>
    <n v="314.94080000000002"/>
  </r>
  <r>
    <s v="Brand ABC TDM"/>
    <x v="2"/>
    <s v="Womens"/>
    <x v="12"/>
    <s v="B1A2B-KB80"/>
    <x v="18"/>
    <s v="L"/>
    <x v="1"/>
    <d v="2024-10-28T00:00:00"/>
    <d v="2024-11-15T00:00:00"/>
    <n v="2"/>
    <n v="153.9676"/>
    <n v="409.71"/>
    <n v="10"/>
    <n v="769.83799999999997"/>
  </r>
  <r>
    <s v="Brand ABC TDM"/>
    <x v="2"/>
    <s v="Womens"/>
    <x v="12"/>
    <s v="B1A2B-KB80"/>
    <x v="18"/>
    <s v="M"/>
    <x v="1"/>
    <d v="2024-10-28T00:00:00"/>
    <d v="2024-11-15T00:00:00"/>
    <n v="7"/>
    <n v="538.88660000000004"/>
    <n v="1434.01"/>
    <n v="7"/>
    <n v="538.88660000000004"/>
  </r>
  <r>
    <s v="Brand ABC TDM"/>
    <x v="2"/>
    <s v="Womens"/>
    <x v="12"/>
    <s v="B1A2B-KB80"/>
    <x v="18"/>
    <s v="S"/>
    <x v="1"/>
    <d v="2024-10-28T00:00:00"/>
    <d v="2024-12-17T00:00:00"/>
    <n v="6"/>
    <n v="461.90280000000001"/>
    <n v="1217.75"/>
    <n v="5"/>
    <n v="388.92200000000003"/>
  </r>
  <r>
    <s v="Brand ABC TDM"/>
    <x v="2"/>
    <s v="Womens"/>
    <x v="12"/>
    <s v="B1A2B-KB80"/>
    <x v="18"/>
    <s v="XS"/>
    <x v="1"/>
    <d v="2024-10-28T00:00:00"/>
    <d v="2024-11-15T00:00:00"/>
    <n v="3"/>
    <n v="230.95140000000001"/>
    <n v="637.34"/>
    <n v="3"/>
    <n v="230.95140000000001"/>
  </r>
  <r>
    <s v="Brand ABC TDM"/>
    <x v="2"/>
    <s v="Womens"/>
    <x v="12"/>
    <s v="B1A2B-UCW7"/>
    <x v="18"/>
    <s v="M"/>
    <x v="2"/>
    <d v="2024-10-25T00:00:00"/>
    <d v="2024-12-21T00:00:00"/>
    <n v="0"/>
    <n v="0"/>
    <n v="0"/>
    <n v="10"/>
    <n v="790.76800000000003"/>
  </r>
  <r>
    <s v="Brand ABC TDM"/>
    <x v="2"/>
    <s v="Womens"/>
    <x v="12"/>
    <s v="B1A2B-UCW7"/>
    <x v="18"/>
    <s v="S"/>
    <x v="2"/>
    <d v="2024-10-25T00:00:00"/>
    <d v="2024-12-21T00:00:00"/>
    <n v="2"/>
    <n v="160.61189999999999"/>
    <n v="409.72"/>
    <n v="8"/>
    <n v="644.39919999999995"/>
  </r>
  <r>
    <s v="Brand ABC TDM"/>
    <x v="2"/>
    <s v="Womens"/>
    <x v="12"/>
    <s v="B1A2B-UCW7"/>
    <x v="18"/>
    <s v="XS"/>
    <x v="2"/>
    <d v="2024-10-25T00:00:00"/>
    <d v="2024-12-20T00:00:00"/>
    <n v="1"/>
    <n v="80.343599999999995"/>
    <n v="204.86"/>
    <n v="5"/>
    <n v="401.71800000000002"/>
  </r>
  <r>
    <s v="Brand ABC TDM"/>
    <x v="2"/>
    <s v="Womens"/>
    <x v="12"/>
    <s v="B1B7A-BB2J"/>
    <x v="40"/>
    <s v="L"/>
    <x v="2"/>
    <d v="2024-10-26T00:00:00"/>
    <d v="2024-11-22T00:00:00"/>
    <n v="0"/>
    <n v="0"/>
    <n v="0"/>
    <n v="1"/>
    <n v="83.248999999999995"/>
  </r>
  <r>
    <s v="Brand ABC TDM"/>
    <x v="2"/>
    <s v="Womens"/>
    <x v="12"/>
    <s v="B1B7A-BB2J"/>
    <x v="40"/>
    <s v="M"/>
    <x v="2"/>
    <d v="2024-10-26T00:00:00"/>
    <d v="2024-11-26T00:00:00"/>
    <n v="0"/>
    <n v="0"/>
    <n v="0"/>
    <n v="5"/>
    <n v="426.67649999999998"/>
  </r>
  <r>
    <s v="Brand ABC TDM"/>
    <x v="2"/>
    <s v="Womens"/>
    <x v="12"/>
    <s v="B1B7A-BB2J"/>
    <x v="40"/>
    <s v="S"/>
    <x v="2"/>
    <d v="2024-10-26T00:00:00"/>
    <d v="2024-11-30T00:00:00"/>
    <n v="0"/>
    <n v="0"/>
    <n v="0"/>
    <n v="5"/>
    <n v="436.22149999999999"/>
  </r>
  <r>
    <s v="Brand ABC TDM"/>
    <x v="2"/>
    <s v="Womens"/>
    <x v="12"/>
    <s v="B1B7B-BB2J"/>
    <x v="41"/>
    <s v="L"/>
    <x v="2"/>
    <d v="2024-12-07T00:00:00"/>
    <d v="2024-12-07T00:00:00"/>
    <n v="0"/>
    <n v="0"/>
    <n v="0"/>
    <n v="5"/>
    <n v="404.935"/>
  </r>
  <r>
    <s v="Brand ABC TDM"/>
    <x v="2"/>
    <s v="Womens"/>
    <x v="12"/>
    <s v="B1B7B-BB2J"/>
    <x v="41"/>
    <s v="M"/>
    <x v="2"/>
    <d v="2024-12-07T00:00:00"/>
    <d v="2024-12-17T00:00:00"/>
    <n v="2"/>
    <n v="161.97399999999999"/>
    <n v="432.48"/>
    <n v="5"/>
    <n v="404.935"/>
  </r>
  <r>
    <s v="Brand ABC TDM"/>
    <x v="2"/>
    <s v="Womens"/>
    <x v="12"/>
    <s v="B1B7B-BB2J"/>
    <x v="41"/>
    <s v="S"/>
    <x v="2"/>
    <d v="2024-12-07T00:00:00"/>
    <d v="2024-12-17T00:00:00"/>
    <n v="3"/>
    <n v="242.96100000000001"/>
    <n v="614.57000000000005"/>
    <n v="4"/>
    <n v="323.94799999999998"/>
  </r>
  <r>
    <s v="Brand ABC TDM"/>
    <x v="2"/>
    <s v="Womens"/>
    <x v="12"/>
    <s v="B1B7B-BB2J"/>
    <x v="41"/>
    <s v="XL"/>
    <x v="2"/>
    <d v="2024-12-07T00:00:00"/>
    <d v="2024-12-07T00:00:00"/>
    <n v="0"/>
    <n v="0"/>
    <n v="0"/>
    <n v="3"/>
    <n v="242.96129999999999"/>
  </r>
  <r>
    <s v="Brand ABC TDM"/>
    <x v="2"/>
    <s v="Womens"/>
    <x v="12"/>
    <s v="B1B7B-BB2J"/>
    <x v="41"/>
    <s v="XS"/>
    <x v="2"/>
    <d v="2024-12-07T00:00:00"/>
    <d v="2024-12-17T00:00:00"/>
    <n v="3"/>
    <n v="242.96100000000001"/>
    <n v="637.34"/>
    <n v="2"/>
    <n v="161.97399999999999"/>
  </r>
  <r>
    <s v="Brand ABC TDM"/>
    <x v="2"/>
    <s v="Womens"/>
    <x v="12"/>
    <s v="B1C3X-BB2J"/>
    <x v="41"/>
    <s v="L"/>
    <x v="2"/>
    <d v="2024-10-26T00:00:00"/>
    <d v="2024-11-19T00:00:00"/>
    <n v="0"/>
    <n v="0"/>
    <n v="0"/>
    <n v="6"/>
    <n v="492.69659999999999"/>
  </r>
  <r>
    <s v="Brand ABC TDM"/>
    <x v="2"/>
    <s v="Womens"/>
    <x v="12"/>
    <s v="B1C3X-BB2J"/>
    <x v="41"/>
    <s v="M"/>
    <x v="2"/>
    <d v="2024-10-26T00:00:00"/>
    <d v="2024-11-13T00:00:00"/>
    <n v="0"/>
    <n v="0"/>
    <n v="0"/>
    <n v="7"/>
    <n v="574.81269999999995"/>
  </r>
  <r>
    <s v="Brand ABC TDM"/>
    <x v="2"/>
    <s v="Womens"/>
    <x v="12"/>
    <s v="B1C3X-BB2J"/>
    <x v="41"/>
    <s v="S"/>
    <x v="2"/>
    <d v="2024-10-26T00:00:00"/>
    <d v="2024-11-19T00:00:00"/>
    <n v="0"/>
    <n v="0"/>
    <n v="0"/>
    <n v="5"/>
    <n v="410.58049999999997"/>
  </r>
  <r>
    <s v="Brand ABC TDM"/>
    <x v="2"/>
    <s v="Womens"/>
    <x v="12"/>
    <s v="B1C3X-BB2J"/>
    <x v="41"/>
    <s v="XL"/>
    <x v="2"/>
    <d v="2024-10-26T00:00:00"/>
    <d v="2024-10-26T00:00:00"/>
    <n v="0"/>
    <n v="0"/>
    <n v="0"/>
    <n v="1"/>
    <n v="82.116100000000003"/>
  </r>
  <r>
    <s v="Brand ABC TDM"/>
    <x v="2"/>
    <s v="Womens"/>
    <x v="12"/>
    <s v="B1C3X-BB2J"/>
    <x v="41"/>
    <s v="XS"/>
    <x v="2"/>
    <d v="2024-10-26T00:00:00"/>
    <d v="2024-10-26T00:00:00"/>
    <n v="0"/>
    <n v="0"/>
    <n v="0"/>
    <n v="3"/>
    <n v="246.34829999999999"/>
  </r>
  <r>
    <s v="Brand ABC TDM"/>
    <x v="2"/>
    <s v="Womens"/>
    <x v="12"/>
    <s v="B1C3Z-BB29"/>
    <x v="42"/>
    <s v="L"/>
    <x v="2"/>
    <d v="2024-12-12T00:00:00"/>
    <d v="2024-12-18T00:00:00"/>
    <n v="0"/>
    <n v="0"/>
    <n v="0"/>
    <n v="6"/>
    <n v="539.99879999999996"/>
  </r>
  <r>
    <s v="Brand ABC TDM"/>
    <x v="2"/>
    <s v="Womens"/>
    <x v="12"/>
    <s v="B1C3Z-BB29"/>
    <x v="42"/>
    <s v="M"/>
    <x v="2"/>
    <d v="2024-12-12T00:00:00"/>
    <d v="2024-12-12T00:00:00"/>
    <n v="0"/>
    <n v="0"/>
    <n v="0"/>
    <n v="7"/>
    <n v="629.99860000000001"/>
  </r>
  <r>
    <s v="Brand ABC TDM"/>
    <x v="2"/>
    <s v="Womens"/>
    <x v="12"/>
    <s v="B1C3Z-BB29"/>
    <x v="42"/>
    <s v="S"/>
    <x v="2"/>
    <d v="2024-12-12T00:00:00"/>
    <d v="2024-12-21T00:00:00"/>
    <n v="0"/>
    <n v="0"/>
    <n v="0"/>
    <n v="5"/>
    <n v="449.99900000000002"/>
  </r>
  <r>
    <s v="Brand ABC TDM"/>
    <x v="2"/>
    <s v="Womens"/>
    <x v="12"/>
    <s v="B1C3Z-BB29"/>
    <x v="42"/>
    <s v="XS"/>
    <x v="2"/>
    <d v="2024-12-12T00:00:00"/>
    <d v="2024-12-21T00:00:00"/>
    <n v="0"/>
    <n v="0"/>
    <n v="0"/>
    <n v="3"/>
    <n v="269.99939999999998"/>
  </r>
  <r>
    <s v="Brand ABC TDM"/>
    <x v="2"/>
    <s v="Womens"/>
    <x v="12"/>
    <s v="B1C3Z-UCY1"/>
    <x v="42"/>
    <s v="L"/>
    <x v="2"/>
    <d v="2024-12-12T00:00:00"/>
    <d v="2024-12-20T00:00:00"/>
    <n v="0"/>
    <n v="0"/>
    <n v="0"/>
    <n v="6"/>
    <n v="539.99879999999996"/>
  </r>
  <r>
    <s v="Brand ABC TDM"/>
    <x v="2"/>
    <s v="Womens"/>
    <x v="12"/>
    <s v="B1C3Z-UCY1"/>
    <x v="42"/>
    <s v="M"/>
    <x v="2"/>
    <d v="2024-12-12T00:00:00"/>
    <d v="2024-12-20T00:00:00"/>
    <n v="0"/>
    <n v="0"/>
    <n v="0"/>
    <n v="7"/>
    <n v="629.99860000000001"/>
  </r>
  <r>
    <s v="Brand ABC TDM"/>
    <x v="2"/>
    <s v="Womens"/>
    <x v="12"/>
    <s v="B1C3Z-UCY1"/>
    <x v="42"/>
    <s v="S"/>
    <x v="2"/>
    <d v="2024-12-12T00:00:00"/>
    <d v="2024-12-20T00:00:00"/>
    <n v="0"/>
    <n v="0"/>
    <n v="0"/>
    <n v="5"/>
    <n v="449.99900000000002"/>
  </r>
  <r>
    <s v="Brand ABC TDM"/>
    <x v="2"/>
    <s v="Womens"/>
    <x v="12"/>
    <s v="B1C3Z-UCY1"/>
    <x v="42"/>
    <s v="XS"/>
    <x v="2"/>
    <d v="2024-12-12T00:00:00"/>
    <d v="2024-12-18T00:00:00"/>
    <n v="0"/>
    <n v="0"/>
    <n v="0"/>
    <n v="3"/>
    <n v="269.99939999999998"/>
  </r>
  <r>
    <s v="Brand ABC TDM"/>
    <x v="2"/>
    <s v="Womens"/>
    <x v="12"/>
    <s v="B1C8U-BB2J"/>
    <x v="39"/>
    <s v="L"/>
    <x v="2"/>
    <d v="2024-10-28T00:00:00"/>
    <d v="2024-11-09T00:00:00"/>
    <n v="0"/>
    <n v="0"/>
    <n v="0"/>
    <n v="7"/>
    <n v="419.51139999999998"/>
  </r>
  <r>
    <s v="Brand ABC TDM"/>
    <x v="2"/>
    <s v="Womens"/>
    <x v="12"/>
    <s v="B1C8U-BB2J"/>
    <x v="39"/>
    <s v="M"/>
    <x v="2"/>
    <d v="2024-10-28T00:00:00"/>
    <d v="2024-11-09T00:00:00"/>
    <n v="0"/>
    <n v="0"/>
    <n v="0"/>
    <n v="8"/>
    <n v="479.55439999999999"/>
  </r>
  <r>
    <s v="Brand ABC TDM"/>
    <x v="2"/>
    <s v="Womens"/>
    <x v="12"/>
    <s v="B1C8U-BB2J"/>
    <x v="39"/>
    <s v="S"/>
    <x v="2"/>
    <d v="2024-10-28T00:00:00"/>
    <d v="2024-11-09T00:00:00"/>
    <n v="0"/>
    <n v="0"/>
    <n v="0"/>
    <n v="6"/>
    <n v="359.58120000000002"/>
  </r>
  <r>
    <s v="Brand ABC TDM"/>
    <x v="2"/>
    <s v="Womens"/>
    <x v="12"/>
    <s v="B1C8U-BB2J"/>
    <x v="39"/>
    <s v="XS"/>
    <x v="2"/>
    <d v="2024-10-28T00:00:00"/>
    <d v="2024-10-28T00:00:00"/>
    <n v="0"/>
    <n v="0"/>
    <n v="0"/>
    <n v="3"/>
    <n v="179.79060000000001"/>
  </r>
  <r>
    <s v="Brand ABC TDM"/>
    <x v="2"/>
    <s v="Womens"/>
    <x v="12"/>
    <s v="B1C8U-ECJF"/>
    <x v="39"/>
    <s v="L"/>
    <x v="1"/>
    <d v="2024-10-28T00:00:00"/>
    <d v="2024-11-09T00:00:00"/>
    <n v="0"/>
    <n v="0"/>
    <n v="0"/>
    <n v="7"/>
    <n v="419.51139999999998"/>
  </r>
  <r>
    <s v="Brand ABC TDM"/>
    <x v="2"/>
    <s v="Womens"/>
    <x v="12"/>
    <s v="B1C8U-ECJF"/>
    <x v="39"/>
    <s v="M"/>
    <x v="1"/>
    <d v="2024-10-28T00:00:00"/>
    <d v="2024-11-09T00:00:00"/>
    <n v="0"/>
    <n v="0"/>
    <n v="0"/>
    <n v="8"/>
    <n v="479.61279999999999"/>
  </r>
  <r>
    <s v="Brand ABC TDM"/>
    <x v="2"/>
    <s v="Womens"/>
    <x v="12"/>
    <s v="B1C8U-ECJF"/>
    <x v="39"/>
    <s v="S"/>
    <x v="1"/>
    <d v="2024-10-28T00:00:00"/>
    <d v="2024-11-09T00:00:00"/>
    <n v="0"/>
    <n v="0"/>
    <n v="0"/>
    <n v="6"/>
    <n v="359.58120000000002"/>
  </r>
  <r>
    <s v="Brand ABC TDM"/>
    <x v="2"/>
    <s v="Womens"/>
    <x v="12"/>
    <s v="B1C8U-ECJF"/>
    <x v="39"/>
    <s v="XS"/>
    <x v="1"/>
    <d v="2024-10-28T00:00:00"/>
    <d v="2024-10-28T00:00:00"/>
    <n v="0"/>
    <n v="0"/>
    <n v="0"/>
    <n v="3"/>
    <n v="179.79060000000001"/>
  </r>
  <r>
    <s v="Brand ABC TDM"/>
    <x v="2"/>
    <s v="Womens"/>
    <x v="12"/>
    <s v="B1C8V-BB2J"/>
    <x v="39"/>
    <s v="L"/>
    <x v="2"/>
    <d v="2024-10-28T00:00:00"/>
    <d v="2024-12-04T00:00:00"/>
    <n v="0"/>
    <n v="0"/>
    <n v="0"/>
    <n v="6"/>
    <n v="621.20820000000003"/>
  </r>
  <r>
    <s v="Brand ABC TDM"/>
    <x v="2"/>
    <s v="Womens"/>
    <x v="12"/>
    <s v="B1C8V-BB2J"/>
    <x v="39"/>
    <s v="M"/>
    <x v="2"/>
    <d v="2024-10-28T00:00:00"/>
    <d v="2024-12-10T00:00:00"/>
    <n v="0"/>
    <n v="0"/>
    <n v="0"/>
    <n v="7"/>
    <n v="733.00289999999995"/>
  </r>
  <r>
    <s v="Brand ABC TDM"/>
    <x v="2"/>
    <s v="Womens"/>
    <x v="12"/>
    <s v="B1C8V-BB2J"/>
    <x v="39"/>
    <s v="S"/>
    <x v="2"/>
    <d v="2024-10-28T00:00:00"/>
    <d v="2024-12-07T00:00:00"/>
    <n v="0"/>
    <n v="0"/>
    <n v="0"/>
    <n v="5"/>
    <n v="518.56299999999999"/>
  </r>
  <r>
    <s v="Brand ABC TDM"/>
    <x v="2"/>
    <s v="Womens"/>
    <x v="12"/>
    <s v="B1C8V-BB2J"/>
    <x v="39"/>
    <s v="XS"/>
    <x v="2"/>
    <d v="2024-10-28T00:00:00"/>
    <d v="2024-12-04T00:00:00"/>
    <n v="0"/>
    <n v="0"/>
    <n v="0"/>
    <n v="3"/>
    <n v="313.27289999999999"/>
  </r>
  <r>
    <s v="Brand ABC TDM"/>
    <x v="2"/>
    <s v="Womens"/>
    <x v="12"/>
    <s v="B1C8V-ECJF"/>
    <x v="39"/>
    <s v="L"/>
    <x v="2"/>
    <d v="2024-10-28T00:00:00"/>
    <d v="2024-10-28T00:00:00"/>
    <n v="0"/>
    <n v="0"/>
    <n v="0"/>
    <n v="6"/>
    <n v="615.87059999999997"/>
  </r>
  <r>
    <s v="Brand ABC TDM"/>
    <x v="2"/>
    <s v="Womens"/>
    <x v="12"/>
    <s v="B1C8V-ECJF"/>
    <x v="39"/>
    <s v="M"/>
    <x v="2"/>
    <d v="2024-10-28T00:00:00"/>
    <d v="2024-12-05T00:00:00"/>
    <n v="0"/>
    <n v="0"/>
    <n v="0"/>
    <n v="7"/>
    <n v="729.19069999999999"/>
  </r>
  <r>
    <s v="Brand ABC TDM"/>
    <x v="2"/>
    <s v="Womens"/>
    <x v="12"/>
    <s v="B1C8V-ECJF"/>
    <x v="39"/>
    <s v="S"/>
    <x v="2"/>
    <d v="2024-10-28T00:00:00"/>
    <d v="2024-10-28T00:00:00"/>
    <n v="0"/>
    <n v="0"/>
    <n v="0"/>
    <n v="5"/>
    <n v="513.22550000000001"/>
  </r>
  <r>
    <s v="Brand ABC TDM"/>
    <x v="2"/>
    <s v="Womens"/>
    <x v="12"/>
    <s v="B1C8V-ECJF"/>
    <x v="39"/>
    <s v="XS"/>
    <x v="2"/>
    <d v="2024-10-28T00:00:00"/>
    <d v="2024-10-28T00:00:00"/>
    <n v="0"/>
    <n v="0"/>
    <n v="0"/>
    <n v="3"/>
    <n v="307.93529999999998"/>
  </r>
  <r>
    <s v="Brand ABC TDM"/>
    <x v="2"/>
    <s v="Womens"/>
    <x v="12"/>
    <s v="B2A8F-BBBB"/>
    <x v="30"/>
    <s v="L"/>
    <x v="0"/>
    <d v="2024-10-26T00:00:00"/>
    <d v="2024-12-21T00:00:00"/>
    <n v="15"/>
    <n v="774.08969999999999"/>
    <n v="2188.94"/>
    <n v="9"/>
    <n v="473.66550000000001"/>
  </r>
  <r>
    <s v="Brand ABC TDM"/>
    <x v="2"/>
    <s v="Womens"/>
    <x v="12"/>
    <s v="B2A8F-BBBB"/>
    <x v="30"/>
    <s v="M"/>
    <x v="0"/>
    <d v="2024-10-26T00:00:00"/>
    <d v="2024-12-21T00:00:00"/>
    <n v="27"/>
    <n v="1404.3866"/>
    <n v="3846.8"/>
    <n v="13"/>
    <n v="693.8854"/>
  </r>
  <r>
    <s v="Brand ABC TDM"/>
    <x v="2"/>
    <s v="Womens"/>
    <x v="12"/>
    <s v="B2A8F-BBBB"/>
    <x v="30"/>
    <s v="S"/>
    <x v="0"/>
    <d v="2024-10-25T00:00:00"/>
    <d v="2024-12-21T00:00:00"/>
    <n v="28"/>
    <n v="1464.9599000000001"/>
    <n v="4039.95"/>
    <n v="7"/>
    <n v="376.70150000000001"/>
  </r>
  <r>
    <s v="Brand ABC TDM"/>
    <x v="2"/>
    <s v="Womens"/>
    <x v="12"/>
    <s v="B2A8F-BBBB"/>
    <x v="30"/>
    <s v="XL"/>
    <x v="0"/>
    <d v="2024-10-25T00:00:00"/>
    <d v="2024-11-12T00:00:00"/>
    <n v="5"/>
    <n v="256.613"/>
    <n v="716.25"/>
    <n v="0"/>
    <n v="0"/>
  </r>
  <r>
    <s v="Brand ABC TDM"/>
    <x v="2"/>
    <s v="Womens"/>
    <x v="12"/>
    <s v="B2A8F-BBBB"/>
    <x v="30"/>
    <s v="XS"/>
    <x v="0"/>
    <d v="2024-10-26T00:00:00"/>
    <d v="2024-12-20T00:00:00"/>
    <n v="16"/>
    <n v="840.89290000000005"/>
    <n v="2285.54"/>
    <n v="4"/>
    <n v="214.91640000000001"/>
  </r>
  <r>
    <s v="Brand ABC TDM"/>
    <x v="2"/>
    <s v="Womens"/>
    <x v="12"/>
    <s v="B2A8F-ECBG"/>
    <x v="30"/>
    <s v="L"/>
    <x v="1"/>
    <d v="2024-10-26T00:00:00"/>
    <d v="2024-11-18T00:00:00"/>
    <n v="4"/>
    <n v="205.29040000000001"/>
    <n v="579.44000000000005"/>
    <n v="1"/>
    <n v="51.322600000000001"/>
  </r>
  <r>
    <s v="Brand ABC TDM"/>
    <x v="2"/>
    <s v="Womens"/>
    <x v="12"/>
    <s v="B2A8F-ECBG"/>
    <x v="30"/>
    <s v="M"/>
    <x v="1"/>
    <d v="2024-10-26T00:00:00"/>
    <d v="2024-12-04T00:00:00"/>
    <n v="5"/>
    <n v="256.39240000000001"/>
    <n v="724.29"/>
    <n v="1"/>
    <n v="51.785800000000002"/>
  </r>
  <r>
    <s v="Brand ABC TDM"/>
    <x v="2"/>
    <s v="Womens"/>
    <x v="12"/>
    <s v="B2A8F-ECBG"/>
    <x v="30"/>
    <s v="S"/>
    <x v="1"/>
    <d v="2024-10-26T00:00:00"/>
    <d v="2024-11-29T00:00:00"/>
    <n v="8"/>
    <n v="410.58080000000001"/>
    <n v="1158.8699999999999"/>
    <n v="1"/>
    <n v="52.323399999999999"/>
  </r>
  <r>
    <s v="Brand ABC TDM"/>
    <x v="2"/>
    <s v="Womens"/>
    <x v="12"/>
    <s v="B2A8F-ECBG"/>
    <x v="30"/>
    <s v="XL"/>
    <x v="1"/>
    <d v="2024-10-25T00:00:00"/>
    <d v="2024-10-26T00:00:00"/>
    <n v="0"/>
    <n v="0"/>
    <n v="0"/>
    <n v="1"/>
    <n v="51.322600000000001"/>
  </r>
  <r>
    <s v="Brand ABC TDM"/>
    <x v="2"/>
    <s v="Womens"/>
    <x v="12"/>
    <s v="B2A8F-ECBG"/>
    <x v="30"/>
    <s v="XS"/>
    <x v="1"/>
    <d v="2024-10-25T00:00:00"/>
    <d v="2024-12-04T00:00:00"/>
    <n v="5"/>
    <n v="257.28019999999998"/>
    <n v="708.19"/>
    <n v="1"/>
    <n v="52.490200000000002"/>
  </r>
  <r>
    <s v="Brand ABC TDM"/>
    <x v="2"/>
    <s v="Womens"/>
    <x v="12"/>
    <s v="B2A8F-NBY8"/>
    <x v="6"/>
    <s v="L"/>
    <x v="1"/>
    <d v="2024-10-28T00:00:00"/>
    <d v="2024-12-07T00:00:00"/>
    <n v="0"/>
    <n v="0"/>
    <n v="0"/>
    <n v="12"/>
    <n v="647.89679999999998"/>
  </r>
  <r>
    <s v="Brand ABC TDM"/>
    <x v="2"/>
    <s v="Womens"/>
    <x v="12"/>
    <s v="B2A8F-NBY8"/>
    <x v="6"/>
    <s v="M"/>
    <x v="1"/>
    <d v="2024-10-28T00:00:00"/>
    <d v="2024-12-07T00:00:00"/>
    <n v="3"/>
    <n v="161.9742"/>
    <n v="434.47"/>
    <n v="11"/>
    <n v="593.90539999999999"/>
  </r>
  <r>
    <s v="Brand ABC TDM"/>
    <x v="2"/>
    <s v="Womens"/>
    <x v="12"/>
    <s v="B2A8F-NBY8"/>
    <x v="6"/>
    <s v="S"/>
    <x v="1"/>
    <d v="2024-10-28T00:00:00"/>
    <d v="2024-12-07T00:00:00"/>
    <n v="5"/>
    <n v="269.95699999999999"/>
    <n v="724.29"/>
    <n v="5"/>
    <n v="269.95699999999999"/>
  </r>
  <r>
    <s v="Brand ABC TDM"/>
    <x v="2"/>
    <s v="Womens"/>
    <x v="12"/>
    <s v="B2A8F-NBY8"/>
    <x v="6"/>
    <s v="XS"/>
    <x v="1"/>
    <d v="2024-11-29T00:00:00"/>
    <d v="2024-12-07T00:00:00"/>
    <n v="1"/>
    <n v="53.991399999999999"/>
    <n v="144.86000000000001"/>
    <n v="5"/>
    <n v="269.95699999999999"/>
  </r>
  <r>
    <s v="Brand ABC TDM"/>
    <x v="2"/>
    <s v="Womens"/>
    <x v="12"/>
    <s v="B2A8F-NBY8"/>
    <x v="6"/>
    <s v="XXL"/>
    <x v="1"/>
    <d v="2024-11-29T00:00:00"/>
    <d v="2024-11-29T00:00:00"/>
    <n v="0"/>
    <n v="0"/>
    <n v="0"/>
    <n v="1"/>
    <n v="53.991399999999999"/>
  </r>
  <r>
    <s v="Brand ABC TDM"/>
    <x v="2"/>
    <s v="Womens"/>
    <x v="12"/>
    <s v="B2A8F-NBY8"/>
    <x v="6"/>
    <s v="XXS"/>
    <x v="1"/>
    <d v="2024-11-29T00:00:00"/>
    <d v="2024-11-29T00:00:00"/>
    <n v="0"/>
    <n v="0"/>
    <n v="0"/>
    <n v="2"/>
    <n v="107.9828"/>
  </r>
  <r>
    <s v="Brand ABC TDM"/>
    <x v="2"/>
    <s v="Womens"/>
    <x v="12"/>
    <s v="B2A8F-UBCY"/>
    <x v="6"/>
    <s v="L"/>
    <x v="2"/>
    <d v="2024-12-07T00:00:00"/>
    <d v="2024-12-20T00:00:00"/>
    <n v="0"/>
    <n v="0"/>
    <n v="0"/>
    <n v="6"/>
    <n v="323.94839999999999"/>
  </r>
  <r>
    <s v="Brand ABC TDM"/>
    <x v="2"/>
    <s v="Womens"/>
    <x v="12"/>
    <s v="B2A8F-UBCY"/>
    <x v="6"/>
    <s v="M"/>
    <x v="2"/>
    <d v="2024-12-07T00:00:00"/>
    <d v="2024-12-20T00:00:00"/>
    <n v="3"/>
    <n v="161.9742"/>
    <n v="434.56"/>
    <n v="5"/>
    <n v="269.95699999999999"/>
  </r>
  <r>
    <s v="Brand ABC TDM"/>
    <x v="2"/>
    <s v="Womens"/>
    <x v="12"/>
    <s v="B2A8F-UBCY"/>
    <x v="6"/>
    <s v="S"/>
    <x v="2"/>
    <d v="2024-12-07T00:00:00"/>
    <d v="2024-12-21T00:00:00"/>
    <n v="5"/>
    <n v="269.95699999999999"/>
    <n v="740.4"/>
    <n v="4"/>
    <n v="215.96559999999999"/>
  </r>
  <r>
    <s v="Brand ABC TDM"/>
    <x v="2"/>
    <s v="Womens"/>
    <x v="12"/>
    <s v="B2A8F-UBCY"/>
    <x v="6"/>
    <s v="XS"/>
    <x v="2"/>
    <d v="2024-12-07T00:00:00"/>
    <d v="2024-12-17T00:00:00"/>
    <n v="3"/>
    <n v="161.9742"/>
    <n v="434.56"/>
    <n v="2"/>
    <n v="107.9828"/>
  </r>
  <r>
    <s v="Brand ABC TDM"/>
    <x v="2"/>
    <s v="Womens"/>
    <x v="12"/>
    <s v="B5A8B-BCNC"/>
    <x v="43"/>
    <s v="L"/>
    <x v="1"/>
    <d v="2024-10-11T00:00:00"/>
    <d v="2024-12-04T00:00:00"/>
    <n v="1"/>
    <n v="85.551100000000005"/>
    <n v="230.57"/>
    <n v="0"/>
    <n v="0"/>
  </r>
  <r>
    <s v="Brand ABC TDM"/>
    <x v="2"/>
    <s v="Womens"/>
    <x v="12"/>
    <s v="B5A8B-BCNC"/>
    <x v="43"/>
    <s v="M"/>
    <x v="1"/>
    <d v="2024-10-11T00:00:00"/>
    <d v="2024-12-03T00:00:00"/>
    <n v="2"/>
    <n v="171.73769999999999"/>
    <n v="461.14"/>
    <n v="0"/>
    <n v="0"/>
  </r>
  <r>
    <s v="Brand ABC TDM"/>
    <x v="2"/>
    <s v="Womens"/>
    <x v="12"/>
    <s v="B5A8B-BCNC"/>
    <x v="43"/>
    <s v="S"/>
    <x v="1"/>
    <d v="2024-10-11T00:00:00"/>
    <d v="2024-11-30T00:00:00"/>
    <n v="5"/>
    <n v="435.48340000000002"/>
    <n v="1088.8"/>
    <n v="0"/>
    <n v="0"/>
  </r>
  <r>
    <s v="Brand ABC TDM"/>
    <x v="2"/>
    <s v="Womens"/>
    <x v="12"/>
    <s v="B5A8B-BCNC"/>
    <x v="43"/>
    <s v="XS"/>
    <x v="1"/>
    <d v="2024-10-28T00:00:00"/>
    <d v="2024-12-04T00:00:00"/>
    <n v="2"/>
    <n v="171.10220000000001"/>
    <n v="435.52"/>
    <n v="0"/>
    <n v="0"/>
  </r>
  <r>
    <s v="Brand ABC TDM"/>
    <x v="2"/>
    <s v="Womens"/>
    <x v="12"/>
    <s v="B5A8B-ECJ8"/>
    <x v="43"/>
    <s v="M"/>
    <x v="3"/>
    <d v="2024-11-21T00:00:00"/>
    <d v="2024-12-06T00:00:00"/>
    <n v="3"/>
    <n v="258.5908"/>
    <n v="717.33"/>
    <n v="0"/>
    <n v="0"/>
  </r>
  <r>
    <s v="Brand ABC TDM"/>
    <x v="2"/>
    <s v="Womens"/>
    <x v="12"/>
    <s v="B5A8B-ECJ8"/>
    <x v="43"/>
    <s v="S"/>
    <x v="3"/>
    <d v="2024-11-21T00:00:00"/>
    <d v="2024-12-04T00:00:00"/>
    <n v="6"/>
    <n v="523.12649999999996"/>
    <n v="1319.36"/>
    <n v="0"/>
    <n v="0"/>
  </r>
  <r>
    <s v="Brand ABC TDM"/>
    <x v="2"/>
    <s v="Womens"/>
    <x v="12"/>
    <s v="B5A8B-ECJ8"/>
    <x v="43"/>
    <s v="XS"/>
    <x v="3"/>
    <d v="2024-11-21T00:00:00"/>
    <d v="2024-12-04T00:00:00"/>
    <n v="3"/>
    <n v="260.73050000000001"/>
    <n v="691.71"/>
    <n v="0"/>
    <n v="0"/>
  </r>
  <r>
    <s v="Brand ABC TDM"/>
    <x v="2"/>
    <s v="Womens"/>
    <x v="12"/>
    <s v="B5A8B-UCDW"/>
    <x v="43"/>
    <s v="L"/>
    <x v="0"/>
    <d v="2024-10-28T00:00:00"/>
    <d v="2024-12-04T00:00:00"/>
    <n v="3"/>
    <n v="256.6533"/>
    <n v="691.72"/>
    <n v="0"/>
    <n v="0"/>
  </r>
  <r>
    <s v="Brand ABC TDM"/>
    <x v="2"/>
    <s v="Womens"/>
    <x v="12"/>
    <s v="B5A8B-UCDW"/>
    <x v="43"/>
    <s v="M"/>
    <x v="0"/>
    <d v="2024-10-28T00:00:00"/>
    <d v="2024-12-04T00:00:00"/>
    <n v="5"/>
    <n v="433.02120000000002"/>
    <n v="1152.8599999999999"/>
    <n v="1"/>
    <n v="88.054299999999998"/>
  </r>
  <r>
    <s v="Brand ABC TDM"/>
    <x v="2"/>
    <s v="Womens"/>
    <x v="12"/>
    <s v="B5A8B-UCDW"/>
    <x v="43"/>
    <s v="S"/>
    <x v="0"/>
    <d v="2024-10-28T00:00:00"/>
    <d v="2024-12-04T00:00:00"/>
    <n v="7"/>
    <n v="610.95830000000001"/>
    <n v="1549.96"/>
    <n v="0"/>
    <n v="0"/>
  </r>
  <r>
    <s v="Brand ABC TDM"/>
    <x v="2"/>
    <s v="Womens"/>
    <x v="12"/>
    <s v="B5A8B-UCDW"/>
    <x v="43"/>
    <s v="XS"/>
    <x v="0"/>
    <d v="2024-10-28T00:00:00"/>
    <d v="2024-12-09T00:00:00"/>
    <n v="3"/>
    <n v="256.6533"/>
    <n v="691.71"/>
    <n v="0"/>
    <n v="0"/>
  </r>
  <r>
    <s v="Brand ABC TDM"/>
    <x v="2"/>
    <s v="Womens"/>
    <x v="12"/>
    <s v="B7A3L-BB2J"/>
    <x v="37"/>
    <s v="L"/>
    <x v="0"/>
    <d v="2024-10-26T00:00:00"/>
    <d v="2024-12-20T00:00:00"/>
    <n v="17"/>
    <n v="1028.3514"/>
    <n v="2708.95"/>
    <n v="13"/>
    <n v="804.00450000000001"/>
  </r>
  <r>
    <s v="Brand ABC TDM"/>
    <x v="2"/>
    <s v="Womens"/>
    <x v="12"/>
    <s v="B7A3L-BB2J"/>
    <x v="37"/>
    <s v="M"/>
    <x v="0"/>
    <d v="2024-10-25T00:00:00"/>
    <d v="2024-12-21T00:00:00"/>
    <n v="57"/>
    <n v="3466.5099"/>
    <n v="9180"/>
    <n v="18"/>
    <n v="1127.0124000000001"/>
  </r>
  <r>
    <s v="Brand ABC TDM"/>
    <x v="2"/>
    <s v="Womens"/>
    <x v="12"/>
    <s v="B7A3L-BB2J"/>
    <x v="37"/>
    <s v="S"/>
    <x v="0"/>
    <d v="2024-10-25T00:00:00"/>
    <d v="2024-12-21T00:00:00"/>
    <n v="69"/>
    <n v="4235.8267999999998"/>
    <n v="11250"/>
    <n v="7"/>
    <n v="440.85649999999998"/>
  </r>
  <r>
    <s v="Brand ABC TDM"/>
    <x v="2"/>
    <s v="Womens"/>
    <x v="12"/>
    <s v="B7A3L-BB2J"/>
    <x v="37"/>
    <s v="XL"/>
    <x v="0"/>
    <d v="2024-10-25T00:00:00"/>
    <d v="2024-12-09T00:00:00"/>
    <n v="6"/>
    <n v="359.33879999999999"/>
    <n v="972"/>
    <n v="6"/>
    <n v="368.68200000000002"/>
  </r>
  <r>
    <s v="Brand ABC TDM"/>
    <x v="2"/>
    <s v="Womens"/>
    <x v="12"/>
    <s v="B7A3L-BB2J"/>
    <x v="37"/>
    <s v="XS"/>
    <x v="0"/>
    <d v="2024-10-26T00:00:00"/>
    <d v="2024-12-21T00:00:00"/>
    <n v="37"/>
    <n v="2272.0675999999999"/>
    <n v="6066"/>
    <n v="5"/>
    <n v="314.93400000000003"/>
  </r>
  <r>
    <s v="Brand ABC TDM"/>
    <x v="2"/>
    <s v="Womens"/>
    <x v="12"/>
    <s v="B7A3L-ECJH"/>
    <x v="37"/>
    <s v="L"/>
    <x v="2"/>
    <d v="2024-10-26T00:00:00"/>
    <d v="2024-12-18T00:00:00"/>
    <n v="0"/>
    <n v="0"/>
    <n v="0"/>
    <n v="10"/>
    <n v="604.81500000000005"/>
  </r>
  <r>
    <s v="Brand ABC TDM"/>
    <x v="2"/>
    <s v="Womens"/>
    <x v="12"/>
    <s v="B7A3L-ECJH"/>
    <x v="37"/>
    <s v="M"/>
    <x v="2"/>
    <d v="2024-10-25T00:00:00"/>
    <d v="2024-12-06T00:00:00"/>
    <n v="0"/>
    <n v="0"/>
    <n v="0"/>
    <n v="13"/>
    <n v="800.39959999999996"/>
  </r>
  <r>
    <s v="Brand ABC TDM"/>
    <x v="2"/>
    <s v="Womens"/>
    <x v="12"/>
    <s v="B7A3L-ECJH"/>
    <x v="37"/>
    <s v="XS"/>
    <x v="2"/>
    <d v="2024-10-25T00:00:00"/>
    <d v="2024-12-10T00:00:00"/>
    <n v="0"/>
    <n v="0"/>
    <n v="0"/>
    <n v="5"/>
    <n v="309.91800000000001"/>
  </r>
  <r>
    <s v="Brand ABC TDM"/>
    <x v="2"/>
    <s v="Womens"/>
    <x v="12"/>
    <s v="B7A3L-RBQV"/>
    <x v="37"/>
    <s v="L"/>
    <x v="0"/>
    <d v="2024-10-26T00:00:00"/>
    <d v="2024-11-19T00:00:00"/>
    <n v="2"/>
    <n v="119.7796"/>
    <n v="324"/>
    <n v="9"/>
    <n v="539.00819999999999"/>
  </r>
  <r>
    <s v="Brand ABC TDM"/>
    <x v="2"/>
    <s v="Womens"/>
    <x v="12"/>
    <s v="B7A3L-RBQV"/>
    <x v="37"/>
    <s v="M"/>
    <x v="0"/>
    <d v="2024-10-26T00:00:00"/>
    <d v="2024-12-16T00:00:00"/>
    <n v="14"/>
    <n v="838.80319999999995"/>
    <n v="2196"/>
    <n v="9"/>
    <n v="544.89059999999995"/>
  </r>
  <r>
    <s v="Brand ABC TDM"/>
    <x v="2"/>
    <s v="Womens"/>
    <x v="12"/>
    <s v="B7A3L-RBQV"/>
    <x v="37"/>
    <s v="S"/>
    <x v="0"/>
    <d v="2024-10-25T00:00:00"/>
    <d v="2024-12-17T00:00:00"/>
    <n v="24"/>
    <n v="1461.2556999999999"/>
    <n v="3942"/>
    <n v="3"/>
    <n v="186.91079999999999"/>
  </r>
  <r>
    <s v="Brand ABC TDM"/>
    <x v="2"/>
    <s v="Womens"/>
    <x v="12"/>
    <s v="B7A3L-RBQV"/>
    <x v="37"/>
    <s v="XL"/>
    <x v="0"/>
    <d v="2024-10-26T00:00:00"/>
    <d v="2024-12-09T00:00:00"/>
    <n v="1"/>
    <n v="59.889800000000001"/>
    <n v="162"/>
    <n v="4"/>
    <n v="245.78800000000001"/>
  </r>
  <r>
    <s v="Brand ABC TDM"/>
    <x v="2"/>
    <s v="Womens"/>
    <x v="12"/>
    <s v="B7A3L-RBQV"/>
    <x v="37"/>
    <s v="XS"/>
    <x v="0"/>
    <d v="2024-10-25T00:00:00"/>
    <d v="2024-12-17T00:00:00"/>
    <n v="14"/>
    <n v="849.27859999999998"/>
    <n v="2286"/>
    <n v="3"/>
    <n v="187.53450000000001"/>
  </r>
  <r>
    <s v="Brand ABC TDM"/>
    <x v="2"/>
    <s v="Womens"/>
    <x v="12"/>
    <s v="B7A3L-UB9P"/>
    <x v="37"/>
    <s v="L"/>
    <x v="0"/>
    <d v="2024-10-26T00:00:00"/>
    <d v="2024-12-10T00:00:00"/>
    <n v="7"/>
    <n v="423.3381"/>
    <n v="1116"/>
    <n v="10"/>
    <n v="613.51300000000003"/>
  </r>
  <r>
    <s v="Brand ABC TDM"/>
    <x v="2"/>
    <s v="Womens"/>
    <x v="12"/>
    <s v="B7A3L-UB9P"/>
    <x v="37"/>
    <s v="M"/>
    <x v="0"/>
    <d v="2024-10-26T00:00:00"/>
    <d v="2024-12-10T00:00:00"/>
    <n v="21"/>
    <n v="1269.8068000000001"/>
    <n v="3402"/>
    <n v="13"/>
    <n v="804.10979999999995"/>
  </r>
  <r>
    <s v="Brand ABC TDM"/>
    <x v="2"/>
    <s v="Womens"/>
    <x v="12"/>
    <s v="B7A3L-UB9P"/>
    <x v="37"/>
    <s v="S"/>
    <x v="0"/>
    <d v="2024-10-26T00:00:00"/>
    <d v="2024-12-10T00:00:00"/>
    <n v="28"/>
    <n v="1697.0778"/>
    <n v="4572"/>
    <n v="9"/>
    <n v="563.50890000000004"/>
  </r>
  <r>
    <s v="Brand ABC TDM"/>
    <x v="2"/>
    <s v="Womens"/>
    <x v="12"/>
    <s v="B7A3L-UB9P"/>
    <x v="37"/>
    <s v="XL"/>
    <x v="0"/>
    <d v="2024-10-26T00:00:00"/>
    <d v="2024-12-10T00:00:00"/>
    <n v="2"/>
    <n v="121.3368"/>
    <n v="324"/>
    <n v="4"/>
    <n v="247.34520000000001"/>
  </r>
  <r>
    <s v="Brand ABC TDM"/>
    <x v="2"/>
    <s v="Womens"/>
    <x v="12"/>
    <s v="B7A3L-UB9P"/>
    <x v="37"/>
    <s v="XS"/>
    <x v="0"/>
    <d v="2024-10-25T00:00:00"/>
    <d v="2024-12-19T00:00:00"/>
    <n v="16"/>
    <n v="975.72230000000002"/>
    <n v="2610"/>
    <n v="5"/>
    <n v="313.10750000000002"/>
  </r>
  <r>
    <s v="Brand ABC TDM"/>
    <x v="2"/>
    <s v="Womens"/>
    <x v="12"/>
    <s v="B7A4E-BB2J"/>
    <x v="3"/>
    <s v="L"/>
    <x v="0"/>
    <d v="2024-10-28T00:00:00"/>
    <d v="2024-12-17T00:00:00"/>
    <n v="14"/>
    <n v="988.66520000000003"/>
    <n v="2648.86"/>
    <n v="4"/>
    <n v="287.03120000000001"/>
  </r>
  <r>
    <s v="Brand ABC TDM"/>
    <x v="2"/>
    <s v="Womens"/>
    <x v="12"/>
    <s v="B7A4E-BB2J"/>
    <x v="3"/>
    <s v="M"/>
    <x v="0"/>
    <d v="2024-10-28T00:00:00"/>
    <d v="2024-12-18T00:00:00"/>
    <n v="25"/>
    <n v="1776.6188999999999"/>
    <n v="4713.7"/>
    <n v="7"/>
    <n v="504.3451"/>
  </r>
  <r>
    <s v="Brand ABC TDM"/>
    <x v="2"/>
    <s v="Womens"/>
    <x v="12"/>
    <s v="B7A4E-BB2J"/>
    <x v="3"/>
    <s v="S"/>
    <x v="0"/>
    <d v="2024-10-28T00:00:00"/>
    <d v="2024-12-16T00:00:00"/>
    <n v="30"/>
    <n v="2143.9695000000002"/>
    <n v="5589.69"/>
    <n v="2"/>
    <n v="144.11859999999999"/>
  </r>
  <r>
    <s v="Brand ABC TDM"/>
    <x v="2"/>
    <s v="Womens"/>
    <x v="12"/>
    <s v="B7A4E-BB2J"/>
    <x v="3"/>
    <s v="XS"/>
    <x v="0"/>
    <d v="2024-10-28T00:00:00"/>
    <d v="2024-12-13T00:00:00"/>
    <n v="7"/>
    <n v="492.14640000000003"/>
    <n v="1334.86"/>
    <n v="1"/>
    <n v="71.795500000000004"/>
  </r>
  <r>
    <s v="Brand ABC TDM"/>
    <x v="2"/>
    <s v="Womens"/>
    <x v="12"/>
    <s v="B7A4E-ECJF"/>
    <x v="3"/>
    <s v="L"/>
    <x v="0"/>
    <d v="2024-12-07T00:00:00"/>
    <d v="2024-12-07T00:00:00"/>
    <n v="0"/>
    <n v="0"/>
    <n v="0"/>
    <n v="6"/>
    <n v="432.35579999999999"/>
  </r>
  <r>
    <s v="Brand ABC TDM"/>
    <x v="2"/>
    <s v="Womens"/>
    <x v="12"/>
    <s v="B7A4E-ECJF"/>
    <x v="3"/>
    <s v="M"/>
    <x v="0"/>
    <d v="2024-12-07T00:00:00"/>
    <d v="2024-12-17T00:00:00"/>
    <n v="4"/>
    <n v="288.23719999999997"/>
    <n v="771.72"/>
    <n v="6"/>
    <n v="432.35579999999999"/>
  </r>
  <r>
    <s v="Brand ABC TDM"/>
    <x v="2"/>
    <s v="Womens"/>
    <x v="12"/>
    <s v="B7A4E-ECJF"/>
    <x v="3"/>
    <s v="S"/>
    <x v="0"/>
    <d v="2024-12-07T00:00:00"/>
    <d v="2024-12-16T00:00:00"/>
    <n v="7"/>
    <n v="504.4151"/>
    <n v="1355.69"/>
    <n v="4"/>
    <n v="288.23719999999997"/>
  </r>
  <r>
    <s v="Brand ABC TDM"/>
    <x v="2"/>
    <s v="Womens"/>
    <x v="12"/>
    <s v="B7A4E-ECJF"/>
    <x v="3"/>
    <s v="XL"/>
    <x v="0"/>
    <d v="2024-12-07T00:00:00"/>
    <d v="2024-12-07T00:00:00"/>
    <n v="0"/>
    <n v="0"/>
    <n v="0"/>
    <n v="2"/>
    <n v="144.11879999999999"/>
  </r>
  <r>
    <s v="Brand ABC TDM"/>
    <x v="2"/>
    <s v="Womens"/>
    <x v="12"/>
    <s v="B7A7H-BB2J"/>
    <x v="6"/>
    <s v="L"/>
    <x v="0"/>
    <d v="2024-10-26T00:00:00"/>
    <d v="2024-12-16T00:00:00"/>
    <n v="11"/>
    <n v="671.96090000000004"/>
    <n v="1782"/>
    <n v="8"/>
    <n v="498.34399999999999"/>
  </r>
  <r>
    <s v="Brand ABC TDM"/>
    <x v="2"/>
    <s v="Womens"/>
    <x v="12"/>
    <s v="B7A7H-BB2J"/>
    <x v="6"/>
    <s v="M"/>
    <x v="0"/>
    <d v="2024-10-26T00:00:00"/>
    <d v="2024-12-18T00:00:00"/>
    <n v="19"/>
    <n v="1160.6946"/>
    <n v="3060"/>
    <n v="10"/>
    <n v="624.82899999999995"/>
  </r>
  <r>
    <s v="Brand ABC TDM"/>
    <x v="2"/>
    <s v="Womens"/>
    <x v="12"/>
    <s v="B7A7H-BB2J"/>
    <x v="6"/>
    <s v="S"/>
    <x v="0"/>
    <d v="2024-10-26T00:00:00"/>
    <d v="2024-12-19T00:00:00"/>
    <n v="11"/>
    <n v="672.93899999999996"/>
    <n v="1782"/>
    <n v="7"/>
    <n v="437.36700000000002"/>
  </r>
  <r>
    <s v="Brand ABC TDM"/>
    <x v="2"/>
    <s v="Womens"/>
    <x v="12"/>
    <s v="B7A7H-BB2J"/>
    <x v="6"/>
    <s v="XL"/>
    <x v="0"/>
    <d v="2024-10-25T00:00:00"/>
    <d v="2024-12-16T00:00:00"/>
    <n v="2"/>
    <n v="119.87050000000001"/>
    <n v="324"/>
    <n v="4"/>
    <n v="242.91"/>
  </r>
  <r>
    <s v="Brand ABC TDM"/>
    <x v="2"/>
    <s v="Womens"/>
    <x v="12"/>
    <s v="B7A7H-BB2J"/>
    <x v="6"/>
    <s v="XS"/>
    <x v="0"/>
    <d v="2024-10-25T00:00:00"/>
    <d v="2024-11-30T00:00:00"/>
    <n v="7"/>
    <n v="426.53739999999999"/>
    <n v="1152"/>
    <n v="5"/>
    <n v="311.65899999999999"/>
  </r>
  <r>
    <s v="Brand ABC TDM"/>
    <x v="2"/>
    <s v="Womens"/>
    <x v="12"/>
    <s v="B7A7H-UB9P"/>
    <x v="6"/>
    <s v="L"/>
    <x v="0"/>
    <d v="2024-11-12T00:00:00"/>
    <d v="2024-12-06T00:00:00"/>
    <n v="2"/>
    <n v="120.461"/>
    <n v="324"/>
    <n v="6"/>
    <n v="365.541"/>
  </r>
  <r>
    <s v="Brand ABC TDM"/>
    <x v="2"/>
    <s v="Womens"/>
    <x v="12"/>
    <s v="B7A7H-UB9P"/>
    <x v="6"/>
    <s v="M"/>
    <x v="0"/>
    <d v="2024-11-12T00:00:00"/>
    <d v="2024-12-06T00:00:00"/>
    <n v="4"/>
    <n v="241.1532"/>
    <n v="648"/>
    <n v="7"/>
    <n v="427.87290000000002"/>
  </r>
  <r>
    <s v="Brand ABC TDM"/>
    <x v="2"/>
    <s v="Womens"/>
    <x v="12"/>
    <s v="B7A7H-UB9P"/>
    <x v="6"/>
    <s v="S"/>
    <x v="0"/>
    <d v="2024-11-12T00:00:00"/>
    <d v="2024-12-17T00:00:00"/>
    <n v="3"/>
    <n v="181.155"/>
    <n v="486"/>
    <n v="5"/>
    <n v="307.95400000000001"/>
  </r>
  <r>
    <s v="Brand ABC TDM"/>
    <x v="2"/>
    <s v="Womens"/>
    <x v="12"/>
    <s v="B7A7H-UB9P"/>
    <x v="6"/>
    <s v="XS"/>
    <x v="0"/>
    <d v="2024-11-12T00:00:00"/>
    <d v="2024-11-26T00:00:00"/>
    <n v="0"/>
    <n v="-1.0395000000000001"/>
    <n v="0"/>
    <n v="4"/>
    <n v="244.03280000000001"/>
  </r>
  <r>
    <s v="Brand ABC TDM"/>
    <x v="2"/>
    <s v="Womens"/>
    <x v="12"/>
    <s v="B9A9L-PBVR"/>
    <x v="18"/>
    <s v="L"/>
    <x v="1"/>
    <d v="2024-11-08T00:00:00"/>
    <d v="2024-12-13T00:00:00"/>
    <n v="1"/>
    <n v="94.118300000000005"/>
    <n v="256.29000000000002"/>
    <n v="6"/>
    <n v="569.60400000000004"/>
  </r>
  <r>
    <s v="Brand ABC TDM"/>
    <x v="2"/>
    <s v="Womens"/>
    <x v="12"/>
    <s v="B9A9L-PBVR"/>
    <x v="18"/>
    <s v="M"/>
    <x v="1"/>
    <d v="2024-11-08T00:00:00"/>
    <d v="2024-12-17T00:00:00"/>
    <n v="2"/>
    <n v="188.9358"/>
    <n v="541.04999999999995"/>
    <n v="6"/>
    <n v="568.90499999999997"/>
  </r>
  <r>
    <s v="Brand ABC TDM"/>
    <x v="2"/>
    <s v="Womens"/>
    <x v="12"/>
    <s v="B9A9L-PBVR"/>
    <x v="18"/>
    <s v="S"/>
    <x v="1"/>
    <d v="2024-11-08T00:00:00"/>
    <d v="2024-12-17T00:00:00"/>
    <n v="6"/>
    <n v="574.30240000000003"/>
    <n v="1623.15"/>
    <n v="2"/>
    <n v="193.32660000000001"/>
  </r>
  <r>
    <s v="Brand ABC TDM"/>
    <x v="2"/>
    <s v="Womens"/>
    <x v="12"/>
    <s v="B9A9L-PBVR"/>
    <x v="18"/>
    <s v="XS"/>
    <x v="1"/>
    <d v="2024-11-08T00:00:00"/>
    <d v="2024-12-14T00:00:00"/>
    <n v="1"/>
    <n v="94.118300000000005"/>
    <n v="284.76"/>
    <n v="3"/>
    <n v="287.2491"/>
  </r>
  <r>
    <s v="Brand ABC TDM"/>
    <x v="2"/>
    <s v="Womens"/>
    <x v="12"/>
    <s v="B9A9L-RBWT"/>
    <x v="18"/>
    <s v="L"/>
    <x v="1"/>
    <d v="2024-11-08T00:00:00"/>
    <d v="2024-12-17T00:00:00"/>
    <n v="2"/>
    <n v="189.0523"/>
    <n v="541.04999999999995"/>
    <n v="5"/>
    <n v="474.67"/>
  </r>
  <r>
    <s v="Brand ABC TDM"/>
    <x v="2"/>
    <s v="Womens"/>
    <x v="12"/>
    <s v="B9A9L-RBWT"/>
    <x v="18"/>
    <s v="M"/>
    <x v="1"/>
    <d v="2024-11-08T00:00:00"/>
    <d v="2024-11-08T00:00:00"/>
    <n v="0"/>
    <n v="0"/>
    <n v="0"/>
    <n v="7"/>
    <n v="658.82809999999995"/>
  </r>
  <r>
    <s v="Brand ABC TDM"/>
    <x v="2"/>
    <s v="Womens"/>
    <x v="12"/>
    <s v="B9A9L-RBWT"/>
    <x v="18"/>
    <s v="S"/>
    <x v="1"/>
    <d v="2024-11-08T00:00:00"/>
    <d v="2024-12-17T00:00:00"/>
    <n v="5"/>
    <n v="478.10890000000001"/>
    <n v="1309.8800000000001"/>
    <n v="4"/>
    <n v="388.5324"/>
  </r>
  <r>
    <s v="Brand ABC TDM"/>
    <x v="2"/>
    <s v="Womens"/>
    <x v="12"/>
    <s v="B9A9L-RBWT"/>
    <x v="18"/>
    <s v="XS"/>
    <x v="1"/>
    <d v="2024-11-08T00:00:00"/>
    <d v="2024-12-12T00:00:00"/>
    <n v="2"/>
    <n v="189.86799999999999"/>
    <n v="512.58000000000004"/>
    <n v="3"/>
    <n v="290.51190000000003"/>
  </r>
  <r>
    <s v="Brand ABC TDM"/>
    <x v="2"/>
    <s v="Womens"/>
    <x v="7"/>
    <s v="B1A4J-BBF3"/>
    <x v="18"/>
    <s v="L"/>
    <x v="0"/>
    <d v="2024-10-26T00:00:00"/>
    <d v="2024-12-04T00:00:00"/>
    <n v="6"/>
    <n v="391.5027"/>
    <n v="1094.76"/>
    <n v="9"/>
    <n v="597.96810000000005"/>
  </r>
  <r>
    <s v="Brand ABC TDM"/>
    <x v="2"/>
    <s v="Womens"/>
    <x v="7"/>
    <s v="B1A4J-BBF3"/>
    <x v="18"/>
    <s v="M"/>
    <x v="0"/>
    <d v="2024-10-25T00:00:00"/>
    <d v="2024-12-20T00:00:00"/>
    <n v="27"/>
    <n v="1757.1649"/>
    <n v="4757.24"/>
    <n v="8"/>
    <n v="534.65359999999998"/>
  </r>
  <r>
    <s v="Brand ABC TDM"/>
    <x v="2"/>
    <s v="Womens"/>
    <x v="7"/>
    <s v="B1A4J-BBF3"/>
    <x v="18"/>
    <s v="S"/>
    <x v="0"/>
    <d v="2024-10-25T00:00:00"/>
    <d v="2024-12-21T00:00:00"/>
    <n v="37"/>
    <n v="2463.5889999999999"/>
    <n v="6628.27"/>
    <n v="6"/>
    <n v="410.0136"/>
  </r>
  <r>
    <s v="Brand ABC TDM"/>
    <x v="2"/>
    <s v="Womens"/>
    <x v="7"/>
    <s v="B1A4J-BBF3"/>
    <x v="18"/>
    <s v="XL"/>
    <x v="0"/>
    <d v="2024-10-26T00:00:00"/>
    <d v="2024-12-21T00:00:00"/>
    <n v="2"/>
    <n v="130.125"/>
    <n v="358.28"/>
    <n v="3"/>
    <n v="198.57089999999999"/>
  </r>
  <r>
    <s v="Brand ABC TDM"/>
    <x v="2"/>
    <s v="Womens"/>
    <x v="7"/>
    <s v="B1A4J-BBF3"/>
    <x v="18"/>
    <s v="XS"/>
    <x v="0"/>
    <d v="2024-10-26T00:00:00"/>
    <d v="2024-12-20T00:00:00"/>
    <n v="16"/>
    <n v="1056.5172"/>
    <n v="2906.09"/>
    <n v="5"/>
    <n v="339.43299999999999"/>
  </r>
  <r>
    <s v="Brand ABC TDM"/>
    <x v="2"/>
    <s v="Womens"/>
    <x v="7"/>
    <s v="B1A4J-EBTF"/>
    <x v="18"/>
    <s v="L"/>
    <x v="0"/>
    <d v="2024-05-20T00:00:00"/>
    <d v="2024-11-13T00:00:00"/>
    <n v="1"/>
    <n v="65.0625"/>
    <n v="179.14"/>
    <n v="5"/>
    <n v="325.3125"/>
  </r>
  <r>
    <s v="Brand ABC TDM"/>
    <x v="2"/>
    <s v="Womens"/>
    <x v="7"/>
    <s v="B1A4J-EBTF"/>
    <x v="18"/>
    <s v="M"/>
    <x v="0"/>
    <d v="2024-05-20T00:00:00"/>
    <d v="2024-11-13T00:00:00"/>
    <n v="12"/>
    <n v="780.75"/>
    <n v="2169.62"/>
    <n v="1"/>
    <n v="65.0625"/>
  </r>
  <r>
    <s v="Brand ABC TDM"/>
    <x v="2"/>
    <s v="Womens"/>
    <x v="7"/>
    <s v="B1A4J-EBTF"/>
    <x v="18"/>
    <s v="S"/>
    <x v="0"/>
    <d v="2024-05-20T00:00:00"/>
    <d v="2024-12-19T00:00:00"/>
    <n v="19"/>
    <n v="1245.636"/>
    <n v="3403.71"/>
    <n v="8"/>
    <n v="547.25760000000002"/>
  </r>
  <r>
    <s v="Brand ABC TDM"/>
    <x v="2"/>
    <s v="Womens"/>
    <x v="7"/>
    <s v="B1A4J-EBTF"/>
    <x v="18"/>
    <s v="XL"/>
    <x v="0"/>
    <d v="2024-05-20T00:00:00"/>
    <d v="2024-10-26T00:00:00"/>
    <n v="0"/>
    <n v="0"/>
    <n v="0"/>
    <n v="2"/>
    <n v="130.125"/>
  </r>
  <r>
    <s v="Brand ABC TDM"/>
    <x v="2"/>
    <s v="Womens"/>
    <x v="7"/>
    <s v="B1A4J-EBTF"/>
    <x v="18"/>
    <s v="XS"/>
    <x v="0"/>
    <d v="2024-05-20T00:00:00"/>
    <d v="2024-12-19T00:00:00"/>
    <n v="6"/>
    <n v="393.06040000000002"/>
    <n v="1114.68"/>
    <n v="8"/>
    <n v="544.36879999999996"/>
  </r>
  <r>
    <s v="Brand ABC TDM"/>
    <x v="2"/>
    <s v="Womens"/>
    <x v="7"/>
    <s v="B1A4J-KB0W"/>
    <x v="18"/>
    <s v="S"/>
    <x v="0"/>
    <d v="2024-11-25T00:00:00"/>
    <d v="2024-11-25T00:00:00"/>
    <n v="0"/>
    <n v="0"/>
    <n v="0"/>
    <n v="2"/>
    <n v="136.89160000000001"/>
  </r>
  <r>
    <s v="Brand ABC TDM"/>
    <x v="2"/>
    <s v="Womens"/>
    <x v="7"/>
    <s v="B1A4J-KB80"/>
    <x v="18"/>
    <s v="L"/>
    <x v="1"/>
    <d v="2024-10-28T00:00:00"/>
    <d v="2024-12-03T00:00:00"/>
    <n v="1"/>
    <n v="65.022000000000006"/>
    <n v="179.15"/>
    <n v="5"/>
    <n v="328.49099999999999"/>
  </r>
  <r>
    <s v="Brand ABC TDM"/>
    <x v="2"/>
    <s v="Womens"/>
    <x v="7"/>
    <s v="B1A4J-KB80"/>
    <x v="18"/>
    <s v="M"/>
    <x v="1"/>
    <d v="2024-10-28T00:00:00"/>
    <d v="2024-12-04T00:00:00"/>
    <n v="1"/>
    <n v="65.022000000000006"/>
    <n v="179.14"/>
    <n v="5"/>
    <n v="328.49099999999999"/>
  </r>
  <r>
    <s v="Brand ABC TDM"/>
    <x v="2"/>
    <s v="Womens"/>
    <x v="7"/>
    <s v="B1A4J-KB80"/>
    <x v="18"/>
    <s v="S"/>
    <x v="1"/>
    <d v="2024-10-28T00:00:00"/>
    <d v="2024-12-17T00:00:00"/>
    <n v="4"/>
    <n v="264.36739999999998"/>
    <n v="736.48"/>
    <n v="4"/>
    <n v="269.33359999999999"/>
  </r>
  <r>
    <s v="Brand ABC TDM"/>
    <x v="2"/>
    <s v="Womens"/>
    <x v="7"/>
    <s v="B1A4J-KB80"/>
    <x v="18"/>
    <s v="XS"/>
    <x v="1"/>
    <d v="2024-10-28T00:00:00"/>
    <d v="2024-12-12T00:00:00"/>
    <n v="2"/>
    <n v="131.17099999999999"/>
    <n v="378.19"/>
    <n v="3"/>
    <n v="200.7012"/>
  </r>
  <r>
    <s v="Brand ABC TDM"/>
    <x v="2"/>
    <s v="Womens"/>
    <x v="7"/>
    <s v="B1A4J-UCW6"/>
    <x v="18"/>
    <s v="L"/>
    <x v="1"/>
    <d v="2024-11-14T00:00:00"/>
    <d v="2024-11-26T00:00:00"/>
    <n v="2"/>
    <n v="130.72020000000001"/>
    <n v="358.28"/>
    <n v="0"/>
    <n v="0"/>
  </r>
  <r>
    <s v="Brand ABC TDM"/>
    <x v="2"/>
    <s v="Womens"/>
    <x v="7"/>
    <s v="B1A4J-UCW6"/>
    <x v="18"/>
    <s v="M"/>
    <x v="1"/>
    <d v="2024-11-14T00:00:00"/>
    <d v="2024-11-23T00:00:00"/>
    <n v="3"/>
    <n v="196.03200000000001"/>
    <n v="537.42999999999995"/>
    <n v="0"/>
    <n v="0"/>
  </r>
  <r>
    <s v="Brand ABC TDM"/>
    <x v="2"/>
    <s v="Womens"/>
    <x v="7"/>
    <s v="B1A4J-UCW6"/>
    <x v="18"/>
    <s v="S"/>
    <x v="1"/>
    <d v="2024-11-14T00:00:00"/>
    <d v="2024-11-22T00:00:00"/>
    <n v="7"/>
    <n v="463.23099999999999"/>
    <n v="1254"/>
    <n v="0"/>
    <n v="0"/>
  </r>
  <r>
    <s v="Brand ABC TDM"/>
    <x v="2"/>
    <s v="Womens"/>
    <x v="7"/>
    <s v="B1A4J-UCW6"/>
    <x v="18"/>
    <s v="XS"/>
    <x v="1"/>
    <d v="2024-11-14T00:00:00"/>
    <d v="2024-11-26T00:00:00"/>
    <n v="1"/>
    <n v="63.268799999999999"/>
    <n v="179.14"/>
    <n v="0"/>
    <n v="0"/>
  </r>
  <r>
    <s v="Brand ABC TDM"/>
    <x v="2"/>
    <s v="Womens"/>
    <x v="7"/>
    <s v="B1B1J-BB2J"/>
    <x v="40"/>
    <s v="L"/>
    <x v="1"/>
    <d v="2024-10-26T00:00:00"/>
    <d v="2024-11-09T00:00:00"/>
    <n v="0"/>
    <n v="0"/>
    <n v="0"/>
    <n v="2"/>
    <n v="119.7796"/>
  </r>
  <r>
    <s v="Brand ABC TDM"/>
    <x v="2"/>
    <s v="Womens"/>
    <x v="7"/>
    <s v="B1B1J-BB2J"/>
    <x v="40"/>
    <s v="M"/>
    <x v="1"/>
    <d v="2024-10-26T00:00:00"/>
    <d v="2024-11-30T00:00:00"/>
    <n v="7"/>
    <n v="426.84870000000001"/>
    <n v="1134"/>
    <n v="5"/>
    <n v="315.12349999999998"/>
  </r>
  <r>
    <s v="Brand ABC TDM"/>
    <x v="2"/>
    <s v="Womens"/>
    <x v="7"/>
    <s v="B1B1J-BB2J"/>
    <x v="40"/>
    <s v="S"/>
    <x v="1"/>
    <d v="2024-10-26T00:00:00"/>
    <d v="2024-11-26T00:00:00"/>
    <n v="3"/>
    <n v="181.09460000000001"/>
    <n v="486"/>
    <n v="2"/>
    <n v="123.45699999999999"/>
  </r>
  <r>
    <s v="Brand ABC TDM"/>
    <x v="2"/>
    <s v="Womens"/>
    <x v="7"/>
    <s v="B1B1J-BB2J"/>
    <x v="40"/>
    <s v="XS"/>
    <x v="1"/>
    <d v="2024-10-26T00:00:00"/>
    <d v="2024-11-25T00:00:00"/>
    <n v="1"/>
    <n v="59.889800000000001"/>
    <n v="162"/>
    <n v="1"/>
    <n v="60.927900000000001"/>
  </r>
  <r>
    <s v="Brand ABC TDM"/>
    <x v="2"/>
    <s v="Womens"/>
    <x v="7"/>
    <s v="B6A1L-BCNC"/>
    <x v="43"/>
    <s v="L"/>
    <x v="1"/>
    <d v="2024-10-11T00:00:00"/>
    <d v="2024-11-28T00:00:00"/>
    <n v="1"/>
    <n v="65.022000000000006"/>
    <n v="199.04"/>
    <n v="0"/>
    <n v="0"/>
  </r>
  <r>
    <s v="Brand ABC TDM"/>
    <x v="2"/>
    <s v="Womens"/>
    <x v="7"/>
    <s v="B6A1L-BCNC"/>
    <x v="43"/>
    <s v="M"/>
    <x v="1"/>
    <d v="2024-10-11T00:00:00"/>
    <d v="2024-12-12T00:00:00"/>
    <n v="6"/>
    <n v="397.57029999999997"/>
    <n v="1035.04"/>
    <n v="0"/>
    <n v="0"/>
  </r>
  <r>
    <s v="Brand ABC TDM"/>
    <x v="2"/>
    <s v="Womens"/>
    <x v="7"/>
    <s v="B6A1L-BCNC"/>
    <x v="43"/>
    <s v="S"/>
    <x v="1"/>
    <d v="2024-10-11T00:00:00"/>
    <d v="2024-12-06T00:00:00"/>
    <n v="7"/>
    <n v="465.29730000000001"/>
    <n v="1253.98"/>
    <n v="0"/>
    <n v="0"/>
  </r>
  <r>
    <s v="Brand ABC TDM"/>
    <x v="2"/>
    <s v="Womens"/>
    <x v="7"/>
    <s v="B6A1L-BCNC"/>
    <x v="43"/>
    <s v="XS"/>
    <x v="1"/>
    <d v="2024-10-28T00:00:00"/>
    <d v="2024-12-04T00:00:00"/>
    <n v="2"/>
    <n v="131.17099999999999"/>
    <n v="358.29"/>
    <n v="0"/>
    <n v="0"/>
  </r>
  <r>
    <s v="Brand ABC TDM"/>
    <x v="2"/>
    <s v="Womens"/>
    <x v="7"/>
    <s v="B6A1L-ECJ8"/>
    <x v="43"/>
    <s v="L"/>
    <x v="3"/>
    <d v="2024-11-21T00:00:00"/>
    <d v="2024-11-21T00:00:00"/>
    <n v="1"/>
    <n v="65.0625"/>
    <n v="170.57"/>
    <n v="0"/>
    <n v="0"/>
  </r>
  <r>
    <s v="Brand ABC TDM"/>
    <x v="2"/>
    <s v="Womens"/>
    <x v="7"/>
    <s v="B6A1L-ECJ8"/>
    <x v="43"/>
    <s v="M"/>
    <x v="3"/>
    <d v="2024-11-21T00:00:00"/>
    <d v="2024-12-11T00:00:00"/>
    <n v="3"/>
    <n v="193.99770000000001"/>
    <n v="511.71"/>
    <n v="6"/>
    <n v="413.31540000000001"/>
  </r>
  <r>
    <s v="Brand ABC TDM"/>
    <x v="2"/>
    <s v="Womens"/>
    <x v="7"/>
    <s v="B6A1L-ECJ8"/>
    <x v="43"/>
    <s v="S"/>
    <x v="3"/>
    <d v="2024-11-21T00:00:00"/>
    <d v="2024-12-14T00:00:00"/>
    <n v="6"/>
    <n v="395.78820000000002"/>
    <n v="1004.49"/>
    <n v="1"/>
    <n v="69.157600000000002"/>
  </r>
  <r>
    <s v="Brand ABC TDM"/>
    <x v="2"/>
    <s v="Womens"/>
    <x v="7"/>
    <s v="B6A1L-ECJ8"/>
    <x v="43"/>
    <s v="XS"/>
    <x v="3"/>
    <d v="2024-11-21T00:00:00"/>
    <d v="2024-12-11T00:00:00"/>
    <n v="2"/>
    <n v="131.25280000000001"/>
    <n v="341.14"/>
    <n v="3"/>
    <n v="208.3032"/>
  </r>
  <r>
    <s v="Brand ABC TDM"/>
    <x v="2"/>
    <s v="Womens"/>
    <x v="7"/>
    <s v="B6A8M-BB2J"/>
    <x v="37"/>
    <s v="L"/>
    <x v="0"/>
    <d v="2024-10-26T00:00:00"/>
    <d v="2024-11-09T00:00:00"/>
    <n v="3"/>
    <n v="153.96780000000001"/>
    <n v="450.66"/>
    <n v="7"/>
    <n v="359.25819999999999"/>
  </r>
  <r>
    <s v="Brand ABC TDM"/>
    <x v="2"/>
    <s v="Womens"/>
    <x v="7"/>
    <s v="B6A8M-BB2J"/>
    <x v="37"/>
    <s v="M"/>
    <x v="0"/>
    <d v="2024-10-26T00:00:00"/>
    <d v="2024-12-17T00:00:00"/>
    <n v="21"/>
    <n v="1100.607"/>
    <n v="2993.74"/>
    <n v="4"/>
    <n v="214.48480000000001"/>
  </r>
  <r>
    <s v="Brand ABC TDM"/>
    <x v="2"/>
    <s v="Womens"/>
    <x v="7"/>
    <s v="B6A8M-BB2J"/>
    <x v="37"/>
    <s v="S"/>
    <x v="0"/>
    <d v="2024-10-26T00:00:00"/>
    <d v="2024-12-12T00:00:00"/>
    <n v="16"/>
    <n v="838.20730000000003"/>
    <n v="2317.7199999999998"/>
    <n v="7"/>
    <n v="376.90660000000003"/>
  </r>
  <r>
    <s v="Brand ABC TDM"/>
    <x v="2"/>
    <s v="Womens"/>
    <x v="7"/>
    <s v="B6A8M-BB2J"/>
    <x v="37"/>
    <s v="XL"/>
    <x v="0"/>
    <d v="2024-10-26T00:00:00"/>
    <d v="2024-10-26T00:00:00"/>
    <n v="0"/>
    <n v="0"/>
    <n v="0"/>
    <n v="4"/>
    <n v="205.29040000000001"/>
  </r>
  <r>
    <s v="Brand ABC TDM"/>
    <x v="2"/>
    <s v="Womens"/>
    <x v="7"/>
    <s v="B6A8M-BB2J"/>
    <x v="37"/>
    <s v="XS"/>
    <x v="0"/>
    <d v="2024-10-26T00:00:00"/>
    <d v="2024-12-18T00:00:00"/>
    <n v="14"/>
    <n v="737.18409999999994"/>
    <n v="2028"/>
    <n v="4"/>
    <n v="215.58"/>
  </r>
  <r>
    <s v="Brand ABC TDM"/>
    <x v="2"/>
    <s v="Womens"/>
    <x v="7"/>
    <s v="B6A8M-TBNG"/>
    <x v="37"/>
    <s v="S"/>
    <x v="0"/>
    <d v="2024-11-25T00:00:00"/>
    <d v="2024-11-25T00:00:00"/>
    <n v="0"/>
    <n v="0"/>
    <n v="0"/>
    <n v="2"/>
    <n v="107.9828"/>
  </r>
  <r>
    <s v="Brand ABC TDM"/>
    <x v="2"/>
    <s v="Womens"/>
    <x v="7"/>
    <s v="B7A4G-ECJF"/>
    <x v="3"/>
    <s v="L"/>
    <x v="0"/>
    <d v="2024-12-07T00:00:00"/>
    <d v="2024-12-07T00:00:00"/>
    <n v="0"/>
    <n v="0"/>
    <n v="0"/>
    <n v="5"/>
    <n v="315.233"/>
  </r>
  <r>
    <s v="Brand ABC TDM"/>
    <x v="2"/>
    <s v="Womens"/>
    <x v="7"/>
    <s v="B7A4G-ECJF"/>
    <x v="3"/>
    <s v="M"/>
    <x v="0"/>
    <d v="2024-12-07T00:00:00"/>
    <d v="2024-12-07T00:00:00"/>
    <n v="2"/>
    <n v="126.0932"/>
    <n v="360"/>
    <n v="1"/>
    <n v="63.046599999999998"/>
  </r>
  <r>
    <s v="Brand ABC TDM"/>
    <x v="2"/>
    <s v="Womens"/>
    <x v="7"/>
    <s v="B7A4G-ECJF"/>
    <x v="3"/>
    <s v="S"/>
    <x v="0"/>
    <d v="2024-12-07T00:00:00"/>
    <d v="2024-12-07T00:00:00"/>
    <n v="2"/>
    <n v="126.0932"/>
    <n v="324"/>
    <n v="13"/>
    <n v="819.60580000000004"/>
  </r>
  <r>
    <s v="Brand ABC TDM"/>
    <x v="2"/>
    <s v="Womens"/>
    <x v="7"/>
    <s v="B7A4G-ECJF"/>
    <x v="3"/>
    <s v="XL"/>
    <x v="0"/>
    <d v="2024-12-07T00:00:00"/>
    <d v="2024-12-07T00:00:00"/>
    <n v="0"/>
    <n v="0"/>
    <n v="0"/>
    <n v="2"/>
    <n v="126.0932"/>
  </r>
  <r>
    <s v="Brand ABC TDM"/>
    <x v="2"/>
    <s v="Womens"/>
    <x v="7"/>
    <s v="B7A4G-ECJF"/>
    <x v="3"/>
    <s v="XS"/>
    <x v="0"/>
    <d v="2024-12-07T00:00:00"/>
    <d v="2024-12-07T00:00:00"/>
    <n v="3"/>
    <n v="189.13980000000001"/>
    <n v="504"/>
    <n v="0"/>
    <n v="0"/>
  </r>
  <r>
    <s v="Brand ABC TDM"/>
    <x v="2"/>
    <s v="Womens"/>
    <x v="7"/>
    <s v="B7A4G-PBZR"/>
    <x v="3"/>
    <s v="L"/>
    <x v="1"/>
    <d v="2024-10-28T00:00:00"/>
    <d v="2024-12-09T00:00:00"/>
    <n v="4"/>
    <n v="242.42429999999999"/>
    <n v="648"/>
    <n v="5"/>
    <n v="309.041"/>
  </r>
  <r>
    <s v="Brand ABC TDM"/>
    <x v="2"/>
    <s v="Womens"/>
    <x v="7"/>
    <s v="B7A4G-PBZR"/>
    <x v="3"/>
    <s v="M"/>
    <x v="1"/>
    <d v="2024-10-28T00:00:00"/>
    <d v="2024-12-21T00:00:00"/>
    <n v="10"/>
    <n v="616.39639999999997"/>
    <n v="1638"/>
    <n v="4"/>
    <n v="250.86840000000001"/>
  </r>
  <r>
    <s v="Brand ABC TDM"/>
    <x v="2"/>
    <s v="Womens"/>
    <x v="7"/>
    <s v="B7A4G-PBZR"/>
    <x v="3"/>
    <s v="S"/>
    <x v="1"/>
    <d v="2024-10-28T00:00:00"/>
    <d v="2024-12-21T00:00:00"/>
    <n v="8"/>
    <n v="492.56110000000001"/>
    <n v="1278"/>
    <n v="4"/>
    <n v="251.03120000000001"/>
  </r>
  <r>
    <s v="Brand ABC TDM"/>
    <x v="2"/>
    <s v="Womens"/>
    <x v="7"/>
    <s v="B7A4G-PBZR"/>
    <x v="3"/>
    <s v="XS"/>
    <x v="1"/>
    <d v="2024-10-28T00:00:00"/>
    <d v="2024-12-09T00:00:00"/>
    <n v="4"/>
    <n v="242.67359999999999"/>
    <n v="648"/>
    <n v="3"/>
    <n v="189.01230000000001"/>
  </r>
  <r>
    <s v="Brand ABC TDM"/>
    <x v="2"/>
    <s v="Womens"/>
    <x v="7"/>
    <s v="B7A4G-UCTN"/>
    <x v="3"/>
    <s v="L"/>
    <x v="1"/>
    <d v="2024-10-28T00:00:00"/>
    <d v="2024-12-04T00:00:00"/>
    <n v="2"/>
    <n v="119.7796"/>
    <n v="324"/>
    <n v="5"/>
    <n v="305.67750000000001"/>
  </r>
  <r>
    <s v="Brand ABC TDM"/>
    <x v="2"/>
    <s v="Womens"/>
    <x v="7"/>
    <s v="B7A4G-UCTN"/>
    <x v="3"/>
    <s v="M"/>
    <x v="1"/>
    <d v="2024-10-28T00:00:00"/>
    <d v="2024-12-21T00:00:00"/>
    <n v="12"/>
    <n v="741.21289999999999"/>
    <n v="1998"/>
    <n v="4"/>
    <n v="251.2816"/>
  </r>
  <r>
    <s v="Brand ABC TDM"/>
    <x v="2"/>
    <s v="Womens"/>
    <x v="7"/>
    <s v="B7A4G-UCTN"/>
    <x v="3"/>
    <s v="S"/>
    <x v="1"/>
    <d v="2024-10-28T00:00:00"/>
    <d v="2024-12-21T00:00:00"/>
    <n v="9"/>
    <n v="555.07270000000005"/>
    <n v="1458"/>
    <n v="3"/>
    <n v="188.5197"/>
  </r>
  <r>
    <s v="Brand ABC TDM"/>
    <x v="2"/>
    <s v="Womens"/>
    <x v="7"/>
    <s v="B7A4G-UCTN"/>
    <x v="3"/>
    <s v="XS"/>
    <x v="1"/>
    <d v="2024-10-28T00:00:00"/>
    <d v="2024-12-21T00:00:00"/>
    <n v="3"/>
    <n v="179.6694"/>
    <n v="486"/>
    <n v="3"/>
    <n v="189.01230000000001"/>
  </r>
  <r>
    <s v="Brand ABC TDM"/>
    <x v="2"/>
    <s v="Womens"/>
    <x v="13"/>
    <s v="B1C5F-BB29"/>
    <x v="42"/>
    <s v="L"/>
    <x v="2"/>
    <d v="2024-12-12T00:00:00"/>
    <d v="2024-12-12T00:00:00"/>
    <n v="0"/>
    <n v="0"/>
    <n v="0"/>
    <n v="6"/>
    <n v="378.02460000000002"/>
  </r>
  <r>
    <s v="Brand ABC TDM"/>
    <x v="2"/>
    <s v="Womens"/>
    <x v="13"/>
    <s v="B1C5F-BB29"/>
    <x v="42"/>
    <s v="M"/>
    <x v="2"/>
    <d v="2024-12-12T00:00:00"/>
    <d v="2024-12-12T00:00:00"/>
    <n v="0"/>
    <n v="0"/>
    <n v="0"/>
    <n v="7"/>
    <n v="441.02870000000001"/>
  </r>
  <r>
    <s v="Brand ABC TDM"/>
    <x v="2"/>
    <s v="Womens"/>
    <x v="13"/>
    <s v="B1C5F-BB29"/>
    <x v="42"/>
    <s v="S"/>
    <x v="2"/>
    <d v="2024-12-12T00:00:00"/>
    <d v="2024-12-19T00:00:00"/>
    <n v="0"/>
    <n v="0"/>
    <n v="0"/>
    <n v="5"/>
    <n v="315.02050000000003"/>
  </r>
  <r>
    <s v="Brand ABC TDM"/>
    <x v="2"/>
    <s v="Womens"/>
    <x v="13"/>
    <s v="B1C5F-BB29"/>
    <x v="42"/>
    <s v="XS"/>
    <x v="2"/>
    <d v="2024-12-12T00:00:00"/>
    <d v="2024-12-12T00:00:00"/>
    <n v="0"/>
    <n v="0"/>
    <n v="0"/>
    <n v="3"/>
    <n v="189.01230000000001"/>
  </r>
  <r>
    <s v="Brand ABC TDM"/>
    <x v="2"/>
    <s v="Womens"/>
    <x v="13"/>
    <s v="B2A7A-UB9P"/>
    <x v="44"/>
    <s v="L"/>
    <x v="1"/>
    <d v="2024-10-26T00:00:00"/>
    <d v="2024-12-20T00:00:00"/>
    <n v="4"/>
    <n v="191.71199999999999"/>
    <n v="482.46"/>
    <n v="10"/>
    <n v="481.77199999999999"/>
  </r>
  <r>
    <s v="Brand ABC TDM"/>
    <x v="2"/>
    <s v="Womens"/>
    <x v="13"/>
    <s v="B2A7A-UB9P"/>
    <x v="44"/>
    <s v="M"/>
    <x v="1"/>
    <d v="2024-10-26T00:00:00"/>
    <d v="2024-12-20T00:00:00"/>
    <n v="26"/>
    <n v="1247.9033999999999"/>
    <n v="3320.52"/>
    <n v="12"/>
    <n v="583.33079999999995"/>
  </r>
  <r>
    <s v="Brand ABC TDM"/>
    <x v="2"/>
    <s v="Womens"/>
    <x v="13"/>
    <s v="B2A7A-UB9P"/>
    <x v="44"/>
    <s v="S"/>
    <x v="1"/>
    <d v="2024-10-26T00:00:00"/>
    <d v="2024-12-21T00:00:00"/>
    <n v="29"/>
    <n v="1404.3440000000001"/>
    <n v="3703.71"/>
    <n v="7"/>
    <n v="348.4803"/>
  </r>
  <r>
    <s v="Brand ABC TDM"/>
    <x v="2"/>
    <s v="Womens"/>
    <x v="13"/>
    <s v="B2A7A-UB9P"/>
    <x v="44"/>
    <s v="XL"/>
    <x v="1"/>
    <d v="2024-10-26T00:00:00"/>
    <d v="2024-10-26T00:00:00"/>
    <n v="2"/>
    <n v="95.855999999999995"/>
    <n v="255.42"/>
    <n v="2"/>
    <n v="95.855999999999995"/>
  </r>
  <r>
    <s v="Brand ABC TDM"/>
    <x v="2"/>
    <s v="Womens"/>
    <x v="13"/>
    <s v="B2A7A-UB9P"/>
    <x v="44"/>
    <s v="XS"/>
    <x v="1"/>
    <d v="2024-10-25T00:00:00"/>
    <d v="2024-12-19T00:00:00"/>
    <n v="11"/>
    <n v="531.03639999999996"/>
    <n v="1376.46"/>
    <n v="5"/>
    <n v="248.27350000000001"/>
  </r>
  <r>
    <s v="Brand ABC TDM"/>
    <x v="2"/>
    <s v="Womens"/>
    <x v="13"/>
    <s v="B2A7A-WBBM"/>
    <x v="44"/>
    <s v="L"/>
    <x v="0"/>
    <d v="2024-10-26T00:00:00"/>
    <d v="2024-12-14T00:00:00"/>
    <n v="8"/>
    <n v="387.57499999999999"/>
    <n v="1021.71"/>
    <n v="10"/>
    <n v="492.57499999999999"/>
  </r>
  <r>
    <s v="Brand ABC TDM"/>
    <x v="2"/>
    <s v="Womens"/>
    <x v="13"/>
    <s v="B2A7A-WBBM"/>
    <x v="44"/>
    <s v="M"/>
    <x v="0"/>
    <d v="2024-10-26T00:00:00"/>
    <d v="2024-12-21T00:00:00"/>
    <n v="32"/>
    <n v="1563.9253000000001"/>
    <n v="4122.26"/>
    <n v="11"/>
    <n v="550.10559999999998"/>
  </r>
  <r>
    <s v="Brand ABC TDM"/>
    <x v="2"/>
    <s v="Womens"/>
    <x v="13"/>
    <s v="B2A7A-WBBM"/>
    <x v="44"/>
    <s v="S"/>
    <x v="0"/>
    <d v="2024-10-26T00:00:00"/>
    <d v="2024-12-21T00:00:00"/>
    <n v="37"/>
    <n v="1818.7538999999999"/>
    <n v="4753.7"/>
    <n v="7"/>
    <n v="352.387"/>
  </r>
  <r>
    <s v="Brand ABC TDM"/>
    <x v="2"/>
    <s v="Womens"/>
    <x v="13"/>
    <s v="B2A7A-WBBM"/>
    <x v="44"/>
    <s v="XL"/>
    <x v="0"/>
    <d v="2024-10-25T00:00:00"/>
    <d v="2024-12-11T00:00:00"/>
    <n v="4"/>
    <n v="194.32409999999999"/>
    <n v="510.85"/>
    <n v="5"/>
    <n v="246.9975"/>
  </r>
  <r>
    <s v="Brand ABC TDM"/>
    <x v="2"/>
    <s v="Womens"/>
    <x v="13"/>
    <s v="B2A7A-WBBM"/>
    <x v="44"/>
    <s v="XS"/>
    <x v="0"/>
    <d v="2024-10-26T00:00:00"/>
    <d v="2024-12-19T00:00:00"/>
    <n v="11"/>
    <n v="536.78700000000003"/>
    <n v="1433.22"/>
    <n v="5"/>
    <n v="250.01599999999999"/>
  </r>
  <r>
    <s v="Brand ABC TDM"/>
    <x v="2"/>
    <s v="Womens"/>
    <x v="13"/>
    <s v="B2A7A-WCMZ"/>
    <x v="44"/>
    <s v="L"/>
    <x v="2"/>
    <d v="2024-10-25T00:00:00"/>
    <d v="2024-12-18T00:00:00"/>
    <n v="1"/>
    <n v="48.805300000000003"/>
    <n v="127.71"/>
    <n v="10"/>
    <n v="489.66800000000001"/>
  </r>
  <r>
    <s v="Brand ABC TDM"/>
    <x v="2"/>
    <s v="Womens"/>
    <x v="13"/>
    <s v="B2A7A-WCMZ"/>
    <x v="44"/>
    <s v="M"/>
    <x v="2"/>
    <d v="2024-10-26T00:00:00"/>
    <d v="2024-12-21T00:00:00"/>
    <n v="2"/>
    <n v="100.2779"/>
    <n v="255.42"/>
    <n v="14"/>
    <n v="702.90359999999998"/>
  </r>
  <r>
    <s v="Brand ABC TDM"/>
    <x v="2"/>
    <s v="Womens"/>
    <x v="13"/>
    <s v="B2A7A-WCMZ"/>
    <x v="44"/>
    <s v="S"/>
    <x v="2"/>
    <d v="2024-10-26T00:00:00"/>
    <d v="2024-12-20T00:00:00"/>
    <n v="2"/>
    <n v="100.6938"/>
    <n v="269.61"/>
    <n v="8"/>
    <n v="402.80959999999999"/>
  </r>
  <r>
    <s v="Brand ABC TDM"/>
    <x v="2"/>
    <s v="Womens"/>
    <x v="13"/>
    <s v="B2A7A-WCMZ"/>
    <x v="44"/>
    <s v="XL"/>
    <x v="2"/>
    <d v="2024-10-25T00:00:00"/>
    <d v="2024-12-03T00:00:00"/>
    <n v="1"/>
    <n v="48.426499999999997"/>
    <n v="127.72"/>
    <n v="0"/>
    <n v="0"/>
  </r>
  <r>
    <s v="Brand ABC TDM"/>
    <x v="2"/>
    <s v="Womens"/>
    <x v="13"/>
    <s v="B2A7A-WCMZ"/>
    <x v="44"/>
    <s v="XS"/>
    <x v="2"/>
    <d v="2024-10-26T00:00:00"/>
    <d v="2024-11-30T00:00:00"/>
    <n v="1"/>
    <n v="49.822200000000002"/>
    <n v="141.9"/>
    <n v="6"/>
    <n v="298.9332"/>
  </r>
  <r>
    <s v="Brand ABC TDM"/>
    <x v="2"/>
    <s v="Womens"/>
    <x v="13"/>
    <s v="B2B2M-UB9P"/>
    <x v="34"/>
    <s v="L"/>
    <x v="1"/>
    <d v="2024-11-29T00:00:00"/>
    <d v="2024-11-29T00:00:00"/>
    <n v="0"/>
    <n v="0"/>
    <n v="0"/>
    <n v="6"/>
    <n v="270.38220000000001"/>
  </r>
  <r>
    <s v="Brand ABC TDM"/>
    <x v="2"/>
    <s v="Womens"/>
    <x v="13"/>
    <s v="B2B2M-UB9P"/>
    <x v="34"/>
    <s v="M"/>
    <x v="1"/>
    <d v="2024-11-29T00:00:00"/>
    <d v="2024-11-29T00:00:00"/>
    <n v="1"/>
    <n v="45.063699999999997"/>
    <n v="162"/>
    <n v="6"/>
    <n v="270.38220000000001"/>
  </r>
  <r>
    <s v="Brand ABC TDM"/>
    <x v="2"/>
    <s v="Womens"/>
    <x v="13"/>
    <s v="B2B2M-UB9P"/>
    <x v="34"/>
    <s v="S"/>
    <x v="1"/>
    <d v="2024-11-29T00:00:00"/>
    <d v="2024-12-13T00:00:00"/>
    <n v="1"/>
    <n v="45.063699999999997"/>
    <n v="162"/>
    <n v="5"/>
    <n v="225.3185"/>
  </r>
  <r>
    <s v="Brand ABC TDM"/>
    <x v="2"/>
    <s v="Womens"/>
    <x v="13"/>
    <s v="B2B2M-UB9P"/>
    <x v="34"/>
    <s v="XS"/>
    <x v="1"/>
    <d v="2024-11-29T00:00:00"/>
    <d v="2024-12-13T00:00:00"/>
    <n v="1"/>
    <n v="45.063699999999997"/>
    <n v="162"/>
    <n v="3"/>
    <n v="135.19110000000001"/>
  </r>
  <r>
    <s v="Brand ABC TDM"/>
    <x v="2"/>
    <s v="Womens"/>
    <x v="13"/>
    <s v="B2B2M-UB9P"/>
    <x v="34"/>
    <s v="XXL"/>
    <x v="1"/>
    <d v="2024-11-29T00:00:00"/>
    <d v="2024-11-29T00:00:00"/>
    <n v="0"/>
    <n v="0"/>
    <n v="0"/>
    <n v="1"/>
    <n v="45.063699999999997"/>
  </r>
  <r>
    <s v="Brand ABC TDM"/>
    <x v="2"/>
    <s v="Womens"/>
    <x v="13"/>
    <s v="B2B2M-WB57"/>
    <x v="34"/>
    <s v="L"/>
    <x v="1"/>
    <d v="2024-11-29T00:00:00"/>
    <d v="2024-12-13T00:00:00"/>
    <n v="2"/>
    <n v="90.127399999999994"/>
    <n v="324"/>
    <n v="5"/>
    <n v="225.3185"/>
  </r>
  <r>
    <s v="Brand ABC TDM"/>
    <x v="2"/>
    <s v="Womens"/>
    <x v="13"/>
    <s v="B2B2M-WB57"/>
    <x v="34"/>
    <s v="M"/>
    <x v="1"/>
    <d v="2024-11-29T00:00:00"/>
    <d v="2024-11-29T00:00:00"/>
    <n v="1"/>
    <n v="45.063699999999997"/>
    <n v="162"/>
    <n v="6"/>
    <n v="270.38220000000001"/>
  </r>
  <r>
    <s v="Brand ABC TDM"/>
    <x v="2"/>
    <s v="Womens"/>
    <x v="13"/>
    <s v="B2B2M-WB57"/>
    <x v="34"/>
    <s v="S"/>
    <x v="1"/>
    <d v="2024-11-29T00:00:00"/>
    <d v="2024-12-12T00:00:00"/>
    <n v="5"/>
    <n v="225.3185"/>
    <n v="828"/>
    <n v="8"/>
    <n v="360.50959999999998"/>
  </r>
  <r>
    <s v="Brand ABC TDM"/>
    <x v="2"/>
    <s v="Womens"/>
    <x v="13"/>
    <s v="B2B2M-WB57"/>
    <x v="34"/>
    <s v="XS"/>
    <x v="1"/>
    <d v="2024-11-29T00:00:00"/>
    <d v="2024-12-21T00:00:00"/>
    <n v="3"/>
    <n v="135.19110000000001"/>
    <n v="486"/>
    <n v="4"/>
    <n v="180.25479999999999"/>
  </r>
  <r>
    <s v="Brand ABC TDM"/>
    <x v="2"/>
    <s v="Womens"/>
    <x v="13"/>
    <s v="B2B2M-WB57"/>
    <x v="34"/>
    <s v="XXL"/>
    <x v="1"/>
    <d v="2024-11-29T00:00:00"/>
    <d v="2024-11-29T00:00:00"/>
    <n v="0"/>
    <n v="0"/>
    <n v="0"/>
    <n v="1"/>
    <n v="45.063699999999997"/>
  </r>
  <r>
    <s v="Brand ABC TDM"/>
    <x v="2"/>
    <s v="Womens"/>
    <x v="13"/>
    <s v="B3A2J-BBBB"/>
    <x v="44"/>
    <s v="L"/>
    <x v="0"/>
    <d v="2024-05-20T00:00:00"/>
    <d v="2024-12-20T00:00:00"/>
    <n v="5"/>
    <n v="214.2672"/>
    <n v="608.94000000000005"/>
    <n v="7"/>
    <n v="301.53199999999998"/>
  </r>
  <r>
    <s v="Brand ABC TDM"/>
    <x v="2"/>
    <s v="Womens"/>
    <x v="13"/>
    <s v="B3A2J-BBBB"/>
    <x v="44"/>
    <s v="M"/>
    <x v="0"/>
    <d v="2024-05-20T00:00:00"/>
    <d v="2024-12-21T00:00:00"/>
    <n v="23"/>
    <n v="998.1105"/>
    <n v="2746.87"/>
    <n v="10"/>
    <n v="445.30799999999999"/>
  </r>
  <r>
    <s v="Brand ABC TDM"/>
    <x v="2"/>
    <s v="Womens"/>
    <x v="13"/>
    <s v="B3A2J-BBBB"/>
    <x v="44"/>
    <s v="S"/>
    <x v="0"/>
    <d v="2024-05-20T00:00:00"/>
    <d v="2024-12-20T00:00:00"/>
    <n v="35"/>
    <n v="1533.8792000000001"/>
    <n v="4209.66"/>
    <n v="5"/>
    <n v="224.80449999999999"/>
  </r>
  <r>
    <s v="Brand ABC TDM"/>
    <x v="2"/>
    <s v="Womens"/>
    <x v="13"/>
    <s v="B3A2J-BBBB"/>
    <x v="44"/>
    <s v="XL"/>
    <x v="0"/>
    <d v="2024-05-20T00:00:00"/>
    <d v="2024-10-26T00:00:00"/>
    <n v="0"/>
    <n v="0"/>
    <n v="0"/>
    <n v="2"/>
    <n v="85.672200000000004"/>
  </r>
  <r>
    <s v="Brand ABC TDM"/>
    <x v="2"/>
    <s v="Womens"/>
    <x v="13"/>
    <s v="B3A2J-BBBB"/>
    <x v="44"/>
    <s v="XS"/>
    <x v="0"/>
    <d v="2024-05-20T00:00:00"/>
    <d v="2024-12-21T00:00:00"/>
    <n v="8"/>
    <n v="345.84289999999999"/>
    <n v="953.03"/>
    <n v="4"/>
    <n v="178.83279999999999"/>
  </r>
  <r>
    <s v="Brand ABC TDM"/>
    <x v="2"/>
    <s v="Womens"/>
    <x v="13"/>
    <s v="B3A2J-KB7B"/>
    <x v="44"/>
    <s v="L"/>
    <x v="1"/>
    <d v="2024-10-28T00:00:00"/>
    <d v="2024-10-28T00:00:00"/>
    <n v="0"/>
    <n v="0"/>
    <n v="0"/>
    <n v="6"/>
    <n v="256.77420000000001"/>
  </r>
  <r>
    <s v="Brand ABC TDM"/>
    <x v="2"/>
    <s v="Womens"/>
    <x v="13"/>
    <s v="B3A2J-KB7B"/>
    <x v="44"/>
    <s v="M"/>
    <x v="1"/>
    <d v="2024-10-28T00:00:00"/>
    <d v="2024-12-13T00:00:00"/>
    <n v="5"/>
    <n v="216.53469999999999"/>
    <n v="595.71"/>
    <n v="7"/>
    <n v="308.14"/>
  </r>
  <r>
    <s v="Brand ABC TDM"/>
    <x v="2"/>
    <s v="Womens"/>
    <x v="13"/>
    <s v="B3A2J-KB7B"/>
    <x v="44"/>
    <s v="S"/>
    <x v="1"/>
    <d v="2024-10-28T00:00:00"/>
    <d v="2024-12-06T00:00:00"/>
    <n v="4"/>
    <n v="172.93350000000001"/>
    <n v="476.59"/>
    <n v="6"/>
    <n v="265.85340000000002"/>
  </r>
  <r>
    <s v="Brand ABC TDM"/>
    <x v="2"/>
    <s v="Womens"/>
    <x v="13"/>
    <s v="B3A2J-KB7B"/>
    <x v="44"/>
    <s v="XS"/>
    <x v="1"/>
    <d v="2024-10-28T00:00:00"/>
    <d v="2024-12-04T00:00:00"/>
    <n v="3"/>
    <n v="129.8707"/>
    <n v="357.44"/>
    <n v="3"/>
    <n v="133.57980000000001"/>
  </r>
  <r>
    <s v="Brand ABC TDM"/>
    <x v="2"/>
    <s v="Womens"/>
    <x v="13"/>
    <s v="B3A2J-PBZS"/>
    <x v="44"/>
    <s v="L"/>
    <x v="1"/>
    <d v="2024-10-26T00:00:00"/>
    <d v="2024-12-17T00:00:00"/>
    <n v="2"/>
    <n v="85.962299999999999"/>
    <n v="238.28"/>
    <n v="6"/>
    <n v="260.85419999999999"/>
  </r>
  <r>
    <s v="Brand ABC TDM"/>
    <x v="2"/>
    <s v="Womens"/>
    <x v="13"/>
    <s v="B3A2J-PBZS"/>
    <x v="44"/>
    <s v="M"/>
    <x v="1"/>
    <d v="2024-10-26T00:00:00"/>
    <d v="2024-12-16T00:00:00"/>
    <n v="4"/>
    <n v="172.9151"/>
    <n v="476.56"/>
    <n v="7"/>
    <n v="306.73930000000001"/>
  </r>
  <r>
    <s v="Brand ABC TDM"/>
    <x v="2"/>
    <s v="Womens"/>
    <x v="13"/>
    <s v="B3A2J-PBZS"/>
    <x v="44"/>
    <s v="S"/>
    <x v="1"/>
    <d v="2024-10-26T00:00:00"/>
    <d v="2024-12-17T00:00:00"/>
    <n v="11"/>
    <n v="482.93"/>
    <n v="1323.8"/>
    <n v="3"/>
    <n v="134.01329999999999"/>
  </r>
  <r>
    <s v="Brand ABC TDM"/>
    <x v="2"/>
    <s v="Womens"/>
    <x v="13"/>
    <s v="B3A2J-PBZS"/>
    <x v="44"/>
    <s v="XS"/>
    <x v="1"/>
    <d v="2024-10-26T00:00:00"/>
    <d v="2024-12-17T00:00:00"/>
    <n v="4"/>
    <n v="174.3973"/>
    <n v="476.57"/>
    <n v="2"/>
    <n v="89.053200000000004"/>
  </r>
  <r>
    <s v="Brand ABC TDM"/>
    <x v="2"/>
    <s v="Womens"/>
    <x v="13"/>
    <s v="B3A2J-UCTN"/>
    <x v="44"/>
    <s v="L"/>
    <x v="1"/>
    <d v="2024-10-25T00:00:00"/>
    <d v="2024-11-09T00:00:00"/>
    <n v="2"/>
    <n v="85.591399999999993"/>
    <n v="238.28"/>
    <n v="9"/>
    <n v="385.16129999999998"/>
  </r>
  <r>
    <s v="Brand ABC TDM"/>
    <x v="2"/>
    <s v="Womens"/>
    <x v="13"/>
    <s v="B3A2J-UCTN"/>
    <x v="44"/>
    <s v="M"/>
    <x v="1"/>
    <d v="2024-10-25T00:00:00"/>
    <d v="2024-12-21T00:00:00"/>
    <n v="13"/>
    <n v="562.52859999999998"/>
    <n v="1548.83"/>
    <n v="10"/>
    <n v="441.80099999999999"/>
  </r>
  <r>
    <s v="Brand ABC TDM"/>
    <x v="2"/>
    <s v="Womens"/>
    <x v="13"/>
    <s v="B3A2J-UCTN"/>
    <x v="44"/>
    <s v="S"/>
    <x v="1"/>
    <d v="2024-10-26T00:00:00"/>
    <d v="2024-12-21T00:00:00"/>
    <n v="18"/>
    <n v="778.23170000000005"/>
    <n v="2171.0300000000002"/>
    <n v="8"/>
    <n v="356.71039999999999"/>
  </r>
  <r>
    <s v="Brand ABC TDM"/>
    <x v="2"/>
    <s v="Womens"/>
    <x v="13"/>
    <s v="B3A2J-UCTN"/>
    <x v="44"/>
    <s v="XS"/>
    <x v="1"/>
    <d v="2024-10-26T00:00:00"/>
    <d v="2024-12-21T00:00:00"/>
    <n v="6"/>
    <n v="257.01769999999999"/>
    <n v="714.87"/>
    <n v="5"/>
    <n v="220.41149999999999"/>
  </r>
  <r>
    <s v="Brand ABC TDM"/>
    <x v="2"/>
    <s v="Womens"/>
    <x v="13"/>
    <s v="B3A2J-WBBM"/>
    <x v="44"/>
    <s v="L"/>
    <x v="0"/>
    <d v="2024-10-26T00:00:00"/>
    <d v="2024-11-09T00:00:00"/>
    <n v="0"/>
    <n v="0"/>
    <n v="0"/>
    <n v="11"/>
    <n v="470.76479999999998"/>
  </r>
  <r>
    <s v="Brand ABC TDM"/>
    <x v="2"/>
    <s v="Womens"/>
    <x v="13"/>
    <s v="B3A2J-WBBM"/>
    <x v="44"/>
    <s v="M"/>
    <x v="0"/>
    <d v="2024-10-25T00:00:00"/>
    <d v="2024-12-17T00:00:00"/>
    <n v="10"/>
    <n v="431.82279999999997"/>
    <n v="1204.6400000000001"/>
    <n v="9"/>
    <n v="394.70400000000001"/>
  </r>
  <r>
    <s v="Brand ABC TDM"/>
    <x v="2"/>
    <s v="Womens"/>
    <x v="13"/>
    <s v="B3A2J-WBBM"/>
    <x v="44"/>
    <s v="S"/>
    <x v="0"/>
    <d v="2024-10-26T00:00:00"/>
    <d v="2024-12-21T00:00:00"/>
    <n v="16"/>
    <n v="687.43129999999996"/>
    <n v="1879.81"/>
    <n v="8"/>
    <n v="353.31119999999999"/>
  </r>
  <r>
    <s v="Brand ABC TDM"/>
    <x v="2"/>
    <s v="Womens"/>
    <x v="13"/>
    <s v="B3A2J-WBBM"/>
    <x v="44"/>
    <s v="XS"/>
    <x v="0"/>
    <d v="2024-10-25T00:00:00"/>
    <d v="2024-12-20T00:00:00"/>
    <n v="7"/>
    <n v="303.673"/>
    <n v="847.23"/>
    <n v="3"/>
    <n v="133.18559999999999"/>
  </r>
  <r>
    <s v="Brand ABC TDM"/>
    <x v="2"/>
    <s v="Womens"/>
    <x v="13"/>
    <s v="B3A2J-WCC9"/>
    <x v="44"/>
    <s v="L"/>
    <x v="1"/>
    <d v="2024-10-25T00:00:00"/>
    <d v="2024-11-15T00:00:00"/>
    <n v="2"/>
    <n v="85.591399999999993"/>
    <n v="238.28"/>
    <n v="10"/>
    <n v="427.95699999999999"/>
  </r>
  <r>
    <s v="Brand ABC TDM"/>
    <x v="2"/>
    <s v="Womens"/>
    <x v="13"/>
    <s v="B3A2J-WCC9"/>
    <x v="44"/>
    <s v="M"/>
    <x v="1"/>
    <d v="2024-10-26T00:00:00"/>
    <d v="2024-12-17T00:00:00"/>
    <n v="13"/>
    <n v="560.3605"/>
    <n v="1575.31"/>
    <n v="12"/>
    <n v="525.10919999999999"/>
  </r>
  <r>
    <s v="Brand ABC TDM"/>
    <x v="2"/>
    <s v="Womens"/>
    <x v="13"/>
    <s v="B3A2J-WCC9"/>
    <x v="44"/>
    <s v="S"/>
    <x v="1"/>
    <d v="2024-10-26T00:00:00"/>
    <d v="2024-12-21T00:00:00"/>
    <n v="19"/>
    <n v="817.43610000000001"/>
    <n v="2276.9299999999998"/>
    <n v="9"/>
    <n v="396.29969999999997"/>
  </r>
  <r>
    <s v="Brand ABC TDM"/>
    <x v="2"/>
    <s v="Womens"/>
    <x v="13"/>
    <s v="B3A2J-WCC9"/>
    <x v="44"/>
    <s v="XS"/>
    <x v="1"/>
    <d v="2024-10-26T00:00:00"/>
    <d v="2024-12-20T00:00:00"/>
    <n v="4"/>
    <n v="171.62790000000001"/>
    <n v="489.81"/>
    <n v="5"/>
    <n v="217.9845"/>
  </r>
  <r>
    <s v="Brand ABC TDM"/>
    <x v="2"/>
    <s v="Womens"/>
    <x v="13"/>
    <s v="B3A4K-BBF3"/>
    <x v="18"/>
    <s v="L"/>
    <x v="0"/>
    <d v="2024-10-26T00:00:00"/>
    <d v="2024-12-11T00:00:00"/>
    <n v="10"/>
    <n v="555.2491"/>
    <n v="1448.58"/>
    <n v="9"/>
    <n v="511.01280000000003"/>
  </r>
  <r>
    <s v="Brand ABC TDM"/>
    <x v="2"/>
    <s v="Womens"/>
    <x v="13"/>
    <s v="B3A4K-BBF3"/>
    <x v="18"/>
    <s v="M"/>
    <x v="0"/>
    <d v="2024-10-26T00:00:00"/>
    <d v="2024-12-18T00:00:00"/>
    <n v="26"/>
    <n v="1441.779"/>
    <n v="3750.22"/>
    <n v="10"/>
    <n v="570.18200000000002"/>
  </r>
  <r>
    <s v="Brand ABC TDM"/>
    <x v="2"/>
    <s v="Womens"/>
    <x v="13"/>
    <s v="B3A4K-BBF3"/>
    <x v="18"/>
    <s v="S"/>
    <x v="0"/>
    <d v="2024-10-26T00:00:00"/>
    <d v="2024-12-21T00:00:00"/>
    <n v="20"/>
    <n v="1128.0499"/>
    <n v="2945.46"/>
    <n v="6"/>
    <n v="344.60759999999999"/>
  </r>
  <r>
    <s v="Brand ABC TDM"/>
    <x v="2"/>
    <s v="Womens"/>
    <x v="13"/>
    <s v="B3A4K-BBF3"/>
    <x v="18"/>
    <s v="XL"/>
    <x v="0"/>
    <d v="2024-10-26T00:00:00"/>
    <d v="2024-12-04T00:00:00"/>
    <n v="1"/>
    <n v="54.797899999999998"/>
    <n v="144.86000000000001"/>
    <n v="4"/>
    <n v="222.0412"/>
  </r>
  <r>
    <s v="Brand ABC TDM"/>
    <x v="2"/>
    <s v="Womens"/>
    <x v="13"/>
    <s v="B3A4K-BBF3"/>
    <x v="18"/>
    <s v="XS"/>
    <x v="0"/>
    <d v="2024-10-26T00:00:00"/>
    <d v="2024-12-11T00:00:00"/>
    <n v="5"/>
    <n v="277.43799999999999"/>
    <n v="740.39"/>
    <n v="4"/>
    <n v="226.8544"/>
  </r>
  <r>
    <s v="Brand ABC TDM"/>
    <x v="2"/>
    <s v="Womens"/>
    <x v="13"/>
    <s v="B3A4K-EBTF"/>
    <x v="18"/>
    <s v="L"/>
    <x v="0"/>
    <d v="2024-10-25T00:00:00"/>
    <d v="2024-11-09T00:00:00"/>
    <n v="3"/>
    <n v="164.2938"/>
    <n v="434.58"/>
    <n v="6"/>
    <n v="328.58760000000001"/>
  </r>
  <r>
    <s v="Brand ABC TDM"/>
    <x v="2"/>
    <s v="Womens"/>
    <x v="13"/>
    <s v="B3A4K-EBTF"/>
    <x v="18"/>
    <s v="M"/>
    <x v="0"/>
    <d v="2024-10-26T00:00:00"/>
    <d v="2024-12-21T00:00:00"/>
    <n v="19"/>
    <n v="1051.0094999999999"/>
    <n v="2768.41"/>
    <n v="8"/>
    <n v="456.11919999999998"/>
  </r>
  <r>
    <s v="Brand ABC TDM"/>
    <x v="2"/>
    <s v="Womens"/>
    <x v="13"/>
    <s v="B3A4K-EBTF"/>
    <x v="18"/>
    <s v="S"/>
    <x v="0"/>
    <d v="2024-10-25T00:00:00"/>
    <d v="2024-12-21T00:00:00"/>
    <n v="15"/>
    <n v="838.46699999999998"/>
    <n v="2205.0300000000002"/>
    <n v="5"/>
    <n v="288.03149999999999"/>
  </r>
  <r>
    <s v="Brand ABC TDM"/>
    <x v="2"/>
    <s v="Womens"/>
    <x v="13"/>
    <s v="B3A4K-EBTF"/>
    <x v="18"/>
    <s v="XL"/>
    <x v="0"/>
    <d v="2024-10-25T00:00:00"/>
    <d v="2024-10-25T00:00:00"/>
    <n v="1"/>
    <n v="54.757599999999996"/>
    <n v="144.86000000000001"/>
    <n v="2"/>
    <n v="109.51519999999999"/>
  </r>
  <r>
    <s v="Brand ABC TDM"/>
    <x v="2"/>
    <s v="Womens"/>
    <x v="13"/>
    <s v="B3A4K-EBTF"/>
    <x v="18"/>
    <s v="XS"/>
    <x v="0"/>
    <d v="2024-10-25T00:00:00"/>
    <d v="2024-12-20T00:00:00"/>
    <n v="3"/>
    <n v="164.27549999999999"/>
    <n v="434.57"/>
    <n v="3"/>
    <n v="164.27549999999999"/>
  </r>
  <r>
    <s v="Brand ABC TDM"/>
    <x v="2"/>
    <s v="Womens"/>
    <x v="13"/>
    <s v="B3A4K-KB0W"/>
    <x v="18"/>
    <s v="S"/>
    <x v="0"/>
    <d v="2024-11-25T00:00:00"/>
    <d v="2024-11-25T00:00:00"/>
    <n v="0"/>
    <n v="0"/>
    <n v="0"/>
    <n v="2"/>
    <n v="115.2948"/>
  </r>
  <r>
    <s v="Brand ABC TDM"/>
    <x v="2"/>
    <s v="Womens"/>
    <x v="13"/>
    <s v="B3A4K-UCW7"/>
    <x v="18"/>
    <s v="L"/>
    <x v="2"/>
    <d v="2024-10-26T00:00:00"/>
    <d v="2024-12-20T00:00:00"/>
    <n v="0"/>
    <n v="0"/>
    <n v="0"/>
    <n v="6"/>
    <n v="334.73520000000002"/>
  </r>
  <r>
    <s v="Brand ABC TDM"/>
    <x v="2"/>
    <s v="Womens"/>
    <x v="13"/>
    <s v="B3A4K-UCW7"/>
    <x v="18"/>
    <s v="M"/>
    <x v="2"/>
    <d v="2024-10-26T00:00:00"/>
    <d v="2024-12-19T00:00:00"/>
    <n v="0"/>
    <n v="0"/>
    <n v="0"/>
    <n v="7"/>
    <n v="388.59100000000001"/>
  </r>
  <r>
    <s v="Brand ABC TDM"/>
    <x v="2"/>
    <s v="Womens"/>
    <x v="13"/>
    <s v="B3A4K-UCW7"/>
    <x v="18"/>
    <s v="S"/>
    <x v="2"/>
    <d v="2024-10-26T00:00:00"/>
    <d v="2024-12-19T00:00:00"/>
    <n v="0"/>
    <n v="0"/>
    <n v="0"/>
    <n v="6"/>
    <n v="342.2124"/>
  </r>
  <r>
    <s v="Brand ABC TDM"/>
    <x v="2"/>
    <s v="Womens"/>
    <x v="13"/>
    <s v="B3A4K-UCW7"/>
    <x v="18"/>
    <s v="XS"/>
    <x v="2"/>
    <d v="2024-10-26T00:00:00"/>
    <d v="2024-12-14T00:00:00"/>
    <n v="1"/>
    <n v="55.902099999999997"/>
    <n v="144.85"/>
    <n v="3"/>
    <n v="169.99529999999999"/>
  </r>
  <r>
    <s v="Brand ABC TDM"/>
    <x v="2"/>
    <s v="Womens"/>
    <x v="13"/>
    <s v="B6A2G-ECJ8"/>
    <x v="43"/>
    <s v="L"/>
    <x v="0"/>
    <d v="2024-11-21T00:00:00"/>
    <d v="2024-11-21T00:00:00"/>
    <n v="1"/>
    <n v="65.0625"/>
    <n v="189.52"/>
    <n v="0"/>
    <n v="0"/>
  </r>
  <r>
    <s v="Brand ABC TDM"/>
    <x v="2"/>
    <s v="Womens"/>
    <x v="13"/>
    <s v="B6A2G-ECJ8"/>
    <x v="43"/>
    <s v="M"/>
    <x v="0"/>
    <d v="2024-11-21T00:00:00"/>
    <d v="2024-12-03T00:00:00"/>
    <n v="10"/>
    <n v="664.75710000000004"/>
    <n v="1696.23"/>
    <n v="0"/>
    <n v="0"/>
  </r>
  <r>
    <s v="Brand ABC TDM"/>
    <x v="2"/>
    <s v="Womens"/>
    <x v="13"/>
    <s v="B6A2G-ECJ8"/>
    <x v="43"/>
    <s v="S"/>
    <x v="0"/>
    <d v="2024-11-21T00:00:00"/>
    <d v="2024-12-04T00:00:00"/>
    <n v="2"/>
    <n v="131.25280000000001"/>
    <n v="341.15"/>
    <n v="0"/>
    <n v="0"/>
  </r>
  <r>
    <s v="Brand ABC TDM"/>
    <x v="2"/>
    <s v="Womens"/>
    <x v="13"/>
    <s v="B6A2G-ECJ8"/>
    <x v="43"/>
    <s v="XS"/>
    <x v="0"/>
    <d v="2024-11-21T00:00:00"/>
    <d v="2024-11-29T00:00:00"/>
    <n v="1"/>
    <n v="64.310699999999997"/>
    <n v="170.57"/>
    <n v="1"/>
    <n v="66.942099999999996"/>
  </r>
  <r>
    <s v="Brand ABC TDM"/>
    <x v="2"/>
    <s v="Womens"/>
    <x v="13"/>
    <s v="B8A4T-BB2J"/>
    <x v="37"/>
    <s v="L"/>
    <x v="0"/>
    <d v="2024-10-26T00:00:00"/>
    <d v="2024-12-17T00:00:00"/>
    <n v="4"/>
    <n v="205.29040000000001"/>
    <n v="579.42999999999995"/>
    <n v="8"/>
    <n v="413.24959999999999"/>
  </r>
  <r>
    <s v="Brand ABC TDM"/>
    <x v="2"/>
    <s v="Womens"/>
    <x v="13"/>
    <s v="B8A4T-BB2J"/>
    <x v="37"/>
    <s v="M"/>
    <x v="0"/>
    <d v="2024-10-26T00:00:00"/>
    <d v="2024-12-17T00:00:00"/>
    <n v="12"/>
    <n v="623.54240000000004"/>
    <n v="1754.4"/>
    <n v="9"/>
    <n v="475.58339999999998"/>
  </r>
  <r>
    <s v="Brand ABC TDM"/>
    <x v="2"/>
    <s v="Womens"/>
    <x v="13"/>
    <s v="B8A4T-BB2J"/>
    <x v="37"/>
    <s v="S"/>
    <x v="0"/>
    <d v="2024-10-26T00:00:00"/>
    <d v="2024-12-13T00:00:00"/>
    <n v="12"/>
    <n v="620.40539999999999"/>
    <n v="1738.32"/>
    <n v="7"/>
    <n v="370.73750000000001"/>
  </r>
  <r>
    <s v="Brand ABC TDM"/>
    <x v="2"/>
    <s v="Womens"/>
    <x v="13"/>
    <s v="B8A4T-BB2J"/>
    <x v="37"/>
    <s v="XL"/>
    <x v="0"/>
    <d v="2024-10-25T00:00:00"/>
    <d v="2024-10-25T00:00:00"/>
    <n v="0"/>
    <n v="0"/>
    <n v="0"/>
    <n v="4"/>
    <n v="205.29040000000001"/>
  </r>
  <r>
    <s v="Brand ABC TDM"/>
    <x v="2"/>
    <s v="Womens"/>
    <x v="13"/>
    <s v="B8A4T-BB2J"/>
    <x v="37"/>
    <s v="XS"/>
    <x v="0"/>
    <d v="2024-10-26T00:00:00"/>
    <d v="2024-12-14T00:00:00"/>
    <n v="7"/>
    <n v="364.46030000000002"/>
    <n v="1030.0999999999999"/>
    <n v="4"/>
    <n v="213.4324"/>
  </r>
  <r>
    <s v="Brand ABC TDM"/>
    <x v="2"/>
    <s v="Womens"/>
    <x v="13"/>
    <s v="B8A4T-RBQV"/>
    <x v="37"/>
    <s v="L"/>
    <x v="0"/>
    <d v="2024-10-25T00:00:00"/>
    <d v="2024-11-09T00:00:00"/>
    <n v="0"/>
    <n v="0"/>
    <n v="0"/>
    <n v="9"/>
    <n v="461.90339999999998"/>
  </r>
  <r>
    <s v="Brand ABC TDM"/>
    <x v="2"/>
    <s v="Womens"/>
    <x v="13"/>
    <s v="B8A4T-RBQV"/>
    <x v="37"/>
    <s v="M"/>
    <x v="0"/>
    <d v="2024-10-25T00:00:00"/>
    <d v="2024-11-09T00:00:00"/>
    <n v="3"/>
    <n v="153.96780000000001"/>
    <n v="402.36"/>
    <n v="7"/>
    <n v="359.25819999999999"/>
  </r>
  <r>
    <s v="Brand ABC TDM"/>
    <x v="2"/>
    <s v="Womens"/>
    <x v="13"/>
    <s v="B8A4T-RBQV"/>
    <x v="37"/>
    <s v="S"/>
    <x v="0"/>
    <d v="2024-10-25T00:00:00"/>
    <d v="2024-12-17T00:00:00"/>
    <n v="8"/>
    <n v="414.68020000000001"/>
    <n v="1142.77"/>
    <n v="3"/>
    <n v="157.875"/>
  </r>
  <r>
    <s v="Brand ABC TDM"/>
    <x v="2"/>
    <s v="Womens"/>
    <x v="13"/>
    <s v="B8A4T-RBQV"/>
    <x v="37"/>
    <s v="XL"/>
    <x v="0"/>
    <d v="2024-10-25T00:00:00"/>
    <d v="2024-10-25T00:00:00"/>
    <n v="0"/>
    <n v="0"/>
    <n v="0"/>
    <n v="3"/>
    <n v="153.96780000000001"/>
  </r>
  <r>
    <s v="Brand ABC TDM"/>
    <x v="2"/>
    <s v="Womens"/>
    <x v="13"/>
    <s v="B8A4T-RBQV"/>
    <x v="37"/>
    <s v="XS"/>
    <x v="0"/>
    <d v="2024-10-26T00:00:00"/>
    <d v="2024-12-14T00:00:00"/>
    <n v="4"/>
    <n v="205.29040000000001"/>
    <n v="595.54"/>
    <n v="3"/>
    <n v="156.63659999999999"/>
  </r>
  <r>
    <s v="Brand ABC TDM"/>
    <x v="2"/>
    <s v="Womens"/>
    <x v="13"/>
    <s v="B8A4T-TBNG"/>
    <x v="37"/>
    <s v="S"/>
    <x v="0"/>
    <d v="2024-11-25T00:00:00"/>
    <d v="2024-11-25T00:00:00"/>
    <n v="0"/>
    <n v="0"/>
    <n v="0"/>
    <n v="2"/>
    <n v="107.9828"/>
  </r>
  <r>
    <s v="Brand ABC TDM"/>
    <x v="2"/>
    <s v="Womens"/>
    <x v="13"/>
    <s v="B8A5U-BB2J"/>
    <x v="44"/>
    <s v="L"/>
    <x v="0"/>
    <d v="2024-10-11T00:00:00"/>
    <d v="2024-12-17T00:00:00"/>
    <n v="2"/>
    <n v="109.8468"/>
    <n v="289.72000000000003"/>
    <n v="8"/>
    <n v="440.65280000000001"/>
  </r>
  <r>
    <s v="Brand ABC TDM"/>
    <x v="2"/>
    <s v="Womens"/>
    <x v="13"/>
    <s v="B8A5U-BB2J"/>
    <x v="44"/>
    <s v="M"/>
    <x v="0"/>
    <d v="2024-10-11T00:00:00"/>
    <d v="2024-12-12T00:00:00"/>
    <n v="3"/>
    <n v="164.8176"/>
    <n v="402.39"/>
    <n v="11"/>
    <n v="610.45820000000003"/>
  </r>
  <r>
    <s v="Brand ABC TDM"/>
    <x v="2"/>
    <s v="Womens"/>
    <x v="13"/>
    <s v="B8A5U-BB2J"/>
    <x v="44"/>
    <s v="S"/>
    <x v="0"/>
    <d v="2024-10-11T00:00:00"/>
    <d v="2024-12-17T00:00:00"/>
    <n v="6"/>
    <n v="332.03109999999998"/>
    <n v="885.22"/>
    <n v="5"/>
    <n v="278.37349999999998"/>
  </r>
  <r>
    <s v="Brand ABC TDM"/>
    <x v="2"/>
    <s v="Womens"/>
    <x v="13"/>
    <s v="B8A5U-BB2J"/>
    <x v="44"/>
    <s v="XS"/>
    <x v="0"/>
    <d v="2024-10-25T00:00:00"/>
    <d v="2024-12-16T00:00:00"/>
    <n v="3"/>
    <n v="166.25659999999999"/>
    <n v="450.66"/>
    <n v="4"/>
    <n v="225.6508"/>
  </r>
  <r>
    <s v="Brand ABC TDM"/>
    <x v="2"/>
    <s v="Womens"/>
    <x v="13"/>
    <s v="B8A5U-WB57"/>
    <x v="44"/>
    <s v="L"/>
    <x v="0"/>
    <d v="2024-10-25T00:00:00"/>
    <d v="2024-12-04T00:00:00"/>
    <n v="1"/>
    <n v="54.771799999999999"/>
    <n v="144.86000000000001"/>
    <n v="9"/>
    <n v="495.79469999999998"/>
  </r>
  <r>
    <s v="Brand ABC TDM"/>
    <x v="2"/>
    <s v="Womens"/>
    <x v="13"/>
    <s v="B8A5U-WB57"/>
    <x v="44"/>
    <s v="M"/>
    <x v="0"/>
    <d v="2024-10-25T00:00:00"/>
    <d v="2024-12-04T00:00:00"/>
    <n v="2"/>
    <n v="109.7919"/>
    <n v="289.72000000000003"/>
    <n v="11"/>
    <n v="607.86879999999996"/>
  </r>
  <r>
    <s v="Brand ABC TDM"/>
    <x v="2"/>
    <s v="Womens"/>
    <x v="13"/>
    <s v="B8A5U-WB57"/>
    <x v="44"/>
    <s v="S"/>
    <x v="0"/>
    <d v="2024-10-25T00:00:00"/>
    <d v="2024-12-17T00:00:00"/>
    <n v="3"/>
    <n v="165.10050000000001"/>
    <n v="434.58"/>
    <n v="6"/>
    <n v="331.01459999999997"/>
  </r>
  <r>
    <s v="Brand ABC TDM"/>
    <x v="2"/>
    <s v="Womens"/>
    <x v="13"/>
    <s v="B8A5U-WB57"/>
    <x v="44"/>
    <s v="XS"/>
    <x v="0"/>
    <d v="2024-10-25T00:00:00"/>
    <d v="2024-12-16T00:00:00"/>
    <n v="1"/>
    <n v="54.762300000000003"/>
    <n v="144.86000000000001"/>
    <n v="4"/>
    <n v="221.89680000000001"/>
  </r>
  <r>
    <s v="Brand ABC TDM"/>
    <x v="2"/>
    <s v="Womens"/>
    <x v="13"/>
    <s v="B8A5V-BB2J"/>
    <x v="44"/>
    <s v="L"/>
    <x v="0"/>
    <d v="2024-10-25T00:00:00"/>
    <d v="2024-12-17T00:00:00"/>
    <n v="3"/>
    <n v="164.41800000000001"/>
    <n v="434.58"/>
    <n v="7"/>
    <n v="383.642"/>
  </r>
  <r>
    <s v="Brand ABC TDM"/>
    <x v="2"/>
    <s v="Womens"/>
    <x v="13"/>
    <s v="B8A5V-BB2J"/>
    <x v="44"/>
    <s v="M"/>
    <x v="0"/>
    <d v="2024-10-25T00:00:00"/>
    <d v="2024-12-17T00:00:00"/>
    <n v="13"/>
    <n v="713.54700000000003"/>
    <n v="1899.25"/>
    <n v="11"/>
    <n v="616.42349999999999"/>
  </r>
  <r>
    <s v="Brand ABC TDM"/>
    <x v="2"/>
    <s v="Womens"/>
    <x v="13"/>
    <s v="B8A5V-BB2J"/>
    <x v="44"/>
    <s v="S"/>
    <x v="0"/>
    <d v="2024-10-25T00:00:00"/>
    <d v="2024-12-17T00:00:00"/>
    <n v="14"/>
    <n v="773.89589999999998"/>
    <n v="2060.21"/>
    <n v="5"/>
    <n v="282.00599999999997"/>
  </r>
  <r>
    <s v="Brand ABC TDM"/>
    <x v="2"/>
    <s v="Womens"/>
    <x v="13"/>
    <s v="B8A5V-BB2J"/>
    <x v="44"/>
    <s v="XS"/>
    <x v="0"/>
    <d v="2024-10-25T00:00:00"/>
    <d v="2024-12-04T00:00:00"/>
    <n v="3"/>
    <n v="164.43389999999999"/>
    <n v="418.48"/>
    <n v="4"/>
    <n v="222.12360000000001"/>
  </r>
  <r>
    <s v="Brand ABC TDM"/>
    <x v="2"/>
    <s v="Womens"/>
    <x v="13"/>
    <s v="B8A5V-ECDN"/>
    <x v="44"/>
    <s v="L"/>
    <x v="1"/>
    <d v="2024-10-26T00:00:00"/>
    <d v="2024-11-23T00:00:00"/>
    <n v="2"/>
    <n v="109.99679999999999"/>
    <n v="257.52999999999997"/>
    <n v="0"/>
    <n v="0"/>
  </r>
  <r>
    <s v="Brand ABC TDM"/>
    <x v="2"/>
    <s v="Womens"/>
    <x v="13"/>
    <s v="B8A5V-ECDN"/>
    <x v="44"/>
    <s v="M"/>
    <x v="1"/>
    <d v="2024-10-26T00:00:00"/>
    <d v="2024-12-04T00:00:00"/>
    <n v="6"/>
    <n v="333.45499999999998"/>
    <n v="869.14"/>
    <n v="0"/>
    <n v="0"/>
  </r>
  <r>
    <s v="Brand ABC TDM"/>
    <x v="2"/>
    <s v="Womens"/>
    <x v="13"/>
    <s v="B8A5V-ECDN"/>
    <x v="44"/>
    <s v="S"/>
    <x v="1"/>
    <d v="2024-10-26T00:00:00"/>
    <d v="2024-12-03T00:00:00"/>
    <n v="2"/>
    <n v="110.0932"/>
    <n v="289.72000000000003"/>
    <n v="0"/>
    <n v="0"/>
  </r>
  <r>
    <s v="Brand ABC TDM"/>
    <x v="2"/>
    <s v="Womens"/>
    <x v="13"/>
    <s v="B8A5V-ECDN"/>
    <x v="44"/>
    <s v="XS"/>
    <x v="1"/>
    <d v="2024-10-26T00:00:00"/>
    <d v="2024-11-26T00:00:00"/>
    <n v="1"/>
    <n v="54.757599999999996"/>
    <n v="144.86000000000001"/>
    <n v="0"/>
    <n v="0"/>
  </r>
  <r>
    <s v="Brand ABC TDM"/>
    <x v="2"/>
    <s v="Womens"/>
    <x v="13"/>
    <s v="B8A5V-WB57"/>
    <x v="44"/>
    <s v="L"/>
    <x v="0"/>
    <d v="2024-10-25T00:00:00"/>
    <d v="2024-12-19T00:00:00"/>
    <n v="0"/>
    <n v="0"/>
    <n v="0"/>
    <n v="8"/>
    <n v="438.38319999999999"/>
  </r>
  <r>
    <s v="Brand ABC TDM"/>
    <x v="2"/>
    <s v="Womens"/>
    <x v="13"/>
    <s v="B8A5V-WB57"/>
    <x v="44"/>
    <s v="M"/>
    <x v="0"/>
    <d v="2024-10-25T00:00:00"/>
    <d v="2024-12-17T00:00:00"/>
    <n v="3"/>
    <n v="164.97210000000001"/>
    <n v="434.58"/>
    <n v="10"/>
    <n v="556.07600000000002"/>
  </r>
  <r>
    <s v="Brand ABC TDM"/>
    <x v="2"/>
    <s v="Womens"/>
    <x v="13"/>
    <s v="B8A5V-WB57"/>
    <x v="44"/>
    <s v="S"/>
    <x v="0"/>
    <d v="2024-10-25T00:00:00"/>
    <d v="2024-12-06T00:00:00"/>
    <n v="3"/>
    <n v="165.2191"/>
    <n v="434.57"/>
    <n v="7"/>
    <n v="391.43299999999999"/>
  </r>
  <r>
    <s v="Brand ABC TDM"/>
    <x v="2"/>
    <s v="Womens"/>
    <x v="13"/>
    <s v="B8A5V-WB57"/>
    <x v="44"/>
    <s v="XL"/>
    <x v="0"/>
    <d v="2024-10-26T00:00:00"/>
    <d v="2024-10-26T00:00:00"/>
    <n v="0"/>
    <n v="0"/>
    <n v="0"/>
    <n v="4"/>
    <n v="219.19159999999999"/>
  </r>
  <r>
    <s v="Brand ABC TDM"/>
    <x v="2"/>
    <s v="Womens"/>
    <x v="13"/>
    <s v="B8A5V-WB57"/>
    <x v="44"/>
    <s v="XS"/>
    <x v="0"/>
    <d v="2024-10-25T00:00:00"/>
    <d v="2024-10-25T00:00:00"/>
    <n v="0"/>
    <n v="0"/>
    <n v="0"/>
    <n v="4"/>
    <n v="219.19159999999999"/>
  </r>
  <r>
    <s v="Brand ABC TDM"/>
    <x v="2"/>
    <s v="Womens"/>
    <x v="13"/>
    <s v="B8A5X-GBCN"/>
    <x v="44"/>
    <s v="L"/>
    <x v="0"/>
    <d v="2024-10-26T00:00:00"/>
    <d v="2024-10-26T00:00:00"/>
    <n v="0"/>
    <n v="0"/>
    <n v="0"/>
    <n v="6"/>
    <n v="257.0172"/>
  </r>
  <r>
    <s v="Brand ABC TDM"/>
    <x v="2"/>
    <s v="Womens"/>
    <x v="13"/>
    <s v="B8A5X-GBCN"/>
    <x v="44"/>
    <s v="M"/>
    <x v="0"/>
    <d v="2024-10-26T00:00:00"/>
    <d v="2024-10-26T00:00:00"/>
    <n v="0"/>
    <n v="0"/>
    <n v="0"/>
    <n v="7"/>
    <n v="299.85340000000002"/>
  </r>
  <r>
    <s v="Brand ABC TDM"/>
    <x v="2"/>
    <s v="Womens"/>
    <x v="13"/>
    <s v="B8A5X-GBCN"/>
    <x v="44"/>
    <s v="S"/>
    <x v="0"/>
    <d v="2024-10-26T00:00:00"/>
    <d v="2024-11-19T00:00:00"/>
    <n v="1"/>
    <n v="42.836199999999998"/>
    <n v="119.14"/>
    <n v="5"/>
    <n v="214.18100000000001"/>
  </r>
  <r>
    <s v="Brand ABC TDM"/>
    <x v="2"/>
    <s v="Womens"/>
    <x v="13"/>
    <s v="B8A5X-GBCN"/>
    <x v="44"/>
    <s v="XL"/>
    <x v="0"/>
    <d v="2024-10-26T00:00:00"/>
    <d v="2024-10-26T00:00:00"/>
    <n v="0"/>
    <n v="0"/>
    <n v="0"/>
    <n v="1"/>
    <n v="42.836199999999998"/>
  </r>
  <r>
    <s v="Brand ABC TDM"/>
    <x v="2"/>
    <s v="Womens"/>
    <x v="13"/>
    <s v="B8A5X-GBCN"/>
    <x v="44"/>
    <s v="XS"/>
    <x v="0"/>
    <d v="2024-10-26T00:00:00"/>
    <d v="2024-10-26T00:00:00"/>
    <n v="0"/>
    <n v="0"/>
    <n v="0"/>
    <n v="3"/>
    <n v="128.5086"/>
  </r>
  <r>
    <s v="Brand ABC TDM"/>
    <x v="2"/>
    <s v="Womens"/>
    <x v="13"/>
    <s v="B8A5Y-BB2J"/>
    <x v="44"/>
    <s v="L"/>
    <x v="0"/>
    <d v="2024-10-26T00:00:00"/>
    <d v="2024-10-26T00:00:00"/>
    <n v="0"/>
    <n v="0"/>
    <n v="0"/>
    <n v="6"/>
    <n v="257.0172"/>
  </r>
  <r>
    <s v="Brand ABC TDM"/>
    <x v="2"/>
    <s v="Womens"/>
    <x v="13"/>
    <s v="B8A5Y-BB2J"/>
    <x v="44"/>
    <s v="M"/>
    <x v="0"/>
    <d v="2024-10-26T00:00:00"/>
    <d v="2024-11-25T00:00:00"/>
    <n v="5"/>
    <n v="215.29490000000001"/>
    <n v="565.14"/>
    <n v="3"/>
    <n v="129.6225"/>
  </r>
  <r>
    <s v="Brand ABC TDM"/>
    <x v="2"/>
    <s v="Womens"/>
    <x v="13"/>
    <s v="B8A5Y-BB2J"/>
    <x v="44"/>
    <s v="S"/>
    <x v="0"/>
    <d v="2024-10-26T00:00:00"/>
    <d v="2024-10-26T00:00:00"/>
    <n v="3"/>
    <n v="128.5086"/>
    <n v="331.71"/>
    <n v="1"/>
    <n v="42.836199999999998"/>
  </r>
  <r>
    <s v="Brand ABC TDM"/>
    <x v="2"/>
    <s v="Womens"/>
    <x v="13"/>
    <s v="B8A5Y-BB2J"/>
    <x v="44"/>
    <s v="XL"/>
    <x v="0"/>
    <d v="2024-10-26T00:00:00"/>
    <d v="2024-10-26T00:00:00"/>
    <n v="0"/>
    <n v="0"/>
    <n v="0"/>
    <n v="2"/>
    <n v="85.672399999999996"/>
  </r>
  <r>
    <s v="Brand ABC TDM"/>
    <x v="2"/>
    <s v="Womens"/>
    <x v="13"/>
    <s v="B8A5Y-BB2J"/>
    <x v="44"/>
    <s v="XS"/>
    <x v="0"/>
    <d v="2024-10-26T00:00:00"/>
    <d v="2024-10-26T00:00:00"/>
    <n v="1"/>
    <n v="42.836199999999998"/>
    <n v="110.57"/>
    <n v="0"/>
    <n v="0"/>
  </r>
  <r>
    <s v="Brand ABC TDM"/>
    <x v="2"/>
    <s v="Womens"/>
    <x v="13"/>
    <s v="B8A5Y-WB57"/>
    <x v="44"/>
    <s v="S"/>
    <x v="0"/>
    <d v="2024-11-25T00:00:00"/>
    <d v="2024-11-25T00:00:00"/>
    <n v="0"/>
    <n v="0"/>
    <n v="0"/>
    <n v="2"/>
    <n v="90.127399999999994"/>
  </r>
  <r>
    <s v="Brand ABC TDM"/>
    <x v="2"/>
    <s v="Womens"/>
    <x v="13"/>
    <s v="B8A6A-BB2J"/>
    <x v="44"/>
    <s v="L"/>
    <x v="0"/>
    <d v="2024-10-25T00:00:00"/>
    <d v="2024-12-18T00:00:00"/>
    <n v="4"/>
    <n v="192.6465"/>
    <n v="510.85"/>
    <n v="8"/>
    <n v="390.27760000000001"/>
  </r>
  <r>
    <s v="Brand ABC TDM"/>
    <x v="2"/>
    <s v="Womens"/>
    <x v="13"/>
    <s v="B8A6A-BB2J"/>
    <x v="44"/>
    <s v="M"/>
    <x v="0"/>
    <d v="2024-10-25T00:00:00"/>
    <d v="2024-12-14T00:00:00"/>
    <n v="27"/>
    <n v="1330.3285000000001"/>
    <n v="3434.05"/>
    <n v="10"/>
    <n v="502.80599999999998"/>
  </r>
  <r>
    <s v="Brand ABC TDM"/>
    <x v="2"/>
    <s v="Womens"/>
    <x v="13"/>
    <s v="B8A6A-BB2J"/>
    <x v="44"/>
    <s v="S"/>
    <x v="0"/>
    <d v="2024-10-25T00:00:00"/>
    <d v="2024-12-09T00:00:00"/>
    <n v="27"/>
    <n v="1336.825"/>
    <n v="3412.79"/>
    <n v="7"/>
    <n v="352.8476"/>
  </r>
  <r>
    <s v="Brand ABC TDM"/>
    <x v="2"/>
    <s v="Womens"/>
    <x v="13"/>
    <s v="B8A6A-BB2J"/>
    <x v="44"/>
    <s v="XL"/>
    <x v="0"/>
    <d v="2024-10-26T00:00:00"/>
    <d v="2024-12-09T00:00:00"/>
    <n v="1"/>
    <n v="47.941499999999998"/>
    <n v="127.72"/>
    <n v="4"/>
    <n v="194.2448"/>
  </r>
  <r>
    <s v="Brand ABC TDM"/>
    <x v="2"/>
    <s v="Womens"/>
    <x v="13"/>
    <s v="B8A6A-BB2J"/>
    <x v="44"/>
    <s v="XS"/>
    <x v="0"/>
    <d v="2024-10-25T00:00:00"/>
    <d v="2024-12-12T00:00:00"/>
    <n v="11"/>
    <n v="540.27750000000003"/>
    <n v="1419.04"/>
    <n v="4"/>
    <n v="200.6088"/>
  </r>
  <r>
    <s v="Brand ABC TDM"/>
    <x v="2"/>
    <s v="Womens"/>
    <x v="13"/>
    <s v="B8A6A-PBZR"/>
    <x v="44"/>
    <s v="L"/>
    <x v="1"/>
    <d v="2024-10-28T00:00:00"/>
    <d v="2024-12-04T00:00:00"/>
    <n v="6"/>
    <n v="290.89100000000002"/>
    <n v="766.27"/>
    <n v="6"/>
    <n v="299.19900000000001"/>
  </r>
  <r>
    <s v="Brand ABC TDM"/>
    <x v="2"/>
    <s v="Womens"/>
    <x v="13"/>
    <s v="B8A6A-PBZR"/>
    <x v="44"/>
    <s v="M"/>
    <x v="1"/>
    <d v="2024-10-28T00:00:00"/>
    <d v="2024-12-21T00:00:00"/>
    <n v="6"/>
    <n v="292.0514"/>
    <n v="766.3"/>
    <n v="7"/>
    <n v="345.96730000000002"/>
  </r>
  <r>
    <s v="Brand ABC TDM"/>
    <x v="2"/>
    <s v="Womens"/>
    <x v="13"/>
    <s v="B8A6A-PBZR"/>
    <x v="44"/>
    <s v="S"/>
    <x v="1"/>
    <d v="2024-10-28T00:00:00"/>
    <d v="2024-12-21T00:00:00"/>
    <n v="8"/>
    <n v="392.1771"/>
    <n v="1035.8900000000001"/>
    <n v="5"/>
    <n v="250.82550000000001"/>
  </r>
  <r>
    <s v="Brand ABC TDM"/>
    <x v="2"/>
    <s v="Womens"/>
    <x v="13"/>
    <s v="B8A6A-PBZR"/>
    <x v="44"/>
    <s v="XS"/>
    <x v="1"/>
    <d v="2024-10-28T00:00:00"/>
    <d v="2024-12-21T00:00:00"/>
    <n v="2"/>
    <n v="95.579099999999997"/>
    <n v="255.42"/>
    <n v="4"/>
    <n v="199.46559999999999"/>
  </r>
  <r>
    <s v="Brand ABC TDM"/>
    <x v="2"/>
    <s v="Womens"/>
    <x v="13"/>
    <s v="B8A6A-TBNH"/>
    <x v="44"/>
    <s v="L"/>
    <x v="0"/>
    <d v="2024-10-26T00:00:00"/>
    <d v="2024-10-26T00:00:00"/>
    <n v="3"/>
    <n v="143.90520000000001"/>
    <n v="383.15"/>
    <n v="3"/>
    <n v="143.90520000000001"/>
  </r>
  <r>
    <s v="Brand ABC TDM"/>
    <x v="2"/>
    <s v="Womens"/>
    <x v="13"/>
    <s v="B8A6A-TBNH"/>
    <x v="44"/>
    <s v="M"/>
    <x v="0"/>
    <d v="2024-10-26T00:00:00"/>
    <d v="2024-10-26T00:00:00"/>
    <n v="3"/>
    <n v="143.90520000000001"/>
    <n v="383.14"/>
    <n v="4"/>
    <n v="191.87360000000001"/>
  </r>
  <r>
    <s v="Brand ABC TDM"/>
    <x v="2"/>
    <s v="Womens"/>
    <x v="13"/>
    <s v="B8A6A-TBNH"/>
    <x v="44"/>
    <s v="S"/>
    <x v="0"/>
    <d v="2024-10-26T00:00:00"/>
    <d v="2024-12-13T00:00:00"/>
    <n v="2"/>
    <n v="96.435699999999997"/>
    <n v="255.42"/>
    <n v="5"/>
    <n v="244.33199999999999"/>
  </r>
  <r>
    <s v="Brand ABC TDM"/>
    <x v="2"/>
    <s v="Womens"/>
    <x v="13"/>
    <s v="B8A6A-TBNH"/>
    <x v="44"/>
    <s v="XS"/>
    <x v="0"/>
    <d v="2024-10-26T00:00:00"/>
    <d v="2024-10-26T00:00:00"/>
    <n v="0"/>
    <n v="0"/>
    <n v="0"/>
    <n v="3"/>
    <n v="143.90520000000001"/>
  </r>
  <r>
    <s v="Brand ABC TDM"/>
    <x v="2"/>
    <s v="Womens"/>
    <x v="13"/>
    <s v="B8A9D-KB0V"/>
    <x v="44"/>
    <s v="L"/>
    <x v="0"/>
    <d v="2024-05-20T00:00:00"/>
    <d v="2024-11-09T00:00:00"/>
    <n v="1"/>
    <n v="47.968400000000003"/>
    <n v="127.71"/>
    <n v="0"/>
    <n v="0"/>
  </r>
  <r>
    <s v="Brand ABC TDM"/>
    <x v="2"/>
    <s v="Womens"/>
    <x v="13"/>
    <s v="B8A9D-KB0V"/>
    <x v="44"/>
    <s v="M"/>
    <x v="0"/>
    <d v="2024-05-20T00:00:00"/>
    <d v="2024-11-09T00:00:00"/>
    <n v="7"/>
    <n v="335.77879999999999"/>
    <n v="908.2"/>
    <n v="0"/>
    <n v="0"/>
  </r>
  <r>
    <s v="Brand ABC TDM"/>
    <x v="2"/>
    <s v="Womens"/>
    <x v="13"/>
    <s v="B8A9D-KB0V"/>
    <x v="44"/>
    <s v="S"/>
    <x v="0"/>
    <d v="2024-05-20T00:00:00"/>
    <d v="2024-11-14T00:00:00"/>
    <n v="9"/>
    <n v="431.71559999999999"/>
    <n v="1149.3900000000001"/>
    <n v="0"/>
    <n v="0"/>
  </r>
  <r>
    <s v="Brand ABC TDM"/>
    <x v="2"/>
    <s v="Womens"/>
    <x v="13"/>
    <s v="B8A9D-KB0V"/>
    <x v="44"/>
    <s v="XS"/>
    <x v="0"/>
    <d v="2024-05-20T00:00:00"/>
    <d v="2024-11-09T00:00:00"/>
    <n v="2"/>
    <n v="95.936800000000005"/>
    <n v="255.42"/>
    <n v="0"/>
    <n v="0"/>
  </r>
  <r>
    <s v="Brand ABC TDM"/>
    <x v="2"/>
    <s v="Womens"/>
    <x v="13"/>
    <s v="B8A9D-WB57"/>
    <x v="44"/>
    <s v="S"/>
    <x v="0"/>
    <d v="2024-11-25T00:00:00"/>
    <d v="2024-11-25T00:00:00"/>
    <n v="0"/>
    <n v="0"/>
    <n v="0"/>
    <n v="2"/>
    <n v="100.9256"/>
  </r>
  <r>
    <s v="Brand ABC TDM"/>
    <x v="2"/>
    <s v="Womens"/>
    <x v="13"/>
    <s v="B9A8C-UCDW"/>
    <x v="43"/>
    <s v="L"/>
    <x v="1"/>
    <d v="2024-10-28T00:00:00"/>
    <d v="2024-10-28T00:00:00"/>
    <n v="1"/>
    <n v="65.022000000000006"/>
    <n v="179.14"/>
    <n v="0"/>
    <n v="0"/>
  </r>
  <r>
    <s v="Brand ABC TDM"/>
    <x v="2"/>
    <s v="Womens"/>
    <x v="13"/>
    <s v="B9A8C-UCDW"/>
    <x v="43"/>
    <s v="M"/>
    <x v="1"/>
    <d v="2024-10-28T00:00:00"/>
    <d v="2024-12-04T00:00:00"/>
    <n v="5"/>
    <n v="328.49099999999999"/>
    <n v="865.86"/>
    <n v="1"/>
    <n v="67.022999999999996"/>
  </r>
  <r>
    <s v="Brand ABC TDM"/>
    <x v="2"/>
    <s v="Womens"/>
    <x v="13"/>
    <s v="B9A8C-UCDW"/>
    <x v="43"/>
    <s v="S"/>
    <x v="1"/>
    <d v="2024-10-28T00:00:00"/>
    <d v="2024-12-04T00:00:00"/>
    <n v="5"/>
    <n v="330.30340000000001"/>
    <n v="875.79"/>
    <n v="1"/>
    <n v="67.364500000000007"/>
  </r>
  <r>
    <s v="Brand ABC TDM"/>
    <x v="2"/>
    <s v="Womens"/>
    <x v="14"/>
    <s v="B1A3D-EBTF"/>
    <x v="18"/>
    <s v="L"/>
    <x v="0"/>
    <d v="2024-10-25T00:00:00"/>
    <d v="2024-11-25T00:00:00"/>
    <n v="4"/>
    <n v="239.71860000000001"/>
    <n v="648"/>
    <n v="7"/>
    <n v="422.62220000000002"/>
  </r>
  <r>
    <s v="Brand ABC TDM"/>
    <x v="2"/>
    <s v="Womens"/>
    <x v="14"/>
    <s v="B1A3D-EBTF"/>
    <x v="18"/>
    <s v="M"/>
    <x v="0"/>
    <d v="2024-10-25T00:00:00"/>
    <d v="2024-12-04T00:00:00"/>
    <n v="16"/>
    <n v="968.37450000000001"/>
    <n v="2600.9499999999998"/>
    <n v="7"/>
    <n v="438.04739999999998"/>
  </r>
  <r>
    <s v="Brand ABC TDM"/>
    <x v="2"/>
    <s v="Womens"/>
    <x v="14"/>
    <s v="B1A3D-EBTF"/>
    <x v="18"/>
    <s v="S"/>
    <x v="0"/>
    <d v="2024-10-25T00:00:00"/>
    <d v="2024-11-30T00:00:00"/>
    <n v="18"/>
    <n v="1091.1805999999999"/>
    <n v="2934"/>
    <n v="6"/>
    <n v="378.267"/>
  </r>
  <r>
    <s v="Brand ABC TDM"/>
    <x v="2"/>
    <s v="Womens"/>
    <x v="14"/>
    <s v="B1A3D-EBTF"/>
    <x v="18"/>
    <s v="XL"/>
    <x v="0"/>
    <d v="2024-10-25T00:00:00"/>
    <d v="2024-12-07T00:00:00"/>
    <n v="0"/>
    <n v="0"/>
    <n v="0"/>
    <n v="4"/>
    <n v="242.79480000000001"/>
  </r>
  <r>
    <s v="Brand ABC TDM"/>
    <x v="2"/>
    <s v="Womens"/>
    <x v="14"/>
    <s v="B1A3D-EBTF"/>
    <x v="18"/>
    <s v="XS"/>
    <x v="0"/>
    <d v="2024-10-25T00:00:00"/>
    <d v="2024-11-22T00:00:00"/>
    <n v="8"/>
    <n v="481.7722"/>
    <n v="1296"/>
    <n v="4"/>
    <n v="249.84399999999999"/>
  </r>
  <r>
    <s v="Brand ABC TDM"/>
    <x v="2"/>
    <s v="Womens"/>
    <x v="14"/>
    <s v="B1B7S-BB2J"/>
    <x v="40"/>
    <s v="L"/>
    <x v="1"/>
    <d v="2024-10-26T00:00:00"/>
    <d v="2024-11-26T00:00:00"/>
    <n v="2"/>
    <n v="119.7796"/>
    <n v="324"/>
    <n v="1"/>
    <n v="60.927900000000001"/>
  </r>
  <r>
    <s v="Brand ABC TDM"/>
    <x v="2"/>
    <s v="Womens"/>
    <x v="14"/>
    <s v="B1B7S-BB2J"/>
    <x v="40"/>
    <s v="M"/>
    <x v="1"/>
    <d v="2024-10-26T00:00:00"/>
    <d v="2024-11-20T00:00:00"/>
    <n v="2"/>
    <n v="120.3909"/>
    <n v="288"/>
    <n v="1"/>
    <n v="60.455199999999998"/>
  </r>
  <r>
    <s v="Brand ABC TDM"/>
    <x v="2"/>
    <s v="Womens"/>
    <x v="14"/>
    <s v="B1B7S-BB2J"/>
    <x v="40"/>
    <s v="S"/>
    <x v="1"/>
    <d v="2024-10-26T00:00:00"/>
    <d v="2024-11-26T00:00:00"/>
    <n v="2"/>
    <n v="119.7796"/>
    <n v="324"/>
    <n v="1"/>
    <n v="61.1355"/>
  </r>
  <r>
    <s v="Brand ABC TDM"/>
    <x v="2"/>
    <s v="Womens"/>
    <x v="14"/>
    <s v="B1B7S-BB2J"/>
    <x v="40"/>
    <s v="XS"/>
    <x v="1"/>
    <d v="2024-10-26T00:00:00"/>
    <d v="2024-11-26T00:00:00"/>
    <n v="1"/>
    <n v="59.889800000000001"/>
    <n v="162"/>
    <n v="0"/>
    <n v="0"/>
  </r>
  <r>
    <s v="Brand ABC TDM"/>
    <x v="2"/>
    <s v="Womens"/>
    <x v="14"/>
    <s v="B1C5Q-BB67"/>
    <x v="20"/>
    <s v="L"/>
    <x v="1"/>
    <d v="2024-10-28T00:00:00"/>
    <d v="2024-10-28T00:00:00"/>
    <n v="0"/>
    <n v="0"/>
    <n v="0"/>
    <n v="5"/>
    <n v="273.78800000000001"/>
  </r>
  <r>
    <s v="Brand ABC TDM"/>
    <x v="2"/>
    <s v="Womens"/>
    <x v="14"/>
    <s v="B1C5Q-BB67"/>
    <x v="20"/>
    <s v="M"/>
    <x v="1"/>
    <d v="2024-10-28T00:00:00"/>
    <d v="2024-12-17T00:00:00"/>
    <n v="10"/>
    <n v="562.3596"/>
    <n v="1464.68"/>
    <n v="5"/>
    <n v="287.4785"/>
  </r>
  <r>
    <s v="Brand ABC TDM"/>
    <x v="2"/>
    <s v="Womens"/>
    <x v="14"/>
    <s v="B1C5Q-BB67"/>
    <x v="20"/>
    <s v="S"/>
    <x v="1"/>
    <d v="2024-10-28T00:00:00"/>
    <d v="2024-12-17T00:00:00"/>
    <n v="6"/>
    <n v="335.84219999999999"/>
    <n v="885.25"/>
    <n v="4"/>
    <n v="228.81880000000001"/>
  </r>
  <r>
    <s v="Brand ABC TDM"/>
    <x v="2"/>
    <s v="Womens"/>
    <x v="14"/>
    <s v="B1C5Q-BB67"/>
    <x v="20"/>
    <s v="XS"/>
    <x v="1"/>
    <d v="2024-10-28T00:00:00"/>
    <d v="2024-12-13T00:00:00"/>
    <n v="4"/>
    <n v="222.5898"/>
    <n v="595.53"/>
    <n v="3"/>
    <n v="171.39150000000001"/>
  </r>
  <r>
    <s v="Brand ABC TDM"/>
    <x v="2"/>
    <s v="Womens"/>
    <x v="14"/>
    <s v="B1C5Q-PB1M"/>
    <x v="20"/>
    <s v="L"/>
    <x v="1"/>
    <d v="2024-10-28T00:00:00"/>
    <d v="2024-12-12T00:00:00"/>
    <n v="2"/>
    <n v="110.0847"/>
    <n v="289.72000000000003"/>
    <n v="5"/>
    <n v="278.9135"/>
  </r>
  <r>
    <s v="Brand ABC TDM"/>
    <x v="2"/>
    <s v="Womens"/>
    <x v="14"/>
    <s v="B1C5Q-PB1M"/>
    <x v="20"/>
    <s v="M"/>
    <x v="1"/>
    <d v="2024-10-28T00:00:00"/>
    <d v="2024-12-17T00:00:00"/>
    <n v="2"/>
    <n v="109.51519999999999"/>
    <n v="289.70999999999998"/>
    <n v="5"/>
    <n v="279.483"/>
  </r>
  <r>
    <s v="Brand ABC TDM"/>
    <x v="2"/>
    <s v="Womens"/>
    <x v="14"/>
    <s v="B1C5Q-PB1M"/>
    <x v="20"/>
    <s v="S"/>
    <x v="1"/>
    <d v="2024-10-28T00:00:00"/>
    <d v="2024-12-13T00:00:00"/>
    <n v="4"/>
    <n v="221.87780000000001"/>
    <n v="579.44000000000005"/>
    <n v="4"/>
    <n v="227.5728"/>
  </r>
  <r>
    <s v="Brand ABC TDM"/>
    <x v="2"/>
    <s v="Womens"/>
    <x v="14"/>
    <s v="B1C5Q-PB1M"/>
    <x v="20"/>
    <s v="XS"/>
    <x v="1"/>
    <d v="2024-10-28T00:00:00"/>
    <d v="2024-12-06T00:00:00"/>
    <n v="3"/>
    <n v="166.17099999999999"/>
    <n v="434.58"/>
    <n v="1"/>
    <n v="55.706699999999998"/>
  </r>
  <r>
    <s v="Brand ABC TDM"/>
    <x v="2"/>
    <s v="Womens"/>
    <x v="14"/>
    <s v="B1C5W-BB29"/>
    <x v="42"/>
    <s v="L"/>
    <x v="2"/>
    <d v="2024-12-12T00:00:00"/>
    <d v="2024-12-12T00:00:00"/>
    <n v="0"/>
    <n v="0"/>
    <n v="0"/>
    <n v="5"/>
    <n v="342.01549999999997"/>
  </r>
  <r>
    <s v="Brand ABC TDM"/>
    <x v="2"/>
    <s v="Womens"/>
    <x v="14"/>
    <s v="B1C5W-BB29"/>
    <x v="42"/>
    <s v="M"/>
    <x v="2"/>
    <d v="2024-12-12T00:00:00"/>
    <d v="2024-12-21T00:00:00"/>
    <n v="0"/>
    <n v="0"/>
    <n v="0"/>
    <n v="5"/>
    <n v="342.01549999999997"/>
  </r>
  <r>
    <s v="Brand ABC TDM"/>
    <x v="2"/>
    <s v="Womens"/>
    <x v="14"/>
    <s v="B1C5W-BB29"/>
    <x v="42"/>
    <s v="S"/>
    <x v="2"/>
    <d v="2024-12-12T00:00:00"/>
    <d v="2024-12-18T00:00:00"/>
    <n v="0"/>
    <n v="0"/>
    <n v="0"/>
    <n v="4"/>
    <n v="273.61239999999998"/>
  </r>
  <r>
    <s v="Brand ABC TDM"/>
    <x v="2"/>
    <s v="Womens"/>
    <x v="14"/>
    <s v="B1C5W-BB29"/>
    <x v="42"/>
    <s v="XS"/>
    <x v="2"/>
    <d v="2024-12-12T00:00:00"/>
    <d v="2024-12-12T00:00:00"/>
    <n v="0"/>
    <n v="0"/>
    <n v="0"/>
    <n v="3"/>
    <n v="205.20930000000001"/>
  </r>
  <r>
    <s v="Brand ABC TDM"/>
    <x v="2"/>
    <s v="Womens"/>
    <x v="14"/>
    <s v="B1C5W-UCY1"/>
    <x v="42"/>
    <s v="L"/>
    <x v="2"/>
    <d v="2024-12-12T00:00:00"/>
    <d v="2024-12-20T00:00:00"/>
    <n v="0"/>
    <n v="0"/>
    <n v="0"/>
    <n v="5"/>
    <n v="342.01549999999997"/>
  </r>
  <r>
    <s v="Brand ABC TDM"/>
    <x v="2"/>
    <s v="Womens"/>
    <x v="14"/>
    <s v="B1C5W-UCY1"/>
    <x v="42"/>
    <s v="M"/>
    <x v="2"/>
    <d v="2024-12-12T00:00:00"/>
    <d v="2024-12-20T00:00:00"/>
    <n v="0"/>
    <n v="0"/>
    <n v="0"/>
    <n v="5"/>
    <n v="342.01549999999997"/>
  </r>
  <r>
    <s v="Brand ABC TDM"/>
    <x v="2"/>
    <s v="Womens"/>
    <x v="14"/>
    <s v="B1C5W-UCY1"/>
    <x v="42"/>
    <s v="S"/>
    <x v="2"/>
    <d v="2024-12-12T00:00:00"/>
    <d v="2024-12-21T00:00:00"/>
    <n v="0"/>
    <n v="0"/>
    <n v="0"/>
    <n v="4"/>
    <n v="273.61239999999998"/>
  </r>
  <r>
    <s v="Brand ABC TDM"/>
    <x v="2"/>
    <s v="Womens"/>
    <x v="14"/>
    <s v="B1C5W-UCY1"/>
    <x v="42"/>
    <s v="XS"/>
    <x v="2"/>
    <d v="2024-12-12T00:00:00"/>
    <d v="2024-12-21T00:00:00"/>
    <n v="0"/>
    <n v="0"/>
    <n v="0"/>
    <n v="3"/>
    <n v="205.20930000000001"/>
  </r>
  <r>
    <s v="Brand ABC TDM"/>
    <x v="2"/>
    <s v="Womens"/>
    <x v="14"/>
    <s v="B4A6W-BBF3"/>
    <x v="18"/>
    <s v="L"/>
    <x v="0"/>
    <d v="2024-05-20T00:00:00"/>
    <d v="2024-11-30T00:00:00"/>
    <n v="6"/>
    <n v="307.71769999999998"/>
    <n v="836.96"/>
    <n v="8"/>
    <n v="421.4744"/>
  </r>
  <r>
    <s v="Brand ABC TDM"/>
    <x v="2"/>
    <s v="Womens"/>
    <x v="14"/>
    <s v="B4A6W-BBF3"/>
    <x v="18"/>
    <s v="M"/>
    <x v="0"/>
    <d v="2024-05-20T00:00:00"/>
    <d v="2024-12-20T00:00:00"/>
    <n v="14"/>
    <n v="773.77909999999997"/>
    <n v="2044.09"/>
    <n v="7"/>
    <n v="411.80579999999998"/>
  </r>
  <r>
    <s v="Brand ABC TDM"/>
    <x v="2"/>
    <s v="Womens"/>
    <x v="14"/>
    <s v="B4A6W-BBF3"/>
    <x v="18"/>
    <s v="S"/>
    <x v="0"/>
    <d v="2024-05-20T00:00:00"/>
    <d v="2024-12-21T00:00:00"/>
    <n v="17"/>
    <n v="975.31479999999999"/>
    <n v="2446.4899999999998"/>
    <n v="5"/>
    <n v="302.70749999999998"/>
  </r>
  <r>
    <s v="Brand ABC TDM"/>
    <x v="2"/>
    <s v="Womens"/>
    <x v="14"/>
    <s v="B4A6W-BBF3"/>
    <x v="18"/>
    <s v="XS"/>
    <x v="0"/>
    <d v="2024-05-20T00:00:00"/>
    <d v="2024-12-18T00:00:00"/>
    <n v="13"/>
    <n v="696.07349999999997"/>
    <n v="1899.22"/>
    <n v="3"/>
    <n v="167.2689"/>
  </r>
  <r>
    <s v="Brand ABC TDM"/>
    <x v="2"/>
    <s v="Womens"/>
    <x v="14"/>
    <s v="B4A6W-UCW6"/>
    <x v="18"/>
    <s v="L"/>
    <x v="1"/>
    <d v="2024-10-26T00:00:00"/>
    <d v="2024-12-21T00:00:00"/>
    <n v="1"/>
    <n v="51.322600000000001"/>
    <n v="144.86000000000001"/>
    <n v="5"/>
    <n v="266.05149999999998"/>
  </r>
  <r>
    <s v="Brand ABC TDM"/>
    <x v="2"/>
    <s v="Womens"/>
    <x v="14"/>
    <s v="B4A6W-UCW6"/>
    <x v="18"/>
    <s v="M"/>
    <x v="1"/>
    <d v="2024-10-26T00:00:00"/>
    <d v="2024-12-21T00:00:00"/>
    <n v="1"/>
    <n v="51.322600000000001"/>
    <n v="144.85"/>
    <n v="5"/>
    <n v="263.80149999999998"/>
  </r>
  <r>
    <s v="Brand ABC TDM"/>
    <x v="2"/>
    <s v="Womens"/>
    <x v="14"/>
    <s v="B4A6W-UCW6"/>
    <x v="18"/>
    <s v="S"/>
    <x v="1"/>
    <d v="2024-10-26T00:00:00"/>
    <d v="2024-12-21T00:00:00"/>
    <n v="2"/>
    <n v="102.3116"/>
    <n v="289.70999999999998"/>
    <n v="5"/>
    <n v="264.95299999999997"/>
  </r>
  <r>
    <s v="Brand ABC TDM"/>
    <x v="2"/>
    <s v="Womens"/>
    <x v="14"/>
    <s v="B4A6W-UCW6"/>
    <x v="18"/>
    <s v="XS"/>
    <x v="1"/>
    <d v="2024-10-26T00:00:00"/>
    <d v="2024-12-21T00:00:00"/>
    <n v="1"/>
    <n v="51.322600000000001"/>
    <n v="144.86000000000001"/>
    <n v="3"/>
    <n v="158.8836"/>
  </r>
  <r>
    <s v="Brand ABC TDM"/>
    <x v="2"/>
    <s v="Womens"/>
    <x v="14"/>
    <s v="B4A6W-UCW7"/>
    <x v="18"/>
    <s v="L"/>
    <x v="2"/>
    <d v="2024-10-26T00:00:00"/>
    <d v="2024-10-26T00:00:00"/>
    <n v="0"/>
    <n v="0"/>
    <n v="0"/>
    <n v="5"/>
    <n v="256.613"/>
  </r>
  <r>
    <s v="Brand ABC TDM"/>
    <x v="2"/>
    <s v="Womens"/>
    <x v="14"/>
    <s v="B4A6W-UCW7"/>
    <x v="18"/>
    <s v="M"/>
    <x v="2"/>
    <d v="2024-10-26T00:00:00"/>
    <d v="2024-11-23T00:00:00"/>
    <n v="0"/>
    <n v="0"/>
    <n v="0"/>
    <n v="5"/>
    <n v="259.28199999999998"/>
  </r>
  <r>
    <s v="Brand ABC TDM"/>
    <x v="2"/>
    <s v="Womens"/>
    <x v="14"/>
    <s v="B4A6W-UCW7"/>
    <x v="18"/>
    <s v="S"/>
    <x v="2"/>
    <d v="2024-10-26T00:00:00"/>
    <d v="2024-12-04T00:00:00"/>
    <n v="0"/>
    <n v="0"/>
    <n v="0"/>
    <n v="4"/>
    <n v="212.9632"/>
  </r>
  <r>
    <s v="Brand ABC TDM"/>
    <x v="2"/>
    <s v="Womens"/>
    <x v="14"/>
    <s v="B4A6W-UCW7"/>
    <x v="18"/>
    <s v="XS"/>
    <x v="2"/>
    <d v="2024-10-26T00:00:00"/>
    <d v="2024-11-30T00:00:00"/>
    <n v="0"/>
    <n v="0"/>
    <n v="0"/>
    <n v="6"/>
    <n v="322.76220000000001"/>
  </r>
  <r>
    <s v="Brand ABC TDM"/>
    <x v="2"/>
    <s v="Womens"/>
    <x v="14"/>
    <s v="B6A3Q-BCBF"/>
    <x v="36"/>
    <s v="L"/>
    <x v="0"/>
    <d v="2024-12-07T00:00:00"/>
    <d v="2024-12-07T00:00:00"/>
    <n v="0"/>
    <n v="0"/>
    <n v="0"/>
    <n v="5"/>
    <n v="180.042"/>
  </r>
  <r>
    <s v="Brand ABC TDM"/>
    <x v="2"/>
    <s v="Womens"/>
    <x v="14"/>
    <s v="B6A3Q-BCBF"/>
    <x v="36"/>
    <s v="M"/>
    <x v="0"/>
    <d v="2024-12-07T00:00:00"/>
    <d v="2024-12-07T00:00:00"/>
    <n v="0"/>
    <n v="0"/>
    <n v="0"/>
    <n v="5"/>
    <n v="180.042"/>
  </r>
  <r>
    <s v="Brand ABC TDM"/>
    <x v="2"/>
    <s v="Womens"/>
    <x v="14"/>
    <s v="B6A3Q-BCBF"/>
    <x v="36"/>
    <s v="S"/>
    <x v="0"/>
    <d v="2024-12-07T00:00:00"/>
    <d v="2024-12-12T00:00:00"/>
    <n v="4"/>
    <n v="144.03360000000001"/>
    <n v="384.1"/>
    <n v="3"/>
    <n v="108.0252"/>
  </r>
  <r>
    <s v="Brand ABC TDM"/>
    <x v="2"/>
    <s v="Womens"/>
    <x v="14"/>
    <s v="B6A3Q-BCBF"/>
    <x v="36"/>
    <s v="XS"/>
    <x v="0"/>
    <d v="2024-12-07T00:00:00"/>
    <d v="2024-12-11T00:00:00"/>
    <n v="2"/>
    <n v="72.016800000000003"/>
    <n v="186.86"/>
    <n v="3"/>
    <n v="108.0252"/>
  </r>
  <r>
    <s v="Brand ABC TDM"/>
    <x v="2"/>
    <s v="Womens"/>
    <x v="14"/>
    <s v="B6A3Q-KB7B"/>
    <x v="36"/>
    <s v="L"/>
    <x v="1"/>
    <d v="2024-12-07T00:00:00"/>
    <d v="2024-12-07T00:00:00"/>
    <n v="0"/>
    <n v="0"/>
    <n v="0"/>
    <n v="5"/>
    <n v="180.042"/>
  </r>
  <r>
    <s v="Brand ABC TDM"/>
    <x v="2"/>
    <s v="Womens"/>
    <x v="14"/>
    <s v="B6A3Q-KB7B"/>
    <x v="36"/>
    <s v="M"/>
    <x v="1"/>
    <d v="2024-12-07T00:00:00"/>
    <d v="2024-12-07T00:00:00"/>
    <n v="0"/>
    <n v="0"/>
    <n v="0"/>
    <n v="5"/>
    <n v="180.042"/>
  </r>
  <r>
    <s v="Brand ABC TDM"/>
    <x v="2"/>
    <s v="Womens"/>
    <x v="14"/>
    <s v="B6A3Q-KB7B"/>
    <x v="36"/>
    <s v="S"/>
    <x v="1"/>
    <d v="2024-12-07T00:00:00"/>
    <d v="2024-12-07T00:00:00"/>
    <n v="0"/>
    <n v="0"/>
    <n v="0"/>
    <n v="4"/>
    <n v="144.03360000000001"/>
  </r>
  <r>
    <s v="Brand ABC TDM"/>
    <x v="2"/>
    <s v="Womens"/>
    <x v="14"/>
    <s v="B6A3Q-KB7B"/>
    <x v="36"/>
    <s v="XS"/>
    <x v="1"/>
    <d v="2024-12-07T00:00:00"/>
    <d v="2024-12-07T00:00:00"/>
    <n v="0"/>
    <n v="0"/>
    <n v="0"/>
    <n v="3"/>
    <n v="108.0252"/>
  </r>
  <r>
    <s v="Brand ABC TDM"/>
    <x v="2"/>
    <s v="Womens"/>
    <x v="14"/>
    <s v="B6A3Q-WB57"/>
    <x v="36"/>
    <s v="L"/>
    <x v="0"/>
    <d v="2024-12-07T00:00:00"/>
    <d v="2024-12-07T00:00:00"/>
    <n v="0"/>
    <n v="0"/>
    <n v="0"/>
    <n v="5"/>
    <n v="180.042"/>
  </r>
  <r>
    <s v="Brand ABC TDM"/>
    <x v="2"/>
    <s v="Womens"/>
    <x v="14"/>
    <s v="B6A3Q-WB57"/>
    <x v="36"/>
    <s v="M"/>
    <x v="0"/>
    <d v="2024-12-07T00:00:00"/>
    <d v="2024-12-07T00:00:00"/>
    <n v="0"/>
    <n v="0"/>
    <n v="0"/>
    <n v="5"/>
    <n v="180.042"/>
  </r>
  <r>
    <s v="Brand ABC TDM"/>
    <x v="2"/>
    <s v="Womens"/>
    <x v="14"/>
    <s v="B6A3Q-WB57"/>
    <x v="36"/>
    <s v="S"/>
    <x v="0"/>
    <d v="2024-12-07T00:00:00"/>
    <d v="2024-12-12T00:00:00"/>
    <n v="2"/>
    <n v="72.016800000000003"/>
    <n v="186.85"/>
    <n v="4"/>
    <n v="144.03360000000001"/>
  </r>
  <r>
    <s v="Brand ABC TDM"/>
    <x v="2"/>
    <s v="Womens"/>
    <x v="14"/>
    <s v="B6A3Q-WB57"/>
    <x v="36"/>
    <s v="XS"/>
    <x v="0"/>
    <d v="2024-12-07T00:00:00"/>
    <d v="2024-12-07T00:00:00"/>
    <n v="0"/>
    <n v="0"/>
    <n v="0"/>
    <n v="3"/>
    <n v="108.0252"/>
  </r>
  <r>
    <s v="Brand ABC TDM"/>
    <x v="2"/>
    <s v="Womens"/>
    <x v="14"/>
    <s v="B7A1Q-BB2J"/>
    <x v="39"/>
    <s v="XS"/>
    <x v="3"/>
    <d v="2024-11-07T00:00:00"/>
    <d v="2024-11-07T00:00:00"/>
    <n v="0"/>
    <n v="0"/>
    <n v="0"/>
    <n v="1"/>
    <n v="59.930199999999999"/>
  </r>
  <r>
    <s v="Brand ABC TDM"/>
    <x v="2"/>
    <s v="Womens"/>
    <x v="14"/>
    <s v="B7A2S-ECJH"/>
    <x v="37"/>
    <s v="L"/>
    <x v="1"/>
    <d v="2024-10-28T00:00:00"/>
    <d v="2024-12-06T00:00:00"/>
    <n v="3"/>
    <n v="145.1798"/>
    <n v="383.13"/>
    <n v="5"/>
    <n v="245.72149999999999"/>
  </r>
  <r>
    <s v="Brand ABC TDM"/>
    <x v="2"/>
    <s v="Womens"/>
    <x v="14"/>
    <s v="B7A2S-ECJH"/>
    <x v="37"/>
    <s v="M"/>
    <x v="1"/>
    <d v="2024-10-28T00:00:00"/>
    <d v="2024-12-10T00:00:00"/>
    <n v="6"/>
    <n v="293.00069999999999"/>
    <n v="766.26"/>
    <n v="6"/>
    <n v="299.58179999999999"/>
  </r>
  <r>
    <s v="Brand ABC TDM"/>
    <x v="2"/>
    <s v="Womens"/>
    <x v="14"/>
    <s v="B7A2S-ECJH"/>
    <x v="37"/>
    <s v="S"/>
    <x v="1"/>
    <d v="2024-10-28T00:00:00"/>
    <d v="2024-12-10T00:00:00"/>
    <n v="8"/>
    <n v="394.18189999999998"/>
    <n v="1007.5"/>
    <n v="4"/>
    <n v="200.89279999999999"/>
  </r>
  <r>
    <s v="Brand ABC TDM"/>
    <x v="2"/>
    <s v="Womens"/>
    <x v="14"/>
    <s v="B7A2S-ECJH"/>
    <x v="37"/>
    <s v="XS"/>
    <x v="1"/>
    <d v="2024-10-28T00:00:00"/>
    <d v="2024-12-10T00:00:00"/>
    <n v="5"/>
    <n v="245.60919999999999"/>
    <n v="638.58000000000004"/>
    <n v="3"/>
    <n v="150.27629999999999"/>
  </r>
  <r>
    <s v="Brand ABC TDM"/>
    <x v="2"/>
    <s v="Womens"/>
    <x v="14"/>
    <s v="B7A2S-TBNG"/>
    <x v="37"/>
    <s v="L"/>
    <x v="0"/>
    <d v="2024-10-26T00:00:00"/>
    <d v="2024-10-26T00:00:00"/>
    <n v="0"/>
    <n v="0"/>
    <n v="0"/>
    <n v="5"/>
    <n v="239.84200000000001"/>
  </r>
  <r>
    <s v="Brand ABC TDM"/>
    <x v="2"/>
    <s v="Womens"/>
    <x v="14"/>
    <s v="B7A2S-TBNG"/>
    <x v="37"/>
    <s v="M"/>
    <x v="0"/>
    <d v="2024-10-26T00:00:00"/>
    <d v="2024-10-26T00:00:00"/>
    <n v="0"/>
    <n v="0"/>
    <n v="0"/>
    <n v="5"/>
    <n v="239.84200000000001"/>
  </r>
  <r>
    <s v="Brand ABC TDM"/>
    <x v="2"/>
    <s v="Womens"/>
    <x v="14"/>
    <s v="B7A2S-TBNG"/>
    <x v="37"/>
    <s v="S"/>
    <x v="0"/>
    <d v="2024-10-26T00:00:00"/>
    <d v="2024-10-26T00:00:00"/>
    <n v="0"/>
    <n v="0"/>
    <n v="0"/>
    <n v="4"/>
    <n v="191.87360000000001"/>
  </r>
  <r>
    <s v="Brand ABC TDM"/>
    <x v="2"/>
    <s v="Womens"/>
    <x v="14"/>
    <s v="B7A2S-TBNG"/>
    <x v="37"/>
    <s v="XS"/>
    <x v="0"/>
    <d v="2024-10-26T00:00:00"/>
    <d v="2024-10-26T00:00:00"/>
    <n v="0"/>
    <n v="0"/>
    <n v="0"/>
    <n v="3"/>
    <n v="143.90520000000001"/>
  </r>
  <r>
    <s v="Brand ABC TDM"/>
    <x v="2"/>
    <s v="Womens"/>
    <x v="14"/>
    <s v="B8A4P-RBQV"/>
    <x v="37"/>
    <s v="L"/>
    <x v="0"/>
    <d v="2024-10-25T00:00:00"/>
    <d v="2024-10-25T00:00:00"/>
    <n v="0"/>
    <n v="0"/>
    <n v="0"/>
    <n v="5"/>
    <n v="214.18100000000001"/>
  </r>
  <r>
    <s v="Brand ABC TDM"/>
    <x v="2"/>
    <s v="Womens"/>
    <x v="14"/>
    <s v="B8A4P-RBQV"/>
    <x v="37"/>
    <s v="M"/>
    <x v="0"/>
    <d v="2024-10-25T00:00:00"/>
    <d v="2024-12-05T00:00:00"/>
    <n v="4"/>
    <n v="171.34479999999999"/>
    <n v="442.28"/>
    <n v="5"/>
    <n v="216.4085"/>
  </r>
  <r>
    <s v="Brand ABC TDM"/>
    <x v="2"/>
    <s v="Womens"/>
    <x v="14"/>
    <s v="B8A4P-RBQV"/>
    <x v="37"/>
    <s v="S"/>
    <x v="0"/>
    <d v="2024-10-25T00:00:00"/>
    <d v="2024-11-09T00:00:00"/>
    <n v="4"/>
    <n v="171.34479999999999"/>
    <n v="442.29"/>
    <n v="3"/>
    <n v="128.5086"/>
  </r>
  <r>
    <s v="Brand ABC TDM"/>
    <x v="2"/>
    <s v="Womens"/>
    <x v="14"/>
    <s v="B8A4P-RBQV"/>
    <x v="37"/>
    <s v="XL"/>
    <x v="0"/>
    <d v="2024-10-25T00:00:00"/>
    <d v="2024-10-25T00:00:00"/>
    <n v="0"/>
    <n v="0"/>
    <n v="0"/>
    <n v="2"/>
    <n v="85.672399999999996"/>
  </r>
  <r>
    <s v="Brand ABC TDM"/>
    <x v="2"/>
    <s v="Womens"/>
    <x v="14"/>
    <s v="B8A4P-RBQV"/>
    <x v="37"/>
    <s v="XS"/>
    <x v="0"/>
    <d v="2024-10-25T00:00:00"/>
    <d v="2024-12-03T00:00:00"/>
    <n v="5"/>
    <n v="217.39850000000001"/>
    <n v="577.44000000000005"/>
    <n v="1"/>
    <n v="44.073700000000002"/>
  </r>
  <r>
    <s v="Brand ABC TDM"/>
    <x v="2"/>
    <s v="Womens"/>
    <x v="14"/>
    <s v="B9A5J-PBVR"/>
    <x v="18"/>
    <s v="L"/>
    <x v="1"/>
    <d v="2024-10-28T00:00:00"/>
    <d v="2024-12-17T00:00:00"/>
    <n v="0"/>
    <n v="0"/>
    <n v="0"/>
    <n v="5"/>
    <n v="359.25799999999998"/>
  </r>
  <r>
    <s v="Brand ABC TDM"/>
    <x v="2"/>
    <s v="Womens"/>
    <x v="14"/>
    <s v="B9A5J-PBVR"/>
    <x v="18"/>
    <s v="M"/>
    <x v="1"/>
    <d v="2024-10-28T00:00:00"/>
    <d v="2024-12-17T00:00:00"/>
    <n v="3"/>
    <n v="217.04939999999999"/>
    <n v="632.48"/>
    <n v="3"/>
    <n v="217.79669999999999"/>
  </r>
  <r>
    <s v="Brand ABC TDM"/>
    <x v="2"/>
    <s v="Womens"/>
    <x v="14"/>
    <s v="B9A5J-PBVR"/>
    <x v="18"/>
    <s v="S"/>
    <x v="1"/>
    <d v="2024-10-28T00:00:00"/>
    <d v="2024-12-14T00:00:00"/>
    <n v="3"/>
    <n v="217.423"/>
    <n v="610.65"/>
    <n v="4"/>
    <n v="296.74720000000002"/>
  </r>
  <r>
    <s v="Brand ABC TDM"/>
    <x v="2"/>
    <s v="Womens"/>
    <x v="14"/>
    <s v="B9A5J-PBVR"/>
    <x v="18"/>
    <s v="XS"/>
    <x v="1"/>
    <d v="2024-10-28T00:00:00"/>
    <d v="2024-12-17T00:00:00"/>
    <n v="2"/>
    <n v="143.70320000000001"/>
    <n v="414.39"/>
    <n v="1"/>
    <n v="71.851600000000005"/>
  </r>
  <r>
    <s v="Brand ABC TDM"/>
    <x v="2"/>
    <s v="Womens"/>
    <x v="14"/>
    <s v="B9A5J-RBWT"/>
    <x v="18"/>
    <s v="L"/>
    <x v="1"/>
    <d v="2024-10-28T00:00:00"/>
    <d v="2024-12-16T00:00:00"/>
    <n v="1"/>
    <n v="71.851600000000005"/>
    <n v="196.29"/>
    <n v="5"/>
    <n v="362.99450000000002"/>
  </r>
  <r>
    <s v="Brand ABC TDM"/>
    <x v="2"/>
    <s v="Womens"/>
    <x v="14"/>
    <s v="B9A5J-RBWT"/>
    <x v="18"/>
    <s v="M"/>
    <x v="1"/>
    <d v="2024-10-28T00:00:00"/>
    <d v="2024-12-17T00:00:00"/>
    <n v="3"/>
    <n v="217.04939999999999"/>
    <n v="632.49"/>
    <n v="3"/>
    <n v="217.79669999999999"/>
  </r>
  <r>
    <s v="Brand ABC TDM"/>
    <x v="2"/>
    <s v="Womens"/>
    <x v="14"/>
    <s v="B9A5J-RBWT"/>
    <x v="18"/>
    <s v="S"/>
    <x v="1"/>
    <d v="2024-10-28T00:00:00"/>
    <d v="2024-12-16T00:00:00"/>
    <n v="4"/>
    <n v="291.60980000000001"/>
    <n v="806.97"/>
    <n v="4"/>
    <n v="298.14839999999998"/>
  </r>
  <r>
    <s v="Brand ABC TDM"/>
    <x v="2"/>
    <s v="Womens"/>
    <x v="14"/>
    <s v="B9A5J-RBWT"/>
    <x v="18"/>
    <s v="XS"/>
    <x v="1"/>
    <d v="2024-10-28T00:00:00"/>
    <d v="2024-12-16T00:00:00"/>
    <n v="2"/>
    <n v="144.9486"/>
    <n v="392.57"/>
    <n v="3"/>
    <n v="221.78190000000001"/>
  </r>
  <r>
    <s v="Brand ABC TDM"/>
    <x v="2"/>
    <s v="Womens"/>
    <x v="14"/>
    <s v="B9A5J-TBQQ"/>
    <x v="18"/>
    <s v="L"/>
    <x v="1"/>
    <d v="2024-10-28T00:00:00"/>
    <d v="2024-10-28T00:00:00"/>
    <n v="0"/>
    <n v="0"/>
    <n v="0"/>
    <n v="2"/>
    <n v="143.70320000000001"/>
  </r>
  <r>
    <s v="Brand ABC TDM"/>
    <x v="2"/>
    <s v="Womens"/>
    <x v="14"/>
    <s v="B9A5J-TBQQ"/>
    <x v="18"/>
    <s v="M"/>
    <x v="1"/>
    <d v="2024-10-28T00:00:00"/>
    <d v="2024-10-28T00:00:00"/>
    <n v="0"/>
    <n v="0"/>
    <n v="0"/>
    <n v="4"/>
    <n v="287.40640000000002"/>
  </r>
  <r>
    <s v="Brand ABC TDM"/>
    <x v="2"/>
    <s v="Womens"/>
    <x v="14"/>
    <s v="B9A5J-TBQQ"/>
    <x v="18"/>
    <s v="S"/>
    <x v="1"/>
    <d v="2024-10-28T00:00:00"/>
    <d v="2024-10-28T00:00:00"/>
    <n v="0"/>
    <n v="0"/>
    <n v="0"/>
    <n v="4"/>
    <n v="287.40640000000002"/>
  </r>
  <r>
    <s v="Brand ABC TDM"/>
    <x v="2"/>
    <s v="Womens"/>
    <x v="14"/>
    <s v="B9A5J-TBQQ"/>
    <x v="18"/>
    <s v="XS"/>
    <x v="1"/>
    <d v="2024-10-28T00:00:00"/>
    <d v="2024-10-28T00:00:00"/>
    <n v="0"/>
    <n v="0"/>
    <n v="0"/>
    <n v="1"/>
    <n v="71.851600000000005"/>
  </r>
  <r>
    <s v="Brand ABC TDM"/>
    <x v="2"/>
    <s v="Womens"/>
    <x v="14"/>
    <s v="B9A5M-BB2J"/>
    <x v="40"/>
    <s v="L"/>
    <x v="1"/>
    <d v="2024-10-26T00:00:00"/>
    <d v="2024-11-26T00:00:00"/>
    <n v="4"/>
    <n v="241.98150000000001"/>
    <n v="648"/>
    <n v="4"/>
    <n v="246.2492"/>
  </r>
  <r>
    <s v="Brand ABC TDM"/>
    <x v="2"/>
    <s v="Womens"/>
    <x v="14"/>
    <s v="B9A5M-BB2J"/>
    <x v="40"/>
    <s v="M"/>
    <x v="1"/>
    <d v="2024-10-26T00:00:00"/>
    <d v="2024-11-30T00:00:00"/>
    <n v="8"/>
    <n v="488.23059999999998"/>
    <n v="1296"/>
    <n v="5"/>
    <n v="316.83"/>
  </r>
  <r>
    <s v="Brand ABC TDM"/>
    <x v="2"/>
    <s v="Womens"/>
    <x v="14"/>
    <s v="B9A5M-BB2J"/>
    <x v="40"/>
    <s v="S"/>
    <x v="1"/>
    <d v="2024-10-26T00:00:00"/>
    <d v="2024-11-30T00:00:00"/>
    <n v="5"/>
    <n v="304.23270000000002"/>
    <n v="810"/>
    <n v="5"/>
    <n v="315.14999999999998"/>
  </r>
  <r>
    <s v="Brand ABC TDM"/>
    <x v="2"/>
    <s v="Womens"/>
    <x v="14"/>
    <s v="B9A5M-BB2J"/>
    <x v="40"/>
    <s v="XS"/>
    <x v="1"/>
    <d v="2024-10-26T00:00:00"/>
    <d v="2024-11-25T00:00:00"/>
    <n v="2"/>
    <n v="120.8177"/>
    <n v="288"/>
    <n v="1"/>
    <n v="61.62"/>
  </r>
  <r>
    <s v="Brand ABC TDM"/>
    <x v="2"/>
    <s v="Womens"/>
    <x v="14"/>
    <s v="B9A5M-PBZT"/>
    <x v="40"/>
    <s v="L"/>
    <x v="1"/>
    <d v="2024-10-26T00:00:00"/>
    <d v="2024-11-23T00:00:00"/>
    <n v="3"/>
    <n v="181.14009999999999"/>
    <n v="486"/>
    <n v="1"/>
    <n v="61.201900000000002"/>
  </r>
  <r>
    <s v="Brand ABC TDM"/>
    <x v="2"/>
    <s v="Womens"/>
    <x v="14"/>
    <s v="B9A5M-PBZT"/>
    <x v="40"/>
    <s v="M"/>
    <x v="1"/>
    <d v="2024-10-26T00:00:00"/>
    <d v="2024-11-21T00:00:00"/>
    <n v="1"/>
    <n v="59.457299999999996"/>
    <n v="162.1"/>
    <n v="1"/>
    <n v="60.8414"/>
  </r>
  <r>
    <s v="Brand ABC TDM"/>
    <x v="2"/>
    <s v="Womens"/>
    <x v="14"/>
    <s v="B9A5M-PBZT"/>
    <x v="40"/>
    <s v="S"/>
    <x v="1"/>
    <d v="2024-10-26T00:00:00"/>
    <d v="2024-11-26T00:00:00"/>
    <n v="1"/>
    <n v="59.889800000000001"/>
    <n v="162"/>
    <n v="1"/>
    <n v="60.512700000000002"/>
  </r>
  <r>
    <s v="Brand ABC TDM"/>
    <x v="2"/>
    <s v="Womens"/>
    <x v="14"/>
    <s v="B9A5M-PBZT"/>
    <x v="40"/>
    <s v="XS"/>
    <x v="1"/>
    <d v="2024-10-26T00:00:00"/>
    <d v="2024-11-23T00:00:00"/>
    <n v="2"/>
    <n v="120.8177"/>
    <n v="324"/>
    <n v="0"/>
    <n v="0"/>
  </r>
  <r>
    <s v="Brand ABC TDM"/>
    <x v="2"/>
    <s v="Womens"/>
    <x v="15"/>
    <s v="B1B7P-BB2J"/>
    <x v="37"/>
    <s v="L"/>
    <x v="2"/>
    <d v="2024-10-25T00:00:00"/>
    <d v="2024-12-10T00:00:00"/>
    <n v="0"/>
    <n v="0"/>
    <n v="0"/>
    <n v="6"/>
    <n v="423.8664"/>
  </r>
  <r>
    <s v="Brand ABC TDM"/>
    <x v="2"/>
    <s v="Womens"/>
    <x v="15"/>
    <s v="B1B7P-BB2J"/>
    <x v="37"/>
    <s v="M"/>
    <x v="2"/>
    <d v="2024-10-26T00:00:00"/>
    <d v="2024-12-20T00:00:00"/>
    <n v="1"/>
    <n v="71.101900000000001"/>
    <n v="208.57"/>
    <n v="7"/>
    <n v="498.62819999999999"/>
  </r>
  <r>
    <s v="Brand ABC TDM"/>
    <x v="2"/>
    <s v="Womens"/>
    <x v="15"/>
    <s v="B1B7P-BB2J"/>
    <x v="37"/>
    <s v="S"/>
    <x v="2"/>
    <d v="2024-10-26T00:00:00"/>
    <d v="2024-12-18T00:00:00"/>
    <n v="6"/>
    <n v="432.10140000000001"/>
    <n v="1167.99"/>
    <n v="4"/>
    <n v="288.06760000000003"/>
  </r>
  <r>
    <s v="Brand ABC TDM"/>
    <x v="2"/>
    <s v="Womens"/>
    <x v="15"/>
    <s v="B1B7P-BB2J"/>
    <x v="37"/>
    <s v="XS"/>
    <x v="2"/>
    <d v="2024-10-25T00:00:00"/>
    <d v="2024-12-03T00:00:00"/>
    <n v="1"/>
    <n v="71.349500000000006"/>
    <n v="187.71"/>
    <n v="0"/>
    <n v="0"/>
  </r>
  <r>
    <s v="Brand ABC TDM"/>
    <x v="2"/>
    <s v="Womens"/>
    <x v="15"/>
    <s v="B5A9Q-BBF3"/>
    <x v="18"/>
    <s v="L"/>
    <x v="0"/>
    <d v="2024-10-26T00:00:00"/>
    <d v="2024-12-04T00:00:00"/>
    <n v="11"/>
    <n v="858.02779999999996"/>
    <n v="2207.92"/>
    <n v="6"/>
    <n v="478.71899999999999"/>
  </r>
  <r>
    <s v="Brand ABC TDM"/>
    <x v="2"/>
    <s v="Womens"/>
    <x v="15"/>
    <s v="B5A9Q-BBF3"/>
    <x v="18"/>
    <s v="M"/>
    <x v="0"/>
    <d v="2024-10-26T00:00:00"/>
    <d v="2024-12-17T00:00:00"/>
    <n v="35"/>
    <n v="2766.8672000000001"/>
    <n v="7124.51"/>
    <n v="6"/>
    <n v="485.62200000000001"/>
  </r>
  <r>
    <s v="Brand ABC TDM"/>
    <x v="2"/>
    <s v="Womens"/>
    <x v="15"/>
    <s v="B5A9Q-BBF3"/>
    <x v="18"/>
    <s v="S"/>
    <x v="0"/>
    <d v="2024-10-26T00:00:00"/>
    <d v="2024-12-18T00:00:00"/>
    <n v="31"/>
    <n v="2454.5835999999999"/>
    <n v="6327.85"/>
    <n v="4"/>
    <n v="323.91680000000002"/>
  </r>
  <r>
    <s v="Brand ABC TDM"/>
    <x v="2"/>
    <s v="Womens"/>
    <x v="15"/>
    <s v="B5A9Q-BBF3"/>
    <x v="18"/>
    <s v="XL"/>
    <x v="0"/>
    <d v="2024-10-26T00:00:00"/>
    <d v="2024-10-26T00:00:00"/>
    <n v="2"/>
    <n v="153.9676"/>
    <n v="409.71"/>
    <n v="0"/>
    <n v="0"/>
  </r>
  <r>
    <s v="Brand ABC TDM"/>
    <x v="2"/>
    <s v="Womens"/>
    <x v="15"/>
    <s v="B5A9Q-BBF3"/>
    <x v="18"/>
    <s v="XS"/>
    <x v="0"/>
    <d v="2024-10-26T00:00:00"/>
    <d v="2024-11-26T00:00:00"/>
    <n v="13"/>
    <n v="1024.8087"/>
    <n v="2663.12"/>
    <n v="0"/>
    <n v="0"/>
  </r>
  <r>
    <s v="Brand ABC TDM"/>
    <x v="2"/>
    <s v="Womens"/>
    <x v="15"/>
    <s v="B5A9Q-KB80"/>
    <x v="18"/>
    <s v="L"/>
    <x v="1"/>
    <d v="2024-10-28T00:00:00"/>
    <d v="2024-11-29T00:00:00"/>
    <n v="3"/>
    <n v="232.55260000000001"/>
    <n v="580.41999999999996"/>
    <n v="3"/>
    <n v="233.35319999999999"/>
  </r>
  <r>
    <s v="Brand ABC TDM"/>
    <x v="2"/>
    <s v="Womens"/>
    <x v="15"/>
    <s v="B5A9Q-KB80"/>
    <x v="18"/>
    <s v="M"/>
    <x v="1"/>
    <d v="2024-10-28T00:00:00"/>
    <d v="2024-12-17T00:00:00"/>
    <n v="4"/>
    <n v="312.13040000000001"/>
    <n v="819.43"/>
    <n v="5"/>
    <n v="396.73599999999999"/>
  </r>
  <r>
    <s v="Brand ABC TDM"/>
    <x v="2"/>
    <s v="Womens"/>
    <x v="15"/>
    <s v="B5A9Q-KB80"/>
    <x v="18"/>
    <s v="S"/>
    <x v="1"/>
    <d v="2024-10-28T00:00:00"/>
    <d v="2024-12-17T00:00:00"/>
    <n v="10"/>
    <n v="794.33240000000001"/>
    <n v="2094.12"/>
    <n v="3"/>
    <n v="242.48609999999999"/>
  </r>
  <r>
    <s v="Brand ABC TDM"/>
    <x v="2"/>
    <s v="Womens"/>
    <x v="15"/>
    <s v="B5A9Q-KB80"/>
    <x v="18"/>
    <s v="XS"/>
    <x v="1"/>
    <d v="2024-10-28T00:00:00"/>
    <d v="2024-12-11T00:00:00"/>
    <n v="5"/>
    <n v="393.815"/>
    <n v="1024.28"/>
    <n v="1"/>
    <n v="80.097399999999993"/>
  </r>
  <r>
    <s v="Brand ABC TDM"/>
    <x v="2"/>
    <s v="Womens"/>
    <x v="16"/>
    <s v="B1C4S-BB2J"/>
    <x v="37"/>
    <s v="L"/>
    <x v="1"/>
    <d v="2024-10-28T00:00:00"/>
    <d v="2024-10-28T00:00:00"/>
    <n v="0"/>
    <n v="0"/>
    <n v="0"/>
    <n v="3"/>
    <n v="195.066"/>
  </r>
  <r>
    <s v="Brand ABC TDM"/>
    <x v="2"/>
    <s v="Womens"/>
    <x v="16"/>
    <s v="B1C4S-BB2J"/>
    <x v="37"/>
    <s v="M"/>
    <x v="1"/>
    <d v="2024-10-28T00:00:00"/>
    <d v="2024-11-27T00:00:00"/>
    <n v="1"/>
    <n v="65.022000000000006"/>
    <n v="179.14"/>
    <n v="3"/>
    <n v="198.447"/>
  </r>
  <r>
    <s v="Brand ABC TDM"/>
    <x v="2"/>
    <s v="Womens"/>
    <x v="16"/>
    <s v="B1C4S-BB2J"/>
    <x v="37"/>
    <s v="S"/>
    <x v="1"/>
    <d v="2024-10-28T00:00:00"/>
    <d v="2024-12-04T00:00:00"/>
    <n v="2"/>
    <n v="131.7346"/>
    <n v="358.28"/>
    <n v="2"/>
    <n v="135.11580000000001"/>
  </r>
  <r>
    <s v="Brand ABC TDM"/>
    <x v="2"/>
    <s v="Womens"/>
    <x v="16"/>
    <s v="B1C4T-UCY1"/>
    <x v="42"/>
    <s v="L"/>
    <x v="2"/>
    <d v="2024-12-12T00:00:00"/>
    <d v="2024-12-12T00:00:00"/>
    <n v="0"/>
    <n v="0"/>
    <n v="0"/>
    <n v="5"/>
    <n v="449.99900000000002"/>
  </r>
  <r>
    <s v="Brand ABC TDM"/>
    <x v="2"/>
    <s v="Womens"/>
    <x v="16"/>
    <s v="B1C4T-UCY1"/>
    <x v="42"/>
    <s v="M"/>
    <x v="2"/>
    <d v="2024-12-12T00:00:00"/>
    <d v="2024-12-20T00:00:00"/>
    <n v="0"/>
    <n v="0"/>
    <n v="0"/>
    <n v="3"/>
    <n v="269.99939999999998"/>
  </r>
  <r>
    <s v="Brand ABC TDM"/>
    <x v="2"/>
    <s v="Womens"/>
    <x v="16"/>
    <s v="B1C4T-UCY1"/>
    <x v="42"/>
    <s v="S"/>
    <x v="2"/>
    <d v="2024-12-12T00:00:00"/>
    <d v="2024-12-12T00:00:00"/>
    <n v="0"/>
    <n v="0"/>
    <n v="0"/>
    <n v="5"/>
    <n v="449.99900000000002"/>
  </r>
  <r>
    <s v="Brand ABC TDM"/>
    <x v="2"/>
    <s v="Womens"/>
    <x v="16"/>
    <s v="B1C4T-UCY1"/>
    <x v="42"/>
    <s v="XS"/>
    <x v="2"/>
    <d v="2024-12-12T00:00:00"/>
    <d v="2024-12-12T00:00:00"/>
    <n v="0"/>
    <n v="0"/>
    <n v="0"/>
    <n v="3"/>
    <n v="269.99939999999998"/>
  </r>
  <r>
    <s v="Brand ABC TDM"/>
    <x v="2"/>
    <s v="Womens"/>
    <x v="16"/>
    <s v="B8A5E-BCBT"/>
    <x v="18"/>
    <s v="L"/>
    <x v="0"/>
    <d v="2024-12-12T00:00:00"/>
    <d v="2024-12-12T00:00:00"/>
    <n v="0"/>
    <n v="0"/>
    <n v="0"/>
    <n v="5"/>
    <n v="360.29649999999998"/>
  </r>
  <r>
    <s v="Brand ABC TDM"/>
    <x v="2"/>
    <s v="Womens"/>
    <x v="16"/>
    <s v="B8A5E-BCBT"/>
    <x v="18"/>
    <s v="M"/>
    <x v="0"/>
    <d v="2024-12-12T00:00:00"/>
    <d v="2024-12-12T00:00:00"/>
    <n v="0"/>
    <n v="0"/>
    <n v="0"/>
    <n v="3"/>
    <n v="216.17789999999999"/>
  </r>
  <r>
    <s v="Brand ABC TDM"/>
    <x v="2"/>
    <s v="Womens"/>
    <x v="16"/>
    <s v="B8A5E-BCBT"/>
    <x v="18"/>
    <s v="S"/>
    <x v="0"/>
    <d v="2024-12-12T00:00:00"/>
    <d v="2024-12-19T00:00:00"/>
    <n v="0"/>
    <n v="0"/>
    <n v="0"/>
    <n v="5"/>
    <n v="360.29649999999998"/>
  </r>
  <r>
    <s v="Brand ABC TDM"/>
    <x v="2"/>
    <s v="Womens"/>
    <x v="16"/>
    <s v="B8A5E-BCBT"/>
    <x v="18"/>
    <s v="XL"/>
    <x v="0"/>
    <d v="2024-12-12T00:00:00"/>
    <d v="2024-12-14T00:00:00"/>
    <n v="0"/>
    <n v="0"/>
    <n v="0"/>
    <n v="2"/>
    <n v="144.11859999999999"/>
  </r>
  <r>
    <s v="Brand ABC TDM"/>
    <x v="2"/>
    <s v="Womens"/>
    <x v="16"/>
    <s v="B8A5E-BCBT"/>
    <x v="18"/>
    <s v="XS"/>
    <x v="0"/>
    <d v="2024-12-12T00:00:00"/>
    <d v="2024-12-21T00:00:00"/>
    <n v="0"/>
    <n v="0"/>
    <n v="0"/>
    <n v="2"/>
    <n v="144.11859999999999"/>
  </r>
  <r>
    <s v="Brand ABC TDM"/>
    <x v="2"/>
    <s v="Womens"/>
    <x v="8"/>
    <s v="B1B5F-BB67"/>
    <x v="20"/>
    <s v="L"/>
    <x v="1"/>
    <d v="2024-10-28T00:00:00"/>
    <d v="2024-12-18T00:00:00"/>
    <n v="3"/>
    <n v="284.3125"/>
    <n v="825.82"/>
    <n v="3"/>
    <n v="285.29129999999998"/>
  </r>
  <r>
    <s v="Brand ABC TDM"/>
    <x v="2"/>
    <s v="Womens"/>
    <x v="8"/>
    <s v="B1B5F-BB67"/>
    <x v="20"/>
    <s v="M"/>
    <x v="1"/>
    <d v="2024-10-28T00:00:00"/>
    <d v="2024-12-19T00:00:00"/>
    <n v="9"/>
    <n v="870.96780000000001"/>
    <n v="2334.96"/>
    <n v="5"/>
    <n v="493.18299999999999"/>
  </r>
  <r>
    <s v="Brand ABC TDM"/>
    <x v="2"/>
    <s v="Womens"/>
    <x v="8"/>
    <s v="B1B5F-BB67"/>
    <x v="20"/>
    <s v="S"/>
    <x v="1"/>
    <d v="2024-10-28T00:00:00"/>
    <d v="2024-12-19T00:00:00"/>
    <n v="8"/>
    <n v="775.93920000000003"/>
    <n v="2078.77"/>
    <n v="4"/>
    <n v="394.67360000000002"/>
  </r>
  <r>
    <s v="Brand ABC TDM"/>
    <x v="2"/>
    <s v="Womens"/>
    <x v="8"/>
    <s v="B1B5F-BB67"/>
    <x v="20"/>
    <s v="XS"/>
    <x v="1"/>
    <d v="2024-10-28T00:00:00"/>
    <d v="2024-12-17T00:00:00"/>
    <n v="8"/>
    <n v="777.84709999999995"/>
    <n v="2107.2399999999998"/>
    <n v="1"/>
    <n v="98.582800000000006"/>
  </r>
  <r>
    <s v="Brand ABC TDM"/>
    <x v="2"/>
    <s v="Womens"/>
    <x v="8"/>
    <s v="B1C9Z-BB2J"/>
    <x v="31"/>
    <s v="L"/>
    <x v="1"/>
    <d v="2024-12-12T00:00:00"/>
    <d v="2024-12-12T00:00:00"/>
    <n v="0"/>
    <n v="0"/>
    <n v="0"/>
    <n v="5"/>
    <n v="431.93049999999999"/>
  </r>
  <r>
    <s v="Brand ABC TDM"/>
    <x v="2"/>
    <s v="Womens"/>
    <x v="8"/>
    <s v="B1C9Z-BB2J"/>
    <x v="31"/>
    <s v="M"/>
    <x v="1"/>
    <d v="2024-12-12T00:00:00"/>
    <d v="2024-12-20T00:00:00"/>
    <n v="0"/>
    <n v="0"/>
    <n v="0"/>
    <n v="5"/>
    <n v="431.93049999999999"/>
  </r>
  <r>
    <s v="Brand ABC TDM"/>
    <x v="2"/>
    <s v="Womens"/>
    <x v="8"/>
    <s v="B1C9Z-BB2J"/>
    <x v="31"/>
    <s v="S"/>
    <x v="1"/>
    <d v="2024-12-12T00:00:00"/>
    <d v="2024-12-21T00:00:00"/>
    <n v="0"/>
    <n v="0"/>
    <n v="0"/>
    <n v="4"/>
    <n v="345.5444"/>
  </r>
  <r>
    <s v="Brand ABC TDM"/>
    <x v="2"/>
    <s v="Womens"/>
    <x v="8"/>
    <s v="B1C9Z-BB2J"/>
    <x v="31"/>
    <s v="XS"/>
    <x v="1"/>
    <d v="2024-12-12T00:00:00"/>
    <d v="2024-12-21T00:00:00"/>
    <n v="0"/>
    <n v="0"/>
    <n v="0"/>
    <n v="3"/>
    <n v="259.1583"/>
  </r>
  <r>
    <s v="Brand ABC TDM"/>
    <x v="2"/>
    <s v="Womens"/>
    <x v="8"/>
    <s v="B1C9Z-GCHK"/>
    <x v="31"/>
    <s v="L"/>
    <x v="1"/>
    <d v="2024-12-12T00:00:00"/>
    <d v="2024-12-20T00:00:00"/>
    <n v="0"/>
    <n v="0"/>
    <n v="0"/>
    <n v="5"/>
    <n v="431.93049999999999"/>
  </r>
  <r>
    <s v="Brand ABC TDM"/>
    <x v="2"/>
    <s v="Womens"/>
    <x v="8"/>
    <s v="B1C9Z-GCHK"/>
    <x v="31"/>
    <s v="M"/>
    <x v="1"/>
    <d v="2024-12-12T00:00:00"/>
    <d v="2024-12-21T00:00:00"/>
    <n v="0"/>
    <n v="0"/>
    <n v="0"/>
    <n v="5"/>
    <n v="431.93049999999999"/>
  </r>
  <r>
    <s v="Brand ABC TDM"/>
    <x v="2"/>
    <s v="Womens"/>
    <x v="8"/>
    <s v="B1C9Z-GCHK"/>
    <x v="31"/>
    <s v="S"/>
    <x v="1"/>
    <d v="2024-12-12T00:00:00"/>
    <d v="2024-12-21T00:00:00"/>
    <n v="0"/>
    <n v="0"/>
    <n v="0"/>
    <n v="4"/>
    <n v="345.5444"/>
  </r>
  <r>
    <s v="Brand ABC TDM"/>
    <x v="2"/>
    <s v="Womens"/>
    <x v="8"/>
    <s v="B1C9Z-GCHK"/>
    <x v="31"/>
    <s v="XS"/>
    <x v="1"/>
    <d v="2024-12-12T00:00:00"/>
    <d v="2024-12-19T00:00:00"/>
    <n v="0"/>
    <n v="0"/>
    <n v="0"/>
    <n v="3"/>
    <n v="259.1583"/>
  </r>
  <r>
    <s v="Brand ABC TDM"/>
    <x v="2"/>
    <s v="Womens"/>
    <x v="8"/>
    <s v="B7A4D-BB2J"/>
    <x v="30"/>
    <s v="L"/>
    <x v="0"/>
    <d v="2024-10-26T00:00:00"/>
    <d v="2024-12-19T00:00:00"/>
    <n v="3"/>
    <n v="179.6694"/>
    <n v="450"/>
    <n v="7"/>
    <n v="422.34289999999999"/>
  </r>
  <r>
    <s v="Brand ABC TDM"/>
    <x v="2"/>
    <s v="Womens"/>
    <x v="8"/>
    <s v="B7A4D-BB2J"/>
    <x v="30"/>
    <s v="M"/>
    <x v="0"/>
    <d v="2024-10-26T00:00:00"/>
    <d v="2024-12-21T00:00:00"/>
    <n v="18"/>
    <n v="1082.7831000000001"/>
    <n v="2880"/>
    <n v="7"/>
    <n v="433.4015"/>
  </r>
  <r>
    <s v="Brand ABC TDM"/>
    <x v="2"/>
    <s v="Womens"/>
    <x v="8"/>
    <s v="B7A4D-BB2J"/>
    <x v="30"/>
    <s v="S"/>
    <x v="0"/>
    <d v="2024-10-26T00:00:00"/>
    <d v="2024-12-20T00:00:00"/>
    <n v="19"/>
    <n v="1150.4385"/>
    <n v="3042"/>
    <n v="5"/>
    <n v="311.83150000000001"/>
  </r>
  <r>
    <s v="Brand ABC TDM"/>
    <x v="2"/>
    <s v="Womens"/>
    <x v="8"/>
    <s v="B7A4D-BB2J"/>
    <x v="30"/>
    <s v="XS"/>
    <x v="0"/>
    <d v="2024-10-26T00:00:00"/>
    <d v="2024-12-04T00:00:00"/>
    <n v="16"/>
    <n v="968.89380000000006"/>
    <n v="2610"/>
    <n v="2"/>
    <n v="124.6944"/>
  </r>
  <r>
    <s v="Brand ABC TDM"/>
    <x v="2"/>
    <s v="Womens"/>
    <x v="9"/>
    <s v="B2B1W-BB2J"/>
    <x v="32"/>
    <s v="L"/>
    <x v="1"/>
    <d v="2024-12-07T00:00:00"/>
    <d v="2024-12-21T00:00:00"/>
    <n v="3"/>
    <n v="297.03750000000002"/>
    <n v="825.8"/>
    <n v="3"/>
    <n v="297.03750000000002"/>
  </r>
  <r>
    <s v="Brand ABC TDM"/>
    <x v="2"/>
    <s v="Womens"/>
    <x v="9"/>
    <s v="B2B1W-BB2J"/>
    <x v="32"/>
    <s v="M"/>
    <x v="1"/>
    <d v="2024-12-07T00:00:00"/>
    <d v="2024-12-21T00:00:00"/>
    <n v="5"/>
    <n v="495.0625"/>
    <n v="1281.45"/>
    <n v="4"/>
    <n v="396.05"/>
  </r>
  <r>
    <s v="Brand ABC TDM"/>
    <x v="2"/>
    <s v="Womens"/>
    <x v="9"/>
    <s v="B2B1W-BB2J"/>
    <x v="32"/>
    <s v="S"/>
    <x v="1"/>
    <d v="2024-12-07T00:00:00"/>
    <d v="2024-12-21T00:00:00"/>
    <n v="1"/>
    <n v="99.012500000000003"/>
    <n v="256.29000000000002"/>
    <n v="4"/>
    <n v="396.05"/>
  </r>
  <r>
    <s v="Brand ABC TDM"/>
    <x v="2"/>
    <s v="Womens"/>
    <x v="9"/>
    <s v="B2B1W-BB2J"/>
    <x v="32"/>
    <s v="XS"/>
    <x v="1"/>
    <d v="2024-12-07T00:00:00"/>
    <d v="2024-12-21T00:00:00"/>
    <n v="2"/>
    <n v="198.02500000000001"/>
    <n v="569.52"/>
    <n v="2"/>
    <n v="198.02500000000001"/>
  </r>
  <r>
    <s v="Brand ABC TDM"/>
    <x v="2"/>
    <s v="Womens"/>
    <x v="9"/>
    <s v="B2B2J-NCNZ"/>
    <x v="34"/>
    <s v="L"/>
    <x v="1"/>
    <d v="2024-11-29T00:00:00"/>
    <d v="2024-12-13T00:00:00"/>
    <n v="1"/>
    <n v="99.012500000000003"/>
    <n v="256.29000000000002"/>
    <n v="6"/>
    <n v="594.07500000000005"/>
  </r>
  <r>
    <s v="Brand ABC TDM"/>
    <x v="2"/>
    <s v="Womens"/>
    <x v="9"/>
    <s v="B2B2J-NCNZ"/>
    <x v="34"/>
    <s v="M"/>
    <x v="1"/>
    <d v="2024-11-29T00:00:00"/>
    <d v="2024-12-13T00:00:00"/>
    <n v="5"/>
    <n v="495.0625"/>
    <n v="1224.47"/>
    <n v="6"/>
    <n v="594.07500000000005"/>
  </r>
  <r>
    <s v="Brand ABC TDM"/>
    <x v="2"/>
    <s v="Womens"/>
    <x v="9"/>
    <s v="B2B2J-NCNZ"/>
    <x v="34"/>
    <s v="S"/>
    <x v="1"/>
    <d v="2024-11-29T00:00:00"/>
    <d v="2024-12-21T00:00:00"/>
    <n v="3"/>
    <n v="297.03750000000002"/>
    <n v="768.86"/>
    <n v="6"/>
    <n v="594.07500000000005"/>
  </r>
  <r>
    <s v="Brand ABC TDM"/>
    <x v="2"/>
    <s v="Womens"/>
    <x v="9"/>
    <s v="B2B2J-NCNZ"/>
    <x v="34"/>
    <s v="XS"/>
    <x v="1"/>
    <d v="2024-11-29T00:00:00"/>
    <d v="2024-12-13T00:00:00"/>
    <n v="3"/>
    <n v="297.03750000000002"/>
    <n v="768.85"/>
    <n v="4"/>
    <n v="396.05"/>
  </r>
  <r>
    <s v="Brand ABC TDM"/>
    <x v="2"/>
    <s v="Womens"/>
    <x v="9"/>
    <s v="B2B2J-NCNZ"/>
    <x v="34"/>
    <s v="XXL"/>
    <x v="1"/>
    <d v="2024-11-29T00:00:00"/>
    <d v="2024-11-29T00:00:00"/>
    <n v="0"/>
    <n v="0"/>
    <n v="0"/>
    <n v="1"/>
    <n v="99.012500000000003"/>
  </r>
  <r>
    <s v="Brand ABC TDM"/>
    <x v="2"/>
    <s v="Womens"/>
    <x v="9"/>
    <s v="B2B2J-UB9P"/>
    <x v="34"/>
    <s v="L"/>
    <x v="1"/>
    <d v="2024-11-29T00:00:00"/>
    <d v="2024-11-29T00:00:00"/>
    <n v="1"/>
    <n v="99.012500000000003"/>
    <n v="256.29000000000002"/>
    <n v="4"/>
    <n v="396.05"/>
  </r>
  <r>
    <s v="Brand ABC TDM"/>
    <x v="2"/>
    <s v="Womens"/>
    <x v="9"/>
    <s v="B2B2J-UB9P"/>
    <x v="34"/>
    <s v="M"/>
    <x v="1"/>
    <d v="2024-11-29T00:00:00"/>
    <d v="2024-12-12T00:00:00"/>
    <n v="6"/>
    <n v="594.07500000000005"/>
    <n v="1566.19"/>
    <n v="7"/>
    <n v="693.08749999999998"/>
  </r>
  <r>
    <s v="Brand ABC TDM"/>
    <x v="2"/>
    <s v="Womens"/>
    <x v="9"/>
    <s v="B2B2J-UB9P"/>
    <x v="34"/>
    <s v="S"/>
    <x v="1"/>
    <d v="2024-11-29T00:00:00"/>
    <d v="2024-12-12T00:00:00"/>
    <n v="4"/>
    <n v="396.05"/>
    <n v="1025.1600000000001"/>
    <n v="6"/>
    <n v="594.07500000000005"/>
  </r>
  <r>
    <s v="Brand ABC TDM"/>
    <x v="2"/>
    <s v="Womens"/>
    <x v="9"/>
    <s v="B2B2J-UB9P"/>
    <x v="34"/>
    <s v="XS"/>
    <x v="1"/>
    <d v="2024-11-29T00:00:00"/>
    <d v="2024-12-21T00:00:00"/>
    <n v="4"/>
    <n v="396.05"/>
    <n v="1025.1500000000001"/>
    <n v="3"/>
    <n v="297.03750000000002"/>
  </r>
  <r>
    <s v="Brand ABC TDM"/>
    <x v="2"/>
    <s v="Womens"/>
    <x v="9"/>
    <s v="B2B2J-UB9P"/>
    <x v="34"/>
    <s v="XXL"/>
    <x v="1"/>
    <d v="2024-11-29T00:00:00"/>
    <d v="2024-11-29T00:00:00"/>
    <n v="0"/>
    <n v="0"/>
    <n v="0"/>
    <n v="1"/>
    <n v="99.012500000000003"/>
  </r>
  <r>
    <s v="Brand ABC TDM"/>
    <x v="2"/>
    <s v="Womens"/>
    <x v="9"/>
    <s v="B5A9R-BB2J"/>
    <x v="30"/>
    <s v="L"/>
    <x v="0"/>
    <d v="2024-10-26T00:00:00"/>
    <d v="2024-12-20T00:00:00"/>
    <n v="4"/>
    <n v="239.5924"/>
    <n v="612"/>
    <n v="5"/>
    <n v="302.60500000000002"/>
  </r>
  <r>
    <s v="Brand ABC TDM"/>
    <x v="2"/>
    <s v="Womens"/>
    <x v="9"/>
    <s v="B5A9R-BB2J"/>
    <x v="30"/>
    <s v="M"/>
    <x v="0"/>
    <d v="2024-10-25T00:00:00"/>
    <d v="2024-12-20T00:00:00"/>
    <n v="12"/>
    <n v="724.97159999999997"/>
    <n v="1962"/>
    <n v="5"/>
    <n v="315.04899999999998"/>
  </r>
  <r>
    <s v="Brand ABC TDM"/>
    <x v="2"/>
    <s v="Womens"/>
    <x v="9"/>
    <s v="B5A9R-BB2J"/>
    <x v="30"/>
    <s v="S"/>
    <x v="0"/>
    <d v="2024-10-26T00:00:00"/>
    <d v="2024-12-21T00:00:00"/>
    <n v="13"/>
    <n v="789.87289999999996"/>
    <n v="2088"/>
    <n v="7"/>
    <n v="440.08089999999999"/>
  </r>
  <r>
    <s v="Brand ABC TDM"/>
    <x v="2"/>
    <s v="Womens"/>
    <x v="9"/>
    <s v="B5A9R-BB2J"/>
    <x v="30"/>
    <s v="XL"/>
    <x v="0"/>
    <d v="2024-10-26T00:00:00"/>
    <d v="2024-12-07T00:00:00"/>
    <n v="1"/>
    <n v="59.889899999999997"/>
    <n v="162"/>
    <n v="2"/>
    <n v="122.89400000000001"/>
  </r>
  <r>
    <s v="Brand ABC TDM"/>
    <x v="2"/>
    <s v="Womens"/>
    <x v="9"/>
    <s v="B5A9R-BB2J"/>
    <x v="30"/>
    <s v="XS"/>
    <x v="0"/>
    <d v="2024-10-25T00:00:00"/>
    <d v="2024-12-14T00:00:00"/>
    <n v="11"/>
    <n v="671.245"/>
    <n v="1782"/>
    <n v="3"/>
    <n v="189.01230000000001"/>
  </r>
  <r>
    <s v="Brand ABC TDM"/>
    <x v="2"/>
    <s v="Womens"/>
    <x v="9"/>
    <s v="B5A9R-ECH1"/>
    <x v="30"/>
    <s v="L"/>
    <x v="0"/>
    <d v="2024-10-26T00:00:00"/>
    <d v="2024-11-09T00:00:00"/>
    <n v="2"/>
    <n v="119.7796"/>
    <n v="314.95"/>
    <n v="6"/>
    <n v="359.33879999999999"/>
  </r>
  <r>
    <s v="Brand ABC TDM"/>
    <x v="2"/>
    <s v="Womens"/>
    <x v="9"/>
    <s v="B5A9R-ECH1"/>
    <x v="30"/>
    <s v="M"/>
    <x v="0"/>
    <d v="2024-10-25T00:00:00"/>
    <d v="2024-11-26T00:00:00"/>
    <n v="9"/>
    <n v="542.74540000000002"/>
    <n v="1476"/>
    <n v="5"/>
    <n v="311.2835"/>
  </r>
  <r>
    <s v="Brand ABC TDM"/>
    <x v="2"/>
    <s v="Womens"/>
    <x v="9"/>
    <s v="B5A9R-ECH1"/>
    <x v="30"/>
    <s v="S"/>
    <x v="0"/>
    <d v="2024-10-26T00:00:00"/>
    <d v="2024-12-16T00:00:00"/>
    <n v="12"/>
    <n v="726.87729999999999"/>
    <n v="1944"/>
    <n v="4"/>
    <n v="250.04599999999999"/>
  </r>
  <r>
    <s v="Brand ABC TDM"/>
    <x v="2"/>
    <s v="Womens"/>
    <x v="9"/>
    <s v="B5A9R-ECH1"/>
    <x v="30"/>
    <s v="XS"/>
    <x v="0"/>
    <d v="2024-10-26T00:00:00"/>
    <d v="2024-11-30T00:00:00"/>
    <n v="8"/>
    <n v="485.34699999999998"/>
    <n v="1296"/>
    <n v="5"/>
    <n v="315.02050000000003"/>
  </r>
  <r>
    <s v="Brand ABC TDM"/>
    <x v="2"/>
    <s v="Womens"/>
    <x v="9"/>
    <s v="B9A6F-BB67"/>
    <x v="20"/>
    <s v="L"/>
    <x v="1"/>
    <d v="2024-10-28T00:00:00"/>
    <d v="2024-10-28T00:00:00"/>
    <n v="1"/>
    <n v="99.250600000000006"/>
    <n v="273.43"/>
    <n v="4"/>
    <n v="397.00240000000002"/>
  </r>
  <r>
    <s v="Brand ABC TDM"/>
    <x v="2"/>
    <s v="Womens"/>
    <x v="9"/>
    <s v="B9A6F-BB67"/>
    <x v="20"/>
    <s v="M"/>
    <x v="1"/>
    <d v="2024-10-28T00:00:00"/>
    <d v="2024-12-21T00:00:00"/>
    <n v="2"/>
    <n v="199.5334"/>
    <n v="546.85"/>
    <n v="5"/>
    <n v="505.54300000000001"/>
  </r>
  <r>
    <s v="Brand ABC TDM"/>
    <x v="2"/>
    <s v="Womens"/>
    <x v="9"/>
    <s v="B9A6F-BB67"/>
    <x v="20"/>
    <s v="S"/>
    <x v="1"/>
    <d v="2024-10-28T00:00:00"/>
    <d v="2024-12-16T00:00:00"/>
    <n v="10"/>
    <n v="1025.7370000000001"/>
    <n v="2825.43"/>
    <n v="2"/>
    <n v="208.279"/>
  </r>
  <r>
    <s v="Brand ABC TDM"/>
    <x v="2"/>
    <s v="Womens"/>
    <x v="9"/>
    <s v="B9A6F-BB67"/>
    <x v="20"/>
    <s v="XS"/>
    <x v="1"/>
    <d v="2024-10-28T00:00:00"/>
    <d v="2024-12-06T00:00:00"/>
    <n v="5"/>
    <n v="503.73070000000001"/>
    <n v="1367.14"/>
    <n v="0"/>
    <n v="0"/>
  </r>
  <r>
    <s v="Brand ABC TDM"/>
    <x v="2"/>
    <s v="Womens"/>
    <x v="10"/>
    <s v="B3A2Q-BBF3"/>
    <x v="18"/>
    <s v="L"/>
    <x v="0"/>
    <d v="2024-12-07T00:00:00"/>
    <d v="2024-12-20T00:00:00"/>
    <n v="1"/>
    <n v="50.427300000000002"/>
    <n v="141.9"/>
    <n v="4"/>
    <n v="201.70920000000001"/>
  </r>
  <r>
    <s v="Brand ABC TDM"/>
    <x v="2"/>
    <s v="Womens"/>
    <x v="10"/>
    <s v="B3A2Q-BBF3"/>
    <x v="18"/>
    <s v="M"/>
    <x v="0"/>
    <d v="2024-12-07T00:00:00"/>
    <d v="2024-12-20T00:00:00"/>
    <n v="1"/>
    <n v="50.4208"/>
    <n v="127.71"/>
    <n v="5"/>
    <n v="252.10400000000001"/>
  </r>
  <r>
    <s v="Brand ABC TDM"/>
    <x v="2"/>
    <s v="Womens"/>
    <x v="10"/>
    <s v="B3A2Q-BBF3"/>
    <x v="18"/>
    <s v="S"/>
    <x v="0"/>
    <d v="2024-12-07T00:00:00"/>
    <d v="2024-12-21T00:00:00"/>
    <n v="2"/>
    <n v="100.8608"/>
    <n v="255.42"/>
    <n v="3"/>
    <n v="151.2912"/>
  </r>
  <r>
    <s v="Brand ABC TDM"/>
    <x v="2"/>
    <s v="Womens"/>
    <x v="10"/>
    <s v="B3A2Q-BBF3"/>
    <x v="18"/>
    <s v="XS"/>
    <x v="0"/>
    <d v="2024-12-07T00:00:00"/>
    <d v="2024-12-17T00:00:00"/>
    <n v="3"/>
    <n v="151.29599999999999"/>
    <n v="383.13"/>
    <n v="2"/>
    <n v="100.864"/>
  </r>
  <r>
    <s v="Brand ABC TDM"/>
    <x v="2"/>
    <s v="Womens"/>
    <x v="10"/>
    <s v="B3A2Q-EBTF"/>
    <x v="18"/>
    <s v="L"/>
    <x v="0"/>
    <d v="2024-10-26T00:00:00"/>
    <d v="2024-11-09T00:00:00"/>
    <n v="1"/>
    <n v="47.968400000000003"/>
    <n v="127.71"/>
    <n v="5"/>
    <n v="239.84200000000001"/>
  </r>
  <r>
    <s v="Brand ABC TDM"/>
    <x v="2"/>
    <s v="Womens"/>
    <x v="10"/>
    <s v="B3A2Q-EBTF"/>
    <x v="18"/>
    <s v="M"/>
    <x v="0"/>
    <d v="2024-10-26T00:00:00"/>
    <d v="2024-12-17T00:00:00"/>
    <n v="10"/>
    <n v="484.62619999999998"/>
    <n v="1291.31"/>
    <n v="5"/>
    <n v="252.2895"/>
  </r>
  <r>
    <s v="Brand ABC TDM"/>
    <x v="2"/>
    <s v="Womens"/>
    <x v="10"/>
    <s v="B3A2Q-EBTF"/>
    <x v="18"/>
    <s v="S"/>
    <x v="0"/>
    <d v="2024-10-26T00:00:00"/>
    <d v="2024-11-26T00:00:00"/>
    <n v="8"/>
    <n v="384.99439999999998"/>
    <n v="1021.69"/>
    <n v="4"/>
    <n v="198.1096"/>
  </r>
  <r>
    <s v="Brand ABC TDM"/>
    <x v="2"/>
    <s v="Womens"/>
    <x v="10"/>
    <s v="B3A2Q-EBTF"/>
    <x v="18"/>
    <s v="XL"/>
    <x v="0"/>
    <d v="2024-10-26T00:00:00"/>
    <d v="2024-10-26T00:00:00"/>
    <n v="0"/>
    <n v="0"/>
    <n v="0"/>
    <n v="2"/>
    <n v="95.936800000000005"/>
  </r>
  <r>
    <s v="Brand ABC TDM"/>
    <x v="2"/>
    <s v="Womens"/>
    <x v="10"/>
    <s v="B3A2Q-EBTF"/>
    <x v="18"/>
    <s v="XS"/>
    <x v="0"/>
    <d v="2024-10-26T00:00:00"/>
    <d v="2024-11-26T00:00:00"/>
    <n v="4"/>
    <n v="193.3518"/>
    <n v="510.85"/>
    <n v="4"/>
    <n v="200.3732"/>
  </r>
  <r>
    <s v="Brand ABC TDM"/>
    <x v="2"/>
    <s v="Womens"/>
    <x v="10"/>
    <s v="B3A2Q-UBR3"/>
    <x v="18"/>
    <s v="M"/>
    <x v="0"/>
    <d v="2024-11-12T00:00:00"/>
    <d v="2024-11-26T00:00:00"/>
    <n v="1"/>
    <n v="47.968400000000003"/>
    <n v="127.71"/>
    <n v="1"/>
    <n v="48.467300000000002"/>
  </r>
  <r>
    <s v="Brand ABC TDM"/>
    <x v="2"/>
    <s v="Womens"/>
    <x v="10"/>
    <s v="B3A2Q-UBR3"/>
    <x v="18"/>
    <s v="S"/>
    <x v="0"/>
    <d v="2024-11-12T00:00:00"/>
    <d v="2024-11-21T00:00:00"/>
    <n v="1"/>
    <n v="47.968400000000003"/>
    <n v="127.71"/>
    <n v="0"/>
    <n v="0"/>
  </r>
  <r>
    <s v="Brand ABC TDM"/>
    <x v="2"/>
    <s v="Womens"/>
    <x v="10"/>
    <s v="B8A4S-BB2J"/>
    <x v="37"/>
    <s v="L"/>
    <x v="0"/>
    <d v="2024-10-25T00:00:00"/>
    <d v="2024-12-18T00:00:00"/>
    <n v="7"/>
    <n v="300.512"/>
    <n v="827.33"/>
    <n v="5"/>
    <n v="219.80250000000001"/>
  </r>
  <r>
    <s v="Brand ABC TDM"/>
    <x v="2"/>
    <s v="Womens"/>
    <x v="10"/>
    <s v="B8A4S-BB2J"/>
    <x v="37"/>
    <s v="M"/>
    <x v="0"/>
    <d v="2024-10-26T00:00:00"/>
    <d v="2024-12-20T00:00:00"/>
    <n v="11"/>
    <n v="472.6103"/>
    <n v="1231.17"/>
    <n v="5"/>
    <n v="223.36150000000001"/>
  </r>
  <r>
    <s v="Brand ABC TDM"/>
    <x v="2"/>
    <s v="Womens"/>
    <x v="10"/>
    <s v="B8A4S-BB2J"/>
    <x v="37"/>
    <s v="S"/>
    <x v="0"/>
    <d v="2024-10-25T00:00:00"/>
    <d v="2024-12-21T00:00:00"/>
    <n v="12"/>
    <n v="525.05809999999997"/>
    <n v="1442.93"/>
    <n v="4"/>
    <n v="179.74279999999999"/>
  </r>
  <r>
    <s v="Brand ABC TDM"/>
    <x v="2"/>
    <s v="Womens"/>
    <x v="10"/>
    <s v="B8A4S-BB2J"/>
    <x v="37"/>
    <s v="XL"/>
    <x v="0"/>
    <d v="2024-10-25T00:00:00"/>
    <d v="2024-12-12T00:00:00"/>
    <n v="2"/>
    <n v="86.7346"/>
    <n v="238.28"/>
    <n v="2"/>
    <n v="88.939800000000005"/>
  </r>
  <r>
    <s v="Brand ABC TDM"/>
    <x v="2"/>
    <s v="Womens"/>
    <x v="10"/>
    <s v="B8A4S-BB2J"/>
    <x v="37"/>
    <s v="XS"/>
    <x v="0"/>
    <d v="2024-10-26T00:00:00"/>
    <d v="2024-11-09T00:00:00"/>
    <n v="2"/>
    <n v="85.604399999999998"/>
    <n v="238.29"/>
    <n v="3"/>
    <n v="128.40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C365A5-2A58-4ACC-A954-096767A62435}" name="PivotTable4" cacheId="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5" rowHeaderCaption="Department">
  <location ref="A10:A11" firstHeaderRow="1" firstDataRow="1" firstDataCol="0"/>
  <pivotFields count="17">
    <pivotField showAll="0"/>
    <pivotField showAll="0">
      <items count="4">
        <item x="0"/>
        <item x="1"/>
        <item x="2"/>
        <item t="default"/>
      </items>
    </pivotField>
    <pivotField showAll="0"/>
    <pivotField showAll="0"/>
    <pivotField showAll="0"/>
    <pivotField showAll="0"/>
    <pivotField showAll="0"/>
    <pivotField showAll="0">
      <items count="5">
        <item x="0"/>
        <item x="1"/>
        <item x="3"/>
        <item x="2"/>
        <item t="default"/>
      </items>
    </pivotField>
    <pivotField numFmtId="165" showAll="0"/>
    <pivotField numFmtId="165" showAll="0"/>
    <pivotField numFmtId="37" showAll="0"/>
    <pivotField numFmtId="37" showAll="0"/>
    <pivotField numFmtId="37" showAll="0"/>
    <pivotField numFmtId="37" showAll="0"/>
    <pivotField numFmtId="37" showAll="0"/>
    <pivotField dataField="1" dragToRow="0" dragToCol="0" dragToPage="0" showAll="0" defaultSubtotal="0"/>
    <pivotField dragToRow="0" dragToCol="0" dragToPage="0" showAll="0" defaultSubtotal="0"/>
  </pivotFields>
  <rowItems count="1">
    <i/>
  </rowItems>
  <colItems count="1">
    <i/>
  </colItems>
  <dataFields count="1">
    <dataField name="Profit " fld="15" baseField="0" baseItem="0" numFmtId="37"/>
  </dataFields>
  <formats count="8">
    <format dxfId="7">
      <pivotArea outline="0" collapsedLevelsAreSubtotals="1" fieldPosition="0"/>
    </format>
    <format dxfId="6">
      <pivotArea dataOnly="0" labelOnly="1" outline="0" axis="axisValues" fieldPosition="0"/>
    </format>
    <format dxfId="5">
      <pivotArea dataOnly="0" labelOnly="1" outline="0" axis="axisValues" fieldPosition="0"/>
    </format>
    <format dxfId="4">
      <pivotArea dataOnly="0"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F3A4B9-5AC5-48F6-B599-EE1D8A90E9DE}" name="PivotTable3" cacheId="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6" rowHeaderCaption="Department">
  <location ref="C5:D9" firstHeaderRow="1" firstDataRow="1" firstDataCol="1"/>
  <pivotFields count="17">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0"/>
        <item x="1"/>
        <item x="3"/>
        <item x="2"/>
        <item t="default"/>
      </items>
    </pivotField>
    <pivotField numFmtId="165" showAll="0"/>
    <pivotField numFmtId="165" showAll="0"/>
    <pivotField numFmtId="37" showAll="0"/>
    <pivotField numFmtId="37" showAll="0"/>
    <pivotField dataField="1" numFmtId="37" showAll="0"/>
    <pivotField numFmtId="37" showAll="0"/>
    <pivotField numFmtId="37" showAll="0"/>
    <pivotField dragToRow="0" dragToCol="0" dragToPage="0" showAll="0" defaultSubtotal="0"/>
    <pivotField dragToRow="0" dragToCol="0" dragToPage="0" showAll="0" defaultSubtotal="0"/>
  </pivotFields>
  <rowFields count="1">
    <field x="1"/>
  </rowFields>
  <rowItems count="4">
    <i>
      <x v="2"/>
    </i>
    <i>
      <x/>
    </i>
    <i>
      <x v="1"/>
    </i>
    <i t="grand">
      <x/>
    </i>
  </rowItems>
  <colItems count="1">
    <i/>
  </colItems>
  <dataFields count="1">
    <dataField name="Revenue" fld="12" baseField="0" baseItem="0" numFmtId="3"/>
  </dataFields>
  <formats count="6">
    <format dxfId="13">
      <pivotArea outline="0" collapsedLevelsAreSubtotals="1" fieldPosition="0"/>
    </format>
    <format dxfId="12">
      <pivotArea dataOnly="0" labelOnly="1" outline="0" axis="axisValues" fieldPosition="0"/>
    </format>
    <format dxfId="11">
      <pivotArea dataOnly="0" labelOnly="1" outline="0" axis="axisValues" fieldPosition="0"/>
    </format>
    <format dxfId="10">
      <pivotArea field="7" type="button" dataOnly="0" labelOnly="1" outline="0"/>
    </format>
    <format dxfId="9">
      <pivotArea field="1" type="button" dataOnly="0" labelOnly="1" outline="0" axis="axisRow" fieldPosition="0"/>
    </format>
    <format dxfId="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2"/>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2"/>
          </reference>
        </references>
      </pivotArea>
    </chartFormat>
    <chartFormat chart="10" format="10">
      <pivotArea type="data" outline="0" fieldPosition="0">
        <references count="2">
          <reference field="4294967294" count="1" selected="0">
            <x v="0"/>
          </reference>
          <reference field="1" count="1" selected="0">
            <x v="0"/>
          </reference>
        </references>
      </pivotArea>
    </chartFormat>
    <chartFormat chart="10" format="11">
      <pivotArea type="data" outline="0" fieldPosition="0">
        <references count="2">
          <reference field="4294967294" count="1" selected="0">
            <x v="0"/>
          </reference>
          <reference field="1"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1E8FF-27D6-4433-8B61-AA388B9D4A7D}" name="PivotTable8" cacheId="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4" rowHeaderCaption="Family">
  <location ref="BE2:BF13" firstHeaderRow="1" firstDataRow="1" firstDataCol="1"/>
  <pivotFields count="17">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axis="axisRow" showAll="0" measureFilter="1" sortType="descending">
      <items count="46">
        <item x="43"/>
        <item x="16"/>
        <item x="14"/>
        <item x="42"/>
        <item x="1"/>
        <item x="11"/>
        <item x="28"/>
        <item x="39"/>
        <item x="33"/>
        <item x="10"/>
        <item x="6"/>
        <item x="37"/>
        <item x="44"/>
        <item x="15"/>
        <item x="36"/>
        <item x="31"/>
        <item x="35"/>
        <item x="13"/>
        <item x="17"/>
        <item x="38"/>
        <item x="27"/>
        <item x="22"/>
        <item x="24"/>
        <item x="19"/>
        <item x="3"/>
        <item x="34"/>
        <item x="0"/>
        <item x="40"/>
        <item x="9"/>
        <item x="25"/>
        <item x="8"/>
        <item x="20"/>
        <item x="41"/>
        <item x="12"/>
        <item x="26"/>
        <item x="4"/>
        <item x="5"/>
        <item x="21"/>
        <item x="2"/>
        <item x="23"/>
        <item x="32"/>
        <item x="7"/>
        <item x="30"/>
        <item x="29"/>
        <item x="18"/>
        <item t="default"/>
      </items>
      <autoSortScope>
        <pivotArea dataOnly="0" outline="0" fieldPosition="0">
          <references count="1">
            <reference field="4294967294" count="1" selected="0">
              <x v="0"/>
            </reference>
          </references>
        </pivotArea>
      </autoSortScope>
    </pivotField>
    <pivotField showAll="0"/>
    <pivotField showAll="0">
      <items count="5">
        <item x="0"/>
        <item x="1"/>
        <item x="3"/>
        <item x="2"/>
        <item t="default"/>
      </items>
    </pivotField>
    <pivotField numFmtId="165" showAll="0"/>
    <pivotField numFmtId="165" showAll="0"/>
    <pivotField numFmtId="37" showAll="0"/>
    <pivotField numFmtId="37" showAll="0"/>
    <pivotField dataField="1" numFmtId="37" showAll="0"/>
    <pivotField numFmtId="37" showAll="0"/>
    <pivotField numFmtId="37" showAll="0"/>
    <pivotField dragToRow="0" dragToCol="0" dragToPage="0" showAll="0" defaultSubtotal="0"/>
    <pivotField dragToRow="0" dragToCol="0" dragToPage="0" showAll="0" defaultSubtotal="0"/>
  </pivotFields>
  <rowFields count="1">
    <field x="5"/>
  </rowFields>
  <rowItems count="11">
    <i>
      <x v="44"/>
    </i>
    <i>
      <x v="17"/>
    </i>
    <i>
      <x v="30"/>
    </i>
    <i>
      <x v="11"/>
    </i>
    <i>
      <x v="5"/>
    </i>
    <i>
      <x v="12"/>
    </i>
    <i>
      <x v="1"/>
    </i>
    <i>
      <x v="39"/>
    </i>
    <i>
      <x v="22"/>
    </i>
    <i>
      <x v="24"/>
    </i>
    <i t="grand">
      <x/>
    </i>
  </rowItems>
  <colItems count="1">
    <i/>
  </colItems>
  <dataFields count="1">
    <dataField name="Total Sales Retail Value" fld="12" baseField="0" baseItem="0" numFmtId="3"/>
  </dataFields>
  <formats count="4">
    <format dxfId="17">
      <pivotArea outline="0" collapsedLevelsAreSubtotals="1" fieldPosition="0"/>
    </format>
    <format dxfId="16">
      <pivotArea dataOnly="0" labelOnly="1" outline="0" axis="axisValues" fieldPosition="0"/>
    </format>
    <format dxfId="15">
      <pivotArea dataOnly="0" labelOnly="1" outline="0" axis="axisValues" fieldPosition="0"/>
    </format>
    <format dxfId="14">
      <pivotArea field="7" type="button" dataOnly="0" labelOnly="1" outline="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count" evalOrder="-1" id="1" iMeasureFld="0">
      <autoFilter ref="A1">
        <filterColumn colId="0">
          <top10 val="10" filterVal="10"/>
        </filterColumn>
      </autoFilter>
    </filter>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85BF6D-C49E-4784-8BCD-50617E51DCED}" name="PivotTable2" cacheId="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5" rowHeaderCaption="Department">
  <location ref="A5:A6" firstHeaderRow="1" firstDataRow="1" firstDataCol="0"/>
  <pivotFields count="17">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5" showAll="0"/>
    <pivotField numFmtId="165" showAll="0"/>
    <pivotField numFmtId="37" showAll="0"/>
    <pivotField numFmtId="37" showAll="0"/>
    <pivotField dataField="1" numFmtId="37" showAll="0"/>
    <pivotField numFmtId="37" showAll="0"/>
    <pivotField numFmtId="37" showAll="0"/>
    <pivotField dragToRow="0" dragToCol="0" dragToPage="0" showAll="0" defaultSubtotal="0"/>
    <pivotField dragToRow="0" dragToCol="0" dragToPage="0" showAll="0" defaultSubtotal="0"/>
  </pivotFields>
  <rowItems count="1">
    <i/>
  </rowItems>
  <colItems count="1">
    <i/>
  </colItems>
  <dataFields count="1">
    <dataField name="Total Revenue" fld="12" baseField="0" baseItem="0" numFmtId="3"/>
  </dataFields>
  <formats count="8">
    <format dxfId="25">
      <pivotArea outline="0" collapsedLevelsAreSubtotals="1" fieldPosition="0"/>
    </format>
    <format dxfId="24">
      <pivotArea dataOnly="0" labelOnly="1" outline="0" axis="axisValues" fieldPosition="0"/>
    </format>
    <format dxfId="23">
      <pivotArea dataOnly="0" labelOnly="1" outline="0" axis="axisValues"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 dxfId="18">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9B5C7A-BBB0-4569-9316-3D66FBD403A6}" name="PivotTable7" cacheId="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5" rowHeaderCaption="Department">
  <location ref="A14:A15" firstHeaderRow="1" firstDataRow="1" firstDataCol="0"/>
  <pivotFields count="17">
    <pivotField showAll="0"/>
    <pivotField showAll="0">
      <items count="4">
        <item x="0"/>
        <item x="1"/>
        <item x="2"/>
        <item t="default"/>
      </items>
    </pivotField>
    <pivotField showAll="0"/>
    <pivotField showAll="0"/>
    <pivotField showAll="0"/>
    <pivotField showAll="0"/>
    <pivotField showAll="0"/>
    <pivotField showAll="0"/>
    <pivotField numFmtId="165" showAll="0"/>
    <pivotField numFmtId="165" showAll="0"/>
    <pivotField numFmtId="37" showAll="0"/>
    <pivotField numFmtId="37" showAll="0"/>
    <pivotField numFmtId="37" showAll="0"/>
    <pivotField numFmtId="37" showAll="0"/>
    <pivotField numFmtId="37" showAll="0"/>
    <pivotField dragToRow="0" dragToCol="0" dragToPage="0" showAll="0" defaultSubtotal="0"/>
    <pivotField dataField="1" dragToRow="0" dragToCol="0" dragToPage="0" showAll="0" defaultSubtotal="0"/>
  </pivotFields>
  <rowItems count="1">
    <i/>
  </rowItems>
  <colItems count="1">
    <i/>
  </colItems>
  <dataFields count="1">
    <dataField name="Total Sell Through %" fld="16" baseField="0" baseItem="0" numFmtId="9"/>
  </dataFields>
  <formats count="9">
    <format dxfId="34">
      <pivotArea dataOnly="0" labelOnly="1" outline="0" axis="axisValues" fieldPosition="0"/>
    </format>
    <format dxfId="33">
      <pivotArea dataOnly="0" labelOnly="1" outline="0" axis="axisValues" fieldPosition="0"/>
    </format>
    <format dxfId="32">
      <pivotArea dataOnly="0" outline="0" axis="axisValues" fieldPosition="0"/>
    </format>
    <format dxfId="31">
      <pivotArea dataOnly="0" outline="0" axis="axisValues"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366FA4-447E-472E-BEC8-CDA11E96C1C5}" name="PivotTable6" cacheId="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6" rowHeaderCaption="Buying group">
  <location ref="BB2:BC13" firstHeaderRow="1" firstDataRow="1" firstDataCol="1"/>
  <pivotFields count="17">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8">
        <item x="4"/>
        <item x="0"/>
        <item x="14"/>
        <item x="3"/>
        <item x="1"/>
        <item x="15"/>
        <item x="12"/>
        <item x="6"/>
        <item x="16"/>
        <item x="8"/>
        <item x="9"/>
        <item x="5"/>
        <item x="7"/>
        <item x="10"/>
        <item x="2"/>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0"/>
        <item x="1"/>
        <item x="3"/>
        <item x="2"/>
        <item t="default"/>
      </items>
    </pivotField>
    <pivotField numFmtId="165" showAll="0"/>
    <pivotField numFmtId="165" showAll="0"/>
    <pivotField numFmtId="37" showAll="0"/>
    <pivotField numFmtId="37" showAll="0"/>
    <pivotField dataField="1" numFmtId="37" showAll="0"/>
    <pivotField numFmtId="37" showAll="0"/>
    <pivotField numFmtId="37" showAll="0"/>
    <pivotField dragToRow="0" dragToCol="0" dragToPage="0" showAll="0" defaultSubtotal="0"/>
    <pivotField dragToRow="0" dragToCol="0" dragToPage="0" showAll="0" defaultSubtotal="0"/>
  </pivotFields>
  <rowFields count="1">
    <field x="3"/>
  </rowFields>
  <rowItems count="11">
    <i>
      <x v="11"/>
    </i>
    <i>
      <x v="12"/>
    </i>
    <i>
      <x v="6"/>
    </i>
    <i>
      <x v="10"/>
    </i>
    <i>
      <x v="15"/>
    </i>
    <i>
      <x v="9"/>
    </i>
    <i>
      <x v="14"/>
    </i>
    <i>
      <x v="13"/>
    </i>
    <i>
      <x v="2"/>
    </i>
    <i>
      <x v="7"/>
    </i>
    <i t="grand">
      <x/>
    </i>
  </rowItems>
  <colItems count="1">
    <i/>
  </colItems>
  <dataFields count="1">
    <dataField name="Total Sales Retail Value" fld="12" baseField="0" baseItem="0" numFmtId="3"/>
  </dataFields>
  <formats count="6">
    <format dxfId="40">
      <pivotArea outline="0" collapsedLevelsAreSubtotals="1" fieldPosition="0"/>
    </format>
    <format dxfId="39">
      <pivotArea dataOnly="0" labelOnly="1" outline="0" axis="axisValues" fieldPosition="0"/>
    </format>
    <format dxfId="38">
      <pivotArea dataOnly="0" labelOnly="1" outline="0" axis="axisValues" fieldPosition="0"/>
    </format>
    <format dxfId="37">
      <pivotArea field="7" type="button" dataOnly="0" labelOnly="1" outline="0"/>
    </format>
    <format dxfId="36">
      <pivotArea collapsedLevelsAreSubtotals="1" fieldPosition="0">
        <references count="1">
          <reference field="3" count="1">
            <x v="3"/>
          </reference>
        </references>
      </pivotArea>
    </format>
    <format dxfId="35">
      <pivotArea dataOnly="0" labelOnly="1" fieldPosition="0">
        <references count="1">
          <reference field="3" count="1">
            <x v="3"/>
          </reference>
        </references>
      </pivotArea>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48113A-5279-43DA-A225-A379B62261D6}"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eason">
  <location ref="C26:I31" firstHeaderRow="0" firstDataRow="1" firstDataCol="1"/>
  <pivotFields count="18">
    <pivotField showAll="0"/>
    <pivotField showAll="0"/>
    <pivotField showAll="0">
      <items count="4">
        <item x="2"/>
        <item x="0"/>
        <item x="1"/>
        <item t="default"/>
      </items>
    </pivotField>
    <pivotField showAll="0"/>
    <pivotField showAll="0"/>
    <pivotField showAll="0"/>
    <pivotField showAll="0"/>
    <pivotField axis="axisRow" showAll="0">
      <items count="5">
        <item x="0"/>
        <item x="1"/>
        <item x="3"/>
        <item x="2"/>
        <item t="default"/>
      </items>
    </pivotField>
    <pivotField numFmtId="165" showAll="0"/>
    <pivotField numFmtId="165" showAll="0"/>
    <pivotField dataField="1" numFmtId="37" showAll="0"/>
    <pivotField dataField="1" numFmtId="37" showAll="0"/>
    <pivotField dataField="1" numFmtId="37" showAll="0"/>
    <pivotField numFmtId="37" showAll="0"/>
    <pivotField numFmtId="37" showAll="0"/>
    <pivotField dataField="1" numFmtId="37" showAll="0"/>
    <pivotField dataField="1" dragToRow="0" dragToCol="0" dragToPage="0" showAll="0" defaultSubtotal="0"/>
    <pivotField dataField="1" dragToRow="0" dragToCol="0" dragToPage="0" showAll="0" defaultSubtotal="0"/>
  </pivotFields>
  <rowFields count="1">
    <field x="7"/>
  </rowFields>
  <rowItems count="5">
    <i>
      <x/>
    </i>
    <i>
      <x v="1"/>
    </i>
    <i>
      <x v="2"/>
    </i>
    <i>
      <x v="3"/>
    </i>
    <i t="grand">
      <x/>
    </i>
  </rowItems>
  <colFields count="1">
    <field x="-2"/>
  </colFields>
  <colItems count="6">
    <i>
      <x/>
    </i>
    <i i="1">
      <x v="1"/>
    </i>
    <i i="2">
      <x v="2"/>
    </i>
    <i i="3">
      <x v="3"/>
    </i>
    <i i="4">
      <x v="4"/>
    </i>
    <i i="5">
      <x v="5"/>
    </i>
  </colItems>
  <dataFields count="6">
    <dataField name="Total Units " fld="15" baseField="0" baseItem="0"/>
    <dataField name="Sales Units " fld="10" baseField="0" baseItem="0"/>
    <dataField name=" Sales Retail Value " fld="12" baseField="0" baseItem="0"/>
    <dataField name="Sales Cost " fld="11" baseField="0" baseItem="0"/>
    <dataField name="Gross Profit " fld="16" baseField="0" baseItem="0" numFmtId="37"/>
    <dataField name="Sell Through %" fld="17" baseField="0" baseItem="0" numFmtId="9"/>
  </dataFields>
  <formats count="9">
    <format dxfId="49">
      <pivotArea outline="0" collapsedLevelsAreSubtotals="1" fieldPosition="0"/>
    </format>
    <format dxfId="48">
      <pivotArea outline="0" collapsedLevelsAreSubtotals="1" fieldPosition="0"/>
    </format>
    <format dxfId="47">
      <pivotArea outline="0" collapsedLevelsAreSubtotals="1" fieldPosition="0">
        <references count="1">
          <reference field="4294967294" count="1" selected="0">
            <x v="5"/>
          </reference>
        </references>
      </pivotArea>
    </format>
    <format dxfId="46">
      <pivotArea outline="0" collapsedLevelsAreSubtotals="1" fieldPosition="0">
        <references count="1">
          <reference field="4294967294" count="1" selected="0">
            <x v="5"/>
          </reference>
        </references>
      </pivotArea>
    </format>
    <format dxfId="45">
      <pivotArea dataOnly="0" labelOnly="1" outline="0" fieldPosition="0">
        <references count="1">
          <reference field="4294967294" count="1">
            <x v="5"/>
          </reference>
        </references>
      </pivotArea>
    </format>
    <format dxfId="44">
      <pivotArea field="7" type="button" dataOnly="0" labelOnly="1" outline="0" axis="axisRow" fieldPosition="0"/>
    </format>
    <format dxfId="43">
      <pivotArea dataOnly="0" labelOnly="1" outline="0" fieldPosition="0">
        <references count="1">
          <reference field="4294967294" count="6">
            <x v="0"/>
            <x v="1"/>
            <x v="2"/>
            <x v="3"/>
            <x v="4"/>
            <x v="5"/>
          </reference>
        </references>
      </pivotArea>
    </format>
    <format dxfId="42">
      <pivotArea field="7" type="button" dataOnly="0" labelOnly="1" outline="0" axis="axisRow" fieldPosition="0"/>
    </format>
    <format dxfId="41">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89B6C6-7A7C-43D8-B5AC-432DD2FF5ACD}"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partment">
  <location ref="C14:I18" firstHeaderRow="0" firstDataRow="1" firstDataCol="1"/>
  <pivotFields count="18">
    <pivotField showAll="0"/>
    <pivotField axis="axisRow" showAll="0">
      <items count="4">
        <item x="0"/>
        <item x="1"/>
        <item x="2"/>
        <item t="default"/>
      </items>
    </pivotField>
    <pivotField showAll="0">
      <items count="4">
        <item x="2"/>
        <item x="0"/>
        <item x="1"/>
        <item t="default"/>
      </items>
    </pivotField>
    <pivotField showAll="0"/>
    <pivotField showAll="0"/>
    <pivotField showAll="0"/>
    <pivotField showAll="0"/>
    <pivotField showAll="0"/>
    <pivotField numFmtId="165" showAll="0"/>
    <pivotField numFmtId="165" showAll="0"/>
    <pivotField dataField="1" numFmtId="37" showAll="0"/>
    <pivotField dataField="1" numFmtId="37" showAll="0"/>
    <pivotField dataField="1" numFmtId="37" showAll="0"/>
    <pivotField numFmtId="37" showAll="0"/>
    <pivotField numFmtId="37" showAll="0"/>
    <pivotField dataField="1" numFmtId="37" showAll="0"/>
    <pivotField dataField="1" dragToRow="0" dragToCol="0" dragToPage="0" showAll="0" defaultSubtotal="0"/>
    <pivotField dataField="1" dragToRow="0" dragToCol="0" dragToPage="0" showAll="0" defaultSubtotal="0"/>
  </pivotFields>
  <rowFields count="1">
    <field x="1"/>
  </rowFields>
  <rowItems count="4">
    <i>
      <x/>
    </i>
    <i>
      <x v="1"/>
    </i>
    <i>
      <x v="2"/>
    </i>
    <i t="grand">
      <x/>
    </i>
  </rowItems>
  <colFields count="1">
    <field x="-2"/>
  </colFields>
  <colItems count="6">
    <i>
      <x/>
    </i>
    <i i="1">
      <x v="1"/>
    </i>
    <i i="2">
      <x v="2"/>
    </i>
    <i i="3">
      <x v="3"/>
    </i>
    <i i="4">
      <x v="4"/>
    </i>
    <i i="5">
      <x v="5"/>
    </i>
  </colItems>
  <dataFields count="6">
    <dataField name="Total Units " fld="15" baseField="0" baseItem="0"/>
    <dataField name="Sales Units " fld="10" baseField="0" baseItem="0"/>
    <dataField name=" Sales Retail Value " fld="12" baseField="0" baseItem="0"/>
    <dataField name="Sales Cost " fld="11" baseField="0" baseItem="0"/>
    <dataField name="Gross Profit " fld="16" baseField="0" baseItem="0" numFmtId="37"/>
    <dataField name="Sell Through %" fld="17" baseField="0" baseItem="0" numFmtId="9"/>
  </dataFields>
  <formats count="8">
    <format dxfId="57">
      <pivotArea outline="0" collapsedLevelsAreSubtotals="1" fieldPosition="0"/>
    </format>
    <format dxfId="56">
      <pivotArea outline="0" collapsedLevelsAreSubtotals="1" fieldPosition="0"/>
    </format>
    <format dxfId="55">
      <pivotArea outline="0" collapsedLevelsAreSubtotals="1" fieldPosition="0">
        <references count="1">
          <reference field="4294967294" count="1" selected="0">
            <x v="5"/>
          </reference>
        </references>
      </pivotArea>
    </format>
    <format dxfId="54">
      <pivotArea outline="0" collapsedLevelsAreSubtotals="1" fieldPosition="0">
        <references count="1">
          <reference field="4294967294" count="1" selected="0">
            <x v="5"/>
          </reference>
        </references>
      </pivotArea>
    </format>
    <format dxfId="53">
      <pivotArea dataOnly="0" labelOnly="1" outline="0" fieldPosition="0">
        <references count="1">
          <reference field="4294967294" count="1">
            <x v="5"/>
          </reference>
        </references>
      </pivotArea>
    </format>
    <format dxfId="52">
      <pivotArea dataOnly="0" labelOnly="1" outline="0" fieldPosition="0">
        <references count="1">
          <reference field="4294967294" count="1">
            <x v="2"/>
          </reference>
        </references>
      </pivotArea>
    </format>
    <format dxfId="51">
      <pivotArea field="1" type="button" dataOnly="0" labelOnly="1" outline="0" axis="axisRow" fieldPosition="0"/>
    </format>
    <format dxfId="50">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13E0DE-D7FB-4364-8F51-86D8EFD5B224}" name="PivotTable5" cacheId="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5" rowHeaderCaption="Season">
  <location ref="F5:G10" firstHeaderRow="1" firstDataRow="1" firstDataCol="1"/>
  <pivotFields count="17">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5">
        <item x="0"/>
        <item x="1"/>
        <item x="3"/>
        <item x="2"/>
        <item t="default"/>
      </items>
    </pivotField>
    <pivotField numFmtId="165" showAll="0"/>
    <pivotField numFmtId="165" showAll="0"/>
    <pivotField numFmtId="37" showAll="0"/>
    <pivotField numFmtId="37" showAll="0"/>
    <pivotField dataField="1" numFmtId="37" showAll="0"/>
    <pivotField numFmtId="37" showAll="0"/>
    <pivotField numFmtId="37" showAll="0"/>
    <pivotField dragToRow="0" dragToCol="0" dragToPage="0" showAll="0" defaultSubtotal="0"/>
    <pivotField dragToRow="0" dragToCol="0" dragToPage="0" showAll="0" defaultSubtotal="0"/>
  </pivotFields>
  <rowFields count="1">
    <field x="7"/>
  </rowFields>
  <rowItems count="5">
    <i>
      <x/>
    </i>
    <i>
      <x v="1"/>
    </i>
    <i>
      <x v="2"/>
    </i>
    <i>
      <x v="3"/>
    </i>
    <i t="grand">
      <x/>
    </i>
  </rowItems>
  <colItems count="1">
    <i/>
  </colItems>
  <dataFields count="1">
    <dataField name="Revenue" fld="12" baseField="0" baseItem="0" numFmtId="3"/>
  </dataFields>
  <formats count="6">
    <format dxfId="63">
      <pivotArea outline="0" collapsedLevelsAreSubtotals="1" fieldPosition="0"/>
    </format>
    <format dxfId="62">
      <pivotArea dataOnly="0" labelOnly="1" outline="0" axis="axisValues" fieldPosition="0"/>
    </format>
    <format dxfId="61">
      <pivotArea dataOnly="0" labelOnly="1" outline="0" axis="axisValues" fieldPosition="0"/>
    </format>
    <format dxfId="60">
      <pivotArea field="7" type="button" dataOnly="0" labelOnly="1" outline="0" axis="axisRow" fieldPosition="0"/>
    </format>
    <format dxfId="59">
      <pivotArea dataOnly="0" labelOnly="1" outline="0" axis="axisValues" fieldPosition="0"/>
    </format>
    <format dxfId="58">
      <pivotArea dataOnly="0"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CA5FC3-2887-425B-9295-BDA42CDCF22D}"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Group">
  <location ref="C20:I24" firstHeaderRow="0" firstDataRow="1" firstDataCol="1"/>
  <pivotFields count="18">
    <pivotField showAll="0"/>
    <pivotField showAll="0"/>
    <pivotField axis="axisRow" showAll="0">
      <items count="4">
        <item x="2"/>
        <item x="0"/>
        <item x="1"/>
        <item t="default"/>
      </items>
    </pivotField>
    <pivotField showAll="0"/>
    <pivotField showAll="0"/>
    <pivotField showAll="0"/>
    <pivotField showAll="0"/>
    <pivotField showAll="0"/>
    <pivotField numFmtId="165" showAll="0"/>
    <pivotField numFmtId="165" showAll="0"/>
    <pivotField dataField="1" numFmtId="37" showAll="0"/>
    <pivotField dataField="1" numFmtId="37" showAll="0"/>
    <pivotField dataField="1" numFmtId="37" showAll="0"/>
    <pivotField numFmtId="37" showAll="0"/>
    <pivotField numFmtId="37" showAll="0"/>
    <pivotField dataField="1" numFmtId="37" showAll="0"/>
    <pivotField dataField="1" dragToRow="0" dragToCol="0" dragToPage="0" showAll="0" defaultSubtotal="0"/>
    <pivotField dataField="1" dragToRow="0" dragToCol="0" dragToPage="0" showAll="0" defaultSubtotal="0"/>
  </pivotFields>
  <rowFields count="1">
    <field x="2"/>
  </rowFields>
  <rowItems count="4">
    <i>
      <x/>
    </i>
    <i>
      <x v="1"/>
    </i>
    <i>
      <x v="2"/>
    </i>
    <i t="grand">
      <x/>
    </i>
  </rowItems>
  <colFields count="1">
    <field x="-2"/>
  </colFields>
  <colItems count="6">
    <i>
      <x/>
    </i>
    <i i="1">
      <x v="1"/>
    </i>
    <i i="2">
      <x v="2"/>
    </i>
    <i i="3">
      <x v="3"/>
    </i>
    <i i="4">
      <x v="4"/>
    </i>
    <i i="5">
      <x v="5"/>
    </i>
  </colItems>
  <dataFields count="6">
    <dataField name="Total Units " fld="15" baseField="0" baseItem="0"/>
    <dataField name="Sales Units " fld="10" baseField="0" baseItem="0"/>
    <dataField name=" Sales Retail Value " fld="12" baseField="0" baseItem="0"/>
    <dataField name="Sales Cost " fld="11" baseField="0" baseItem="0"/>
    <dataField name="Gross Profit " fld="16" baseField="0" baseItem="0" numFmtId="37"/>
    <dataField name="Sell Through %" fld="17" baseField="0" baseItem="0" numFmtId="9"/>
  </dataFields>
  <formats count="9">
    <format dxfId="72">
      <pivotArea outline="0" collapsedLevelsAreSubtotals="1" fieldPosition="0"/>
    </format>
    <format dxfId="71">
      <pivotArea outline="0" collapsedLevelsAreSubtotals="1" fieldPosition="0"/>
    </format>
    <format dxfId="70">
      <pivotArea outline="0" collapsedLevelsAreSubtotals="1" fieldPosition="0">
        <references count="1">
          <reference field="4294967294" count="1" selected="0">
            <x v="5"/>
          </reference>
        </references>
      </pivotArea>
    </format>
    <format dxfId="69">
      <pivotArea outline="0" collapsedLevelsAreSubtotals="1" fieldPosition="0">
        <references count="1">
          <reference field="4294967294" count="1" selected="0">
            <x v="5"/>
          </reference>
        </references>
      </pivotArea>
    </format>
    <format dxfId="68">
      <pivotArea dataOnly="0" labelOnly="1" outline="0" fieldPosition="0">
        <references count="1">
          <reference field="4294967294" count="1">
            <x v="5"/>
          </reference>
        </references>
      </pivotArea>
    </format>
    <format dxfId="67">
      <pivotArea field="2" type="button" dataOnly="0" labelOnly="1" outline="0" axis="axisRow" fieldPosition="0"/>
    </format>
    <format dxfId="66">
      <pivotArea dataOnly="0" labelOnly="1" outline="0" fieldPosition="0">
        <references count="1">
          <reference field="4294967294" count="6">
            <x v="0"/>
            <x v="1"/>
            <x v="2"/>
            <x v="3"/>
            <x v="4"/>
            <x v="5"/>
          </reference>
        </references>
      </pivotArea>
    </format>
    <format dxfId="65">
      <pivotArea field="2" type="button" dataOnly="0" labelOnly="1" outline="0" axis="axisRow" fieldPosition="0"/>
    </format>
    <format dxfId="64">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714D1E1-FF3E-41A0-98DA-3A1987122997}" sourceName="Department">
  <pivotTables>
    <pivotTable tabId="15" name="PivotTable2"/>
    <pivotTable tabId="15" name="PivotTable4"/>
    <pivotTable tabId="15" name="PivotTable6"/>
    <pivotTable tabId="15" name="PivotTable7"/>
    <pivotTable tabId="15" name="PivotTable8"/>
  </pivotTables>
  <data>
    <tabular pivotCacheId="37313877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1FBAEED-381A-44C7-AF0F-1F6AD1568D12}" sourceName="Season">
  <pivotTables>
    <pivotTable tabId="15" name="PivotTable4"/>
  </pivotTables>
  <data>
    <tabular pivotCacheId="373138770">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F583239-5822-4B51-A70E-2365A2F95A95}" cache="Slicer_Department" caption="Department" rowHeight="220133"/>
  <slicer name="Season" xr10:uid="{AD32CA54-3617-4F31-BA84-53CD19B5A35F}" cache="Slicer_Season" caption="Season" rowHeight="22013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5.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P100"/>
  <sheetViews>
    <sheetView showGridLines="0" workbookViewId="0">
      <selection activeCell="K9" sqref="K9"/>
    </sheetView>
  </sheetViews>
  <sheetFormatPr defaultColWidth="9.1796875" defaultRowHeight="12.5" x14ac:dyDescent="0.25"/>
  <cols>
    <col min="1" max="1" width="10.54296875" style="3" bestFit="1" customWidth="1"/>
    <col min="2" max="2" width="17.54296875" style="5" bestFit="1" customWidth="1"/>
    <col min="3" max="3" width="11.453125" style="5" customWidth="1"/>
    <col min="4" max="4" width="14.453125" style="4" bestFit="1" customWidth="1"/>
    <col min="5" max="5" width="19" style="3" bestFit="1" customWidth="1"/>
    <col min="6" max="6" width="15.81640625" style="3" bestFit="1" customWidth="1"/>
    <col min="7" max="7" width="9" style="3" bestFit="1" customWidth="1"/>
    <col min="8" max="8" width="11.36328125" style="3" customWidth="1"/>
    <col min="9" max="9" width="9.81640625" style="3" customWidth="1"/>
    <col min="10" max="10" width="9.1796875" style="3"/>
    <col min="11" max="11" width="11" style="3" customWidth="1"/>
    <col min="12" max="14" width="9.1796875" style="3"/>
    <col min="15" max="15" width="11.81640625" style="3" customWidth="1"/>
    <col min="16" max="16384" width="9.1796875" style="3"/>
  </cols>
  <sheetData>
    <row r="1" spans="1:16" ht="13" x14ac:dyDescent="0.3">
      <c r="A1" s="2" t="s">
        <v>44</v>
      </c>
      <c r="B1" s="28"/>
      <c r="C1" s="28"/>
      <c r="D1" s="29"/>
      <c r="E1" s="30"/>
      <c r="F1" s="30"/>
      <c r="G1" s="30"/>
      <c r="H1" s="30"/>
      <c r="I1" s="30"/>
      <c r="J1" s="30"/>
      <c r="K1" s="30"/>
      <c r="L1" s="30"/>
      <c r="M1" s="30"/>
      <c r="N1" s="30"/>
      <c r="O1" s="30"/>
    </row>
    <row r="2" spans="1:16" ht="13" x14ac:dyDescent="0.25">
      <c r="A2" s="30"/>
      <c r="B2" s="28"/>
      <c r="C2" s="28"/>
      <c r="D2" s="29"/>
      <c r="E2" s="30"/>
      <c r="F2" s="30"/>
      <c r="G2" s="30"/>
      <c r="H2" s="50" t="s">
        <v>675</v>
      </c>
      <c r="I2" s="12"/>
      <c r="J2" s="12"/>
      <c r="K2" s="12"/>
      <c r="L2" s="12"/>
      <c r="M2" s="12"/>
      <c r="N2" s="12"/>
      <c r="O2" s="13"/>
      <c r="P2" s="13"/>
    </row>
    <row r="3" spans="1:16" ht="13" x14ac:dyDescent="0.3">
      <c r="A3" s="30" t="s">
        <v>118</v>
      </c>
      <c r="B3" s="28"/>
      <c r="C3" s="28"/>
      <c r="D3" s="29"/>
      <c r="E3" s="30"/>
      <c r="F3" s="30"/>
      <c r="G3" s="30"/>
      <c r="H3" s="30"/>
      <c r="I3" s="30"/>
      <c r="J3" s="30"/>
      <c r="K3" s="30"/>
      <c r="L3" s="30"/>
      <c r="M3" s="30"/>
      <c r="N3" s="30"/>
      <c r="O3" s="30"/>
    </row>
    <row r="4" spans="1:16" ht="13" x14ac:dyDescent="0.3">
      <c r="A4" s="30" t="s">
        <v>120</v>
      </c>
      <c r="B4" s="28"/>
      <c r="C4" s="28"/>
      <c r="D4" s="29"/>
      <c r="E4" s="30"/>
      <c r="F4" s="30"/>
      <c r="G4" s="30"/>
      <c r="H4" s="30"/>
      <c r="I4" s="30"/>
      <c r="J4" s="30"/>
      <c r="K4" s="30"/>
      <c r="L4" s="30"/>
      <c r="M4" s="30"/>
      <c r="N4" s="30"/>
      <c r="O4" s="30"/>
    </row>
    <row r="6" spans="1:16" ht="13" x14ac:dyDescent="0.3">
      <c r="A6" s="9" t="s">
        <v>0</v>
      </c>
      <c r="B6" s="34" t="s">
        <v>1</v>
      </c>
      <c r="C6" s="10" t="s">
        <v>2</v>
      </c>
      <c r="D6" s="9"/>
      <c r="E6" s="9"/>
      <c r="F6" s="75" t="s">
        <v>117</v>
      </c>
      <c r="G6" s="76"/>
      <c r="H6" s="77"/>
      <c r="I6" s="30"/>
      <c r="J6" s="75" t="s">
        <v>119</v>
      </c>
      <c r="K6" s="77"/>
      <c r="M6" s="30"/>
      <c r="N6" s="30"/>
      <c r="O6" s="30"/>
    </row>
    <row r="7" spans="1:16" ht="13" x14ac:dyDescent="0.3">
      <c r="A7" s="30" t="s">
        <v>45</v>
      </c>
      <c r="B7" s="35">
        <v>20441</v>
      </c>
      <c r="C7" s="30" t="str">
        <f>TEXT(B7,"mmm")</f>
        <v>Dec</v>
      </c>
      <c r="D7" s="31"/>
      <c r="E7" s="30"/>
      <c r="F7" s="34" t="s">
        <v>2</v>
      </c>
      <c r="G7" s="9" t="s">
        <v>2</v>
      </c>
      <c r="H7" s="11" t="s">
        <v>116</v>
      </c>
      <c r="I7" s="29"/>
      <c r="J7" s="9" t="s">
        <v>0</v>
      </c>
      <c r="K7" s="34" t="s">
        <v>1</v>
      </c>
      <c r="L7" s="10"/>
      <c r="M7" s="30"/>
      <c r="N7" s="30"/>
      <c r="O7" s="30"/>
    </row>
    <row r="8" spans="1:16" x14ac:dyDescent="0.25">
      <c r="A8" s="30" t="s">
        <v>46</v>
      </c>
      <c r="B8" s="35">
        <v>23249</v>
      </c>
      <c r="C8" s="30" t="str">
        <f t="shared" ref="C8:C69" si="0">TEXT(B8,"mmm")</f>
        <v>Aug</v>
      </c>
      <c r="D8" s="30"/>
      <c r="E8" s="30"/>
      <c r="F8" s="32">
        <v>1</v>
      </c>
      <c r="G8" s="30" t="s">
        <v>3</v>
      </c>
      <c r="H8" s="54">
        <f>COUNTIF($C$7:$C$79,G8)</f>
        <v>4</v>
      </c>
      <c r="I8" s="30"/>
      <c r="J8" s="30" t="s">
        <v>56</v>
      </c>
      <c r="K8" s="56">
        <f>_xlfn.XLOOKUP(J8,$A$6:$A$79,$B$6:$B$79)</f>
        <v>20756</v>
      </c>
      <c r="L8" s="30"/>
      <c r="M8" s="30"/>
      <c r="N8" s="30"/>
      <c r="O8" s="30"/>
    </row>
    <row r="9" spans="1:16" x14ac:dyDescent="0.25">
      <c r="A9" s="30" t="s">
        <v>47</v>
      </c>
      <c r="B9" s="35">
        <v>17469</v>
      </c>
      <c r="C9" s="30" t="str">
        <f t="shared" si="0"/>
        <v>Oct</v>
      </c>
      <c r="D9" s="30"/>
      <c r="E9" s="30"/>
      <c r="F9" s="32">
        <v>2</v>
      </c>
      <c r="G9" s="30" t="s">
        <v>5</v>
      </c>
      <c r="H9" s="54">
        <f t="shared" ref="H9:H19" si="1">COUNTIF($C$7:$C$79,G9)</f>
        <v>6</v>
      </c>
      <c r="I9" s="30"/>
      <c r="J9" s="30" t="s">
        <v>49</v>
      </c>
      <c r="K9" s="56">
        <f t="shared" ref="K9:K15" si="2">_xlfn.XLOOKUP(J9,$A$6:$A$79,$B$6:$B$79)</f>
        <v>22643</v>
      </c>
      <c r="L9" s="30"/>
      <c r="M9" s="30"/>
      <c r="N9" s="30"/>
      <c r="O9" s="30"/>
    </row>
    <row r="10" spans="1:16" x14ac:dyDescent="0.25">
      <c r="A10" s="30" t="s">
        <v>48</v>
      </c>
      <c r="B10" s="35">
        <v>25935</v>
      </c>
      <c r="C10" s="30" t="str">
        <f t="shared" si="0"/>
        <v>Jan</v>
      </c>
      <c r="D10" s="30"/>
      <c r="E10" s="30"/>
      <c r="F10" s="32">
        <v>3</v>
      </c>
      <c r="G10" s="30" t="s">
        <v>6</v>
      </c>
      <c r="H10" s="54">
        <f t="shared" si="1"/>
        <v>5</v>
      </c>
      <c r="I10" s="30"/>
      <c r="J10" s="30" t="s">
        <v>73</v>
      </c>
      <c r="K10" s="56">
        <f t="shared" si="2"/>
        <v>19757</v>
      </c>
      <c r="L10" s="30"/>
      <c r="M10" s="30"/>
      <c r="N10" s="30"/>
      <c r="O10" s="30"/>
    </row>
    <row r="11" spans="1:16" x14ac:dyDescent="0.25">
      <c r="A11" s="30" t="s">
        <v>49</v>
      </c>
      <c r="B11" s="35">
        <v>22643</v>
      </c>
      <c r="C11" s="30" t="str">
        <f t="shared" si="0"/>
        <v>Dec</v>
      </c>
      <c r="D11" s="30"/>
      <c r="E11" s="30"/>
      <c r="F11" s="32">
        <v>4</v>
      </c>
      <c r="G11" s="30" t="s">
        <v>7</v>
      </c>
      <c r="H11" s="54">
        <f t="shared" si="1"/>
        <v>5</v>
      </c>
      <c r="I11" s="30"/>
      <c r="J11" s="30" t="s">
        <v>89</v>
      </c>
      <c r="K11" s="56">
        <f t="shared" si="2"/>
        <v>23374</v>
      </c>
      <c r="L11" s="30"/>
      <c r="M11" s="30"/>
      <c r="N11" s="30"/>
      <c r="O11" s="30"/>
    </row>
    <row r="12" spans="1:16" x14ac:dyDescent="0.25">
      <c r="A12" s="30" t="s">
        <v>50</v>
      </c>
      <c r="B12" s="35">
        <v>29144</v>
      </c>
      <c r="C12" s="30" t="str">
        <f t="shared" si="0"/>
        <v>Oct</v>
      </c>
      <c r="D12" s="30"/>
      <c r="E12" s="30"/>
      <c r="F12" s="32">
        <v>5</v>
      </c>
      <c r="G12" s="30" t="s">
        <v>8</v>
      </c>
      <c r="H12" s="54">
        <f t="shared" si="1"/>
        <v>6</v>
      </c>
      <c r="I12" s="30"/>
      <c r="J12" s="30" t="s">
        <v>106</v>
      </c>
      <c r="K12" s="56">
        <f t="shared" si="2"/>
        <v>16407</v>
      </c>
      <c r="L12" s="30"/>
      <c r="M12" s="30"/>
      <c r="N12" s="30"/>
      <c r="O12" s="30"/>
    </row>
    <row r="13" spans="1:16" x14ac:dyDescent="0.25">
      <c r="A13" s="30" t="s">
        <v>51</v>
      </c>
      <c r="B13" s="35">
        <v>26025</v>
      </c>
      <c r="C13" s="30" t="str">
        <f t="shared" si="0"/>
        <v>Apr</v>
      </c>
      <c r="D13" s="30"/>
      <c r="E13" s="30"/>
      <c r="F13" s="32">
        <v>6</v>
      </c>
      <c r="G13" s="30" t="s">
        <v>9</v>
      </c>
      <c r="H13" s="54">
        <f t="shared" si="1"/>
        <v>4</v>
      </c>
      <c r="I13" s="30"/>
      <c r="J13" s="30" t="s">
        <v>77</v>
      </c>
      <c r="K13" s="56">
        <f t="shared" si="2"/>
        <v>25491</v>
      </c>
      <c r="L13" s="30"/>
      <c r="M13" s="30"/>
      <c r="N13" s="30"/>
      <c r="O13" s="30"/>
    </row>
    <row r="14" spans="1:16" x14ac:dyDescent="0.25">
      <c r="A14" s="30" t="s">
        <v>52</v>
      </c>
      <c r="B14" s="35">
        <v>24420</v>
      </c>
      <c r="C14" s="30" t="str">
        <f t="shared" si="0"/>
        <v>Nov</v>
      </c>
      <c r="D14" s="30"/>
      <c r="E14" s="30"/>
      <c r="F14" s="32">
        <v>7</v>
      </c>
      <c r="G14" s="30" t="s">
        <v>10</v>
      </c>
      <c r="H14" s="54">
        <f t="shared" si="1"/>
        <v>7</v>
      </c>
      <c r="I14" s="30"/>
      <c r="J14" s="30" t="s">
        <v>87</v>
      </c>
      <c r="K14" s="56">
        <f t="shared" si="2"/>
        <v>38215</v>
      </c>
      <c r="L14" s="30"/>
      <c r="M14" s="30"/>
      <c r="N14" s="30"/>
      <c r="O14" s="30"/>
    </row>
    <row r="15" spans="1:16" x14ac:dyDescent="0.25">
      <c r="A15" s="30" t="s">
        <v>53</v>
      </c>
      <c r="B15" s="35">
        <v>22596</v>
      </c>
      <c r="C15" s="30" t="str">
        <f t="shared" si="0"/>
        <v>Nov</v>
      </c>
      <c r="D15" s="30"/>
      <c r="E15" s="30"/>
      <c r="F15" s="32">
        <v>8</v>
      </c>
      <c r="G15" s="30" t="s">
        <v>11</v>
      </c>
      <c r="H15" s="54">
        <f t="shared" si="1"/>
        <v>7</v>
      </c>
      <c r="I15" s="30"/>
      <c r="J15" s="30" t="s">
        <v>112</v>
      </c>
      <c r="K15" s="56">
        <f t="shared" si="2"/>
        <v>19495</v>
      </c>
      <c r="L15" s="30"/>
      <c r="M15" s="30"/>
      <c r="N15" s="30"/>
      <c r="O15" s="30"/>
    </row>
    <row r="16" spans="1:16" x14ac:dyDescent="0.25">
      <c r="A16" s="30" t="s">
        <v>54</v>
      </c>
      <c r="B16" s="35">
        <v>13755</v>
      </c>
      <c r="C16" s="30" t="str">
        <f t="shared" si="0"/>
        <v>Aug</v>
      </c>
      <c r="D16" s="30"/>
      <c r="E16" s="30"/>
      <c r="F16" s="32">
        <v>9</v>
      </c>
      <c r="G16" s="30" t="s">
        <v>12</v>
      </c>
      <c r="H16" s="54">
        <f t="shared" si="1"/>
        <v>6</v>
      </c>
      <c r="I16" s="30"/>
      <c r="J16" s="30"/>
      <c r="K16" s="30"/>
      <c r="L16" s="30"/>
      <c r="M16" s="30"/>
      <c r="N16" s="30"/>
      <c r="O16" s="30"/>
    </row>
    <row r="17" spans="1:15" x14ac:dyDescent="0.25">
      <c r="A17" s="30" t="s">
        <v>55</v>
      </c>
      <c r="B17" s="35">
        <v>22784</v>
      </c>
      <c r="C17" s="30" t="str">
        <f t="shared" si="0"/>
        <v>May</v>
      </c>
      <c r="D17" s="30"/>
      <c r="E17" s="30"/>
      <c r="F17" s="32">
        <v>10</v>
      </c>
      <c r="G17" s="30" t="s">
        <v>13</v>
      </c>
      <c r="H17" s="54">
        <f t="shared" si="1"/>
        <v>13</v>
      </c>
      <c r="I17" s="30"/>
      <c r="J17" s="30"/>
      <c r="K17" s="30"/>
      <c r="L17" s="30"/>
      <c r="M17" s="30"/>
      <c r="N17" s="30"/>
      <c r="O17" s="30"/>
    </row>
    <row r="18" spans="1:15" x14ac:dyDescent="0.25">
      <c r="A18" s="30" t="s">
        <v>56</v>
      </c>
      <c r="B18" s="35">
        <v>20756</v>
      </c>
      <c r="C18" s="30" t="str">
        <f t="shared" si="0"/>
        <v>Oct</v>
      </c>
      <c r="D18" s="30"/>
      <c r="E18" s="30"/>
      <c r="F18" s="32">
        <v>11</v>
      </c>
      <c r="G18" s="30" t="s">
        <v>14</v>
      </c>
      <c r="H18" s="54">
        <f t="shared" si="1"/>
        <v>2</v>
      </c>
      <c r="I18" s="30"/>
    </row>
    <row r="19" spans="1:15" x14ac:dyDescent="0.25">
      <c r="A19" s="30" t="s">
        <v>57</v>
      </c>
      <c r="B19" s="35">
        <v>22860</v>
      </c>
      <c r="C19" s="30" t="str">
        <f t="shared" si="0"/>
        <v>Aug</v>
      </c>
      <c r="D19" s="30"/>
      <c r="E19" s="30"/>
      <c r="F19" s="32">
        <v>12</v>
      </c>
      <c r="G19" s="30" t="s">
        <v>15</v>
      </c>
      <c r="H19" s="54">
        <f t="shared" si="1"/>
        <v>8</v>
      </c>
      <c r="I19" s="30"/>
    </row>
    <row r="20" spans="1:15" x14ac:dyDescent="0.25">
      <c r="A20" s="30" t="s">
        <v>58</v>
      </c>
      <c r="B20" s="35">
        <v>20638</v>
      </c>
      <c r="C20" s="30" t="str">
        <f t="shared" si="0"/>
        <v>Jul</v>
      </c>
      <c r="D20" s="30"/>
      <c r="E20" s="30"/>
      <c r="F20" s="30"/>
      <c r="G20" s="28"/>
      <c r="H20" s="30"/>
      <c r="I20" s="33"/>
    </row>
    <row r="21" spans="1:15" x14ac:dyDescent="0.25">
      <c r="A21" s="30" t="s">
        <v>59</v>
      </c>
      <c r="B21" s="35">
        <v>25633</v>
      </c>
      <c r="C21" s="30" t="str">
        <f t="shared" si="0"/>
        <v>Mar</v>
      </c>
      <c r="D21" s="30"/>
      <c r="E21" s="30"/>
      <c r="F21" s="30"/>
      <c r="G21" s="30"/>
      <c r="H21" s="30"/>
      <c r="I21" s="30"/>
    </row>
    <row r="22" spans="1:15" x14ac:dyDescent="0.25">
      <c r="A22" s="30" t="s">
        <v>60</v>
      </c>
      <c r="B22" s="35">
        <v>22687</v>
      </c>
      <c r="C22" s="30" t="str">
        <f t="shared" si="0"/>
        <v>Feb</v>
      </c>
      <c r="D22" s="30"/>
      <c r="E22" s="30"/>
      <c r="F22" s="30"/>
      <c r="G22" s="30"/>
      <c r="H22" s="30"/>
      <c r="I22" s="30"/>
    </row>
    <row r="23" spans="1:15" x14ac:dyDescent="0.25">
      <c r="A23" s="30" t="s">
        <v>61</v>
      </c>
      <c r="B23" s="35">
        <v>23110</v>
      </c>
      <c r="C23" s="30" t="str">
        <f t="shared" si="0"/>
        <v>Apr</v>
      </c>
      <c r="D23" s="30"/>
      <c r="E23" s="30"/>
      <c r="F23" s="30"/>
      <c r="G23" s="30"/>
      <c r="H23" s="30"/>
      <c r="I23" s="30"/>
    </row>
    <row r="24" spans="1:15" x14ac:dyDescent="0.25">
      <c r="A24" s="30" t="s">
        <v>62</v>
      </c>
      <c r="B24" s="35">
        <v>21435</v>
      </c>
      <c r="C24" s="30" t="str">
        <f t="shared" si="0"/>
        <v>Sep</v>
      </c>
      <c r="D24" s="30"/>
      <c r="E24" s="30"/>
      <c r="F24" s="30"/>
      <c r="G24" s="30"/>
      <c r="H24" s="30"/>
      <c r="I24" s="30"/>
    </row>
    <row r="25" spans="1:15" x14ac:dyDescent="0.25">
      <c r="A25" s="30" t="s">
        <v>63</v>
      </c>
      <c r="B25" s="35">
        <v>26534</v>
      </c>
      <c r="C25" s="30" t="str">
        <f t="shared" si="0"/>
        <v>Aug</v>
      </c>
      <c r="D25" s="30"/>
      <c r="E25" s="30"/>
      <c r="F25" s="30"/>
      <c r="G25" s="30"/>
      <c r="H25" s="30"/>
      <c r="I25" s="30"/>
    </row>
    <row r="26" spans="1:15" x14ac:dyDescent="0.25">
      <c r="A26" s="30" t="s">
        <v>64</v>
      </c>
      <c r="B26" s="35">
        <v>16559</v>
      </c>
      <c r="C26" s="30" t="str">
        <f t="shared" si="0"/>
        <v>May</v>
      </c>
      <c r="D26" s="30"/>
      <c r="E26" s="30"/>
      <c r="F26" s="30"/>
      <c r="G26" s="30"/>
      <c r="H26" s="30"/>
      <c r="I26" s="30"/>
    </row>
    <row r="27" spans="1:15" x14ac:dyDescent="0.25">
      <c r="A27" s="30" t="s">
        <v>65</v>
      </c>
      <c r="B27" s="35">
        <v>21918</v>
      </c>
      <c r="C27" s="30" t="str">
        <f t="shared" si="0"/>
        <v>Jan</v>
      </c>
      <c r="D27" s="30"/>
      <c r="E27" s="30"/>
      <c r="F27" s="30"/>
      <c r="G27" s="30"/>
      <c r="H27" s="30"/>
      <c r="I27" s="30"/>
    </row>
    <row r="28" spans="1:15" x14ac:dyDescent="0.25">
      <c r="A28" s="30" t="s">
        <v>4</v>
      </c>
      <c r="B28" s="35">
        <v>23400</v>
      </c>
      <c r="C28" s="30" t="str">
        <f t="shared" si="0"/>
        <v>Jan</v>
      </c>
      <c r="D28" s="30"/>
      <c r="E28" s="30"/>
      <c r="F28" s="30"/>
      <c r="G28" s="30"/>
      <c r="H28" s="30"/>
      <c r="I28" s="30"/>
    </row>
    <row r="29" spans="1:15" x14ac:dyDescent="0.25">
      <c r="A29" s="30" t="s">
        <v>66</v>
      </c>
      <c r="B29" s="35">
        <v>11624</v>
      </c>
      <c r="C29" s="30" t="str">
        <f t="shared" si="0"/>
        <v>Oct</v>
      </c>
      <c r="D29" s="30"/>
      <c r="E29" s="30"/>
      <c r="F29" s="30"/>
      <c r="G29" s="30"/>
      <c r="H29" s="30"/>
      <c r="I29" s="30"/>
    </row>
    <row r="30" spans="1:15" x14ac:dyDescent="0.25">
      <c r="A30" s="30" t="s">
        <v>67</v>
      </c>
      <c r="B30" s="35">
        <v>16109</v>
      </c>
      <c r="C30" s="30" t="str">
        <f t="shared" si="0"/>
        <v>Feb</v>
      </c>
      <c r="D30" s="30"/>
      <c r="E30" s="30"/>
      <c r="F30" s="30"/>
      <c r="G30" s="30"/>
      <c r="H30" s="30"/>
      <c r="I30" s="30"/>
    </row>
    <row r="31" spans="1:15" x14ac:dyDescent="0.25">
      <c r="A31" s="30" t="s">
        <v>68</v>
      </c>
      <c r="B31" s="35">
        <v>14328</v>
      </c>
      <c r="C31" s="30" t="str">
        <f t="shared" si="0"/>
        <v>Mar</v>
      </c>
      <c r="D31" s="30"/>
      <c r="E31" s="30"/>
      <c r="F31" s="30"/>
      <c r="G31" s="30"/>
      <c r="H31" s="30"/>
      <c r="I31" s="30"/>
    </row>
    <row r="32" spans="1:15" x14ac:dyDescent="0.25">
      <c r="A32" s="30" t="s">
        <v>69</v>
      </c>
      <c r="B32" s="35">
        <v>21395</v>
      </c>
      <c r="C32" s="30" t="str">
        <f t="shared" si="0"/>
        <v>Jul</v>
      </c>
      <c r="D32" s="30"/>
      <c r="E32" s="30"/>
      <c r="F32" s="30"/>
      <c r="G32" s="30"/>
      <c r="H32" s="30"/>
      <c r="I32" s="30"/>
    </row>
    <row r="33" spans="1:4" x14ac:dyDescent="0.25">
      <c r="A33" s="30" t="s">
        <v>70</v>
      </c>
      <c r="B33" s="35">
        <v>26095</v>
      </c>
      <c r="C33" s="30" t="str">
        <f t="shared" si="0"/>
        <v>Jun</v>
      </c>
      <c r="D33" s="30"/>
    </row>
    <row r="34" spans="1:4" x14ac:dyDescent="0.25">
      <c r="A34" s="30" t="s">
        <v>71</v>
      </c>
      <c r="B34" s="35">
        <v>22124</v>
      </c>
      <c r="C34" s="30" t="str">
        <f t="shared" si="0"/>
        <v>Jul</v>
      </c>
      <c r="D34" s="30"/>
    </row>
    <row r="35" spans="1:4" x14ac:dyDescent="0.25">
      <c r="A35" s="30" t="s">
        <v>72</v>
      </c>
      <c r="B35" s="35">
        <v>19503</v>
      </c>
      <c r="C35" s="30" t="str">
        <f t="shared" si="0"/>
        <v>May</v>
      </c>
      <c r="D35" s="30"/>
    </row>
    <row r="36" spans="1:4" x14ac:dyDescent="0.25">
      <c r="A36" s="30" t="s">
        <v>73</v>
      </c>
      <c r="B36" s="35">
        <v>19757</v>
      </c>
      <c r="C36" s="30" t="str">
        <f t="shared" si="0"/>
        <v>Feb</v>
      </c>
      <c r="D36" s="30"/>
    </row>
    <row r="37" spans="1:4" x14ac:dyDescent="0.25">
      <c r="A37" s="30" t="s">
        <v>74</v>
      </c>
      <c r="B37" s="35">
        <v>12107</v>
      </c>
      <c r="C37" s="30" t="str">
        <f t="shared" si="0"/>
        <v>Feb</v>
      </c>
      <c r="D37" s="30"/>
    </row>
    <row r="38" spans="1:4" x14ac:dyDescent="0.25">
      <c r="A38" s="30" t="s">
        <v>75</v>
      </c>
      <c r="B38" s="35">
        <v>24022</v>
      </c>
      <c r="C38" s="30" t="str">
        <f t="shared" si="0"/>
        <v>Oct</v>
      </c>
      <c r="D38" s="30"/>
    </row>
    <row r="39" spans="1:4" x14ac:dyDescent="0.25">
      <c r="A39" s="30" t="s">
        <v>16</v>
      </c>
      <c r="B39" s="35">
        <v>26414</v>
      </c>
      <c r="C39" s="30" t="str">
        <f t="shared" si="0"/>
        <v>Apr</v>
      </c>
      <c r="D39" s="30"/>
    </row>
    <row r="40" spans="1:4" x14ac:dyDescent="0.25">
      <c r="A40" s="30" t="s">
        <v>76</v>
      </c>
      <c r="B40" s="35">
        <v>19882</v>
      </c>
      <c r="C40" s="30" t="str">
        <f t="shared" si="0"/>
        <v>Jun</v>
      </c>
      <c r="D40" s="30"/>
    </row>
    <row r="41" spans="1:4" x14ac:dyDescent="0.25">
      <c r="A41" s="30" t="s">
        <v>77</v>
      </c>
      <c r="B41" s="35">
        <v>25491</v>
      </c>
      <c r="C41" s="30" t="str">
        <f t="shared" si="0"/>
        <v>Oct</v>
      </c>
      <c r="D41" s="30"/>
    </row>
    <row r="42" spans="1:4" x14ac:dyDescent="0.25">
      <c r="A42" s="30" t="s">
        <v>78</v>
      </c>
      <c r="B42" s="35">
        <v>15530</v>
      </c>
      <c r="C42" s="30" t="str">
        <f t="shared" si="0"/>
        <v>Jul</v>
      </c>
      <c r="D42" s="30"/>
    </row>
    <row r="43" spans="1:4" x14ac:dyDescent="0.25">
      <c r="A43" s="30" t="s">
        <v>79</v>
      </c>
      <c r="B43" s="35">
        <v>25756</v>
      </c>
      <c r="C43" s="30" t="str">
        <f t="shared" si="0"/>
        <v>Jul</v>
      </c>
      <c r="D43" s="30"/>
    </row>
    <row r="44" spans="1:4" x14ac:dyDescent="0.25">
      <c r="A44" s="30" t="s">
        <v>80</v>
      </c>
      <c r="B44" s="35">
        <v>13149</v>
      </c>
      <c r="C44" s="30" t="str">
        <f t="shared" si="0"/>
        <v>Dec</v>
      </c>
      <c r="D44" s="30"/>
    </row>
    <row r="45" spans="1:4" x14ac:dyDescent="0.25">
      <c r="A45" s="30" t="s">
        <v>81</v>
      </c>
      <c r="B45" s="35">
        <v>25232</v>
      </c>
      <c r="C45" s="30" t="str">
        <f t="shared" si="0"/>
        <v>Jan</v>
      </c>
      <c r="D45" s="30"/>
    </row>
    <row r="46" spans="1:4" x14ac:dyDescent="0.25">
      <c r="A46" s="30" t="s">
        <v>82</v>
      </c>
      <c r="B46" s="35">
        <v>19118</v>
      </c>
      <c r="C46" s="30" t="str">
        <f t="shared" si="0"/>
        <v>May</v>
      </c>
      <c r="D46" s="30"/>
    </row>
    <row r="47" spans="1:4" x14ac:dyDescent="0.25">
      <c r="A47" s="30" t="s">
        <v>83</v>
      </c>
      <c r="B47" s="35">
        <v>20588</v>
      </c>
      <c r="C47" s="30" t="str">
        <f t="shared" si="0"/>
        <v>May</v>
      </c>
      <c r="D47" s="30"/>
    </row>
    <row r="48" spans="1:4" x14ac:dyDescent="0.25">
      <c r="A48" s="30" t="s">
        <v>84</v>
      </c>
      <c r="B48" s="35">
        <v>23635</v>
      </c>
      <c r="C48" s="30" t="str">
        <f t="shared" si="0"/>
        <v>Sep</v>
      </c>
      <c r="D48" s="30"/>
    </row>
    <row r="49" spans="1:4" x14ac:dyDescent="0.25">
      <c r="A49" s="30" t="s">
        <v>85</v>
      </c>
      <c r="B49" s="35">
        <v>22200</v>
      </c>
      <c r="C49" s="30" t="str">
        <f t="shared" si="0"/>
        <v>Oct</v>
      </c>
      <c r="D49" s="30"/>
    </row>
    <row r="50" spans="1:4" x14ac:dyDescent="0.25">
      <c r="A50" s="30" t="s">
        <v>86</v>
      </c>
      <c r="B50" s="35">
        <v>17329</v>
      </c>
      <c r="C50" s="30" t="str">
        <f t="shared" si="0"/>
        <v>Jun</v>
      </c>
      <c r="D50" s="30"/>
    </row>
    <row r="51" spans="1:4" x14ac:dyDescent="0.25">
      <c r="A51" s="30" t="s">
        <v>87</v>
      </c>
      <c r="B51" s="35">
        <v>38215</v>
      </c>
      <c r="C51" s="30" t="str">
        <f t="shared" si="0"/>
        <v>Aug</v>
      </c>
      <c r="D51" s="30"/>
    </row>
    <row r="52" spans="1:4" x14ac:dyDescent="0.25">
      <c r="A52" s="30" t="s">
        <v>88</v>
      </c>
      <c r="B52" s="35">
        <v>19935</v>
      </c>
      <c r="C52" s="30" t="str">
        <f t="shared" si="0"/>
        <v>Jul</v>
      </c>
      <c r="D52" s="30"/>
    </row>
    <row r="53" spans="1:4" x14ac:dyDescent="0.25">
      <c r="A53" s="30" t="s">
        <v>89</v>
      </c>
      <c r="B53" s="35">
        <v>23374</v>
      </c>
      <c r="C53" s="30" t="str">
        <f t="shared" si="0"/>
        <v>Dec</v>
      </c>
      <c r="D53" s="30"/>
    </row>
    <row r="54" spans="1:4" x14ac:dyDescent="0.25">
      <c r="A54" s="30" t="s">
        <v>90</v>
      </c>
      <c r="B54" s="35">
        <v>16734</v>
      </c>
      <c r="C54" s="30" t="str">
        <f t="shared" si="0"/>
        <v>Oct</v>
      </c>
      <c r="D54" s="30"/>
    </row>
    <row r="55" spans="1:4" x14ac:dyDescent="0.25">
      <c r="A55" s="30" t="s">
        <v>91</v>
      </c>
      <c r="B55" s="35">
        <v>18074</v>
      </c>
      <c r="C55" s="30" t="str">
        <f t="shared" si="0"/>
        <v>Jun</v>
      </c>
      <c r="D55" s="30"/>
    </row>
    <row r="56" spans="1:4" x14ac:dyDescent="0.25">
      <c r="A56" s="30" t="s">
        <v>92</v>
      </c>
      <c r="B56" s="35">
        <v>12159</v>
      </c>
      <c r="C56" s="30" t="str">
        <f t="shared" si="0"/>
        <v>Apr</v>
      </c>
      <c r="D56" s="30"/>
    </row>
    <row r="57" spans="1:4" x14ac:dyDescent="0.25">
      <c r="A57" s="30" t="s">
        <v>93</v>
      </c>
      <c r="B57" s="35">
        <v>22997</v>
      </c>
      <c r="C57" s="30" t="str">
        <f t="shared" si="0"/>
        <v>Dec</v>
      </c>
      <c r="D57" s="30"/>
    </row>
    <row r="58" spans="1:4" x14ac:dyDescent="0.25">
      <c r="A58" s="30" t="s">
        <v>94</v>
      </c>
      <c r="B58" s="35">
        <v>20758</v>
      </c>
      <c r="C58" s="30" t="str">
        <f t="shared" si="0"/>
        <v>Oct</v>
      </c>
      <c r="D58" s="30"/>
    </row>
    <row r="59" spans="1:4" x14ac:dyDescent="0.25">
      <c r="A59" s="30" t="s">
        <v>95</v>
      </c>
      <c r="B59" s="35">
        <v>28793</v>
      </c>
      <c r="C59" s="30" t="str">
        <f t="shared" si="0"/>
        <v>Oct</v>
      </c>
      <c r="D59" s="30"/>
    </row>
    <row r="60" spans="1:4" x14ac:dyDescent="0.25">
      <c r="A60" s="30" t="s">
        <v>96</v>
      </c>
      <c r="B60" s="35">
        <v>21234</v>
      </c>
      <c r="C60" s="30" t="str">
        <f t="shared" si="0"/>
        <v>Feb</v>
      </c>
      <c r="D60" s="30"/>
    </row>
    <row r="61" spans="1:4" x14ac:dyDescent="0.25">
      <c r="A61" s="30" t="s">
        <v>97</v>
      </c>
      <c r="B61" s="35">
        <v>20704</v>
      </c>
      <c r="C61" s="30" t="str">
        <f t="shared" si="0"/>
        <v>Sep</v>
      </c>
      <c r="D61" s="30"/>
    </row>
    <row r="62" spans="1:4" x14ac:dyDescent="0.25">
      <c r="A62" s="30" t="s">
        <v>98</v>
      </c>
      <c r="B62" s="35">
        <v>22208</v>
      </c>
      <c r="C62" s="30" t="str">
        <f t="shared" si="0"/>
        <v>Oct</v>
      </c>
      <c r="D62" s="30"/>
    </row>
    <row r="63" spans="1:4" x14ac:dyDescent="0.25">
      <c r="A63" s="30" t="s">
        <v>99</v>
      </c>
      <c r="B63" s="35">
        <v>18376</v>
      </c>
      <c r="C63" s="30" t="str">
        <f t="shared" si="0"/>
        <v>Apr</v>
      </c>
      <c r="D63" s="30"/>
    </row>
    <row r="64" spans="1:4" x14ac:dyDescent="0.25">
      <c r="A64" s="30" t="s">
        <v>100</v>
      </c>
      <c r="B64" s="35">
        <v>20279</v>
      </c>
      <c r="C64" s="30" t="str">
        <f t="shared" si="0"/>
        <v>Jul</v>
      </c>
      <c r="D64" s="30"/>
    </row>
    <row r="65" spans="1:4" x14ac:dyDescent="0.25">
      <c r="A65" s="30" t="s">
        <v>101</v>
      </c>
      <c r="B65" s="35">
        <v>16152</v>
      </c>
      <c r="C65" s="30" t="str">
        <f t="shared" si="0"/>
        <v>Mar</v>
      </c>
      <c r="D65" s="30"/>
    </row>
    <row r="66" spans="1:4" x14ac:dyDescent="0.25">
      <c r="A66" s="30" t="s">
        <v>102</v>
      </c>
      <c r="B66" s="35">
        <v>22505</v>
      </c>
      <c r="C66" s="30" t="str">
        <f t="shared" si="0"/>
        <v>Aug</v>
      </c>
      <c r="D66" s="30"/>
    </row>
    <row r="67" spans="1:4" x14ac:dyDescent="0.25">
      <c r="A67" s="30" t="s">
        <v>103</v>
      </c>
      <c r="B67" s="35">
        <v>23977</v>
      </c>
      <c r="C67" s="30" t="str">
        <f t="shared" si="0"/>
        <v>Aug</v>
      </c>
      <c r="D67" s="30"/>
    </row>
    <row r="68" spans="1:4" x14ac:dyDescent="0.25">
      <c r="A68" s="30" t="s">
        <v>104</v>
      </c>
      <c r="B68" s="35">
        <v>22943</v>
      </c>
      <c r="C68" s="30" t="str">
        <f t="shared" si="0"/>
        <v>Oct</v>
      </c>
      <c r="D68" s="30"/>
    </row>
    <row r="69" spans="1:4" x14ac:dyDescent="0.25">
      <c r="A69" s="30" t="s">
        <v>105</v>
      </c>
      <c r="B69" s="35">
        <v>18686</v>
      </c>
      <c r="C69" s="30" t="str">
        <f t="shared" si="0"/>
        <v>Feb</v>
      </c>
      <c r="D69" s="30"/>
    </row>
    <row r="70" spans="1:4" x14ac:dyDescent="0.25">
      <c r="A70" s="30" t="s">
        <v>106</v>
      </c>
      <c r="B70" s="35">
        <v>16407</v>
      </c>
      <c r="C70" s="30" t="str">
        <f t="shared" ref="C70:C79" si="3">TEXT(B70,"mmm")</f>
        <v>Dec</v>
      </c>
      <c r="D70" s="30"/>
    </row>
    <row r="71" spans="1:4" x14ac:dyDescent="0.25">
      <c r="A71" s="30" t="s">
        <v>107</v>
      </c>
      <c r="B71" s="35">
        <v>21249</v>
      </c>
      <c r="C71" s="30" t="str">
        <f t="shared" si="3"/>
        <v>Mar</v>
      </c>
      <c r="D71" s="30"/>
    </row>
    <row r="72" spans="1:4" x14ac:dyDescent="0.25">
      <c r="A72" s="30" t="s">
        <v>108</v>
      </c>
      <c r="B72" s="35">
        <v>18907</v>
      </c>
      <c r="C72" s="30" t="str">
        <f t="shared" si="3"/>
        <v>Oct</v>
      </c>
      <c r="D72" s="30"/>
    </row>
    <row r="73" spans="1:4" x14ac:dyDescent="0.25">
      <c r="A73" s="30" t="s">
        <v>109</v>
      </c>
      <c r="B73" s="35">
        <v>17880</v>
      </c>
      <c r="C73" s="30" t="str">
        <f t="shared" si="3"/>
        <v>Dec</v>
      </c>
      <c r="D73" s="30"/>
    </row>
    <row r="74" spans="1:4" x14ac:dyDescent="0.25">
      <c r="A74" s="30" t="s">
        <v>110</v>
      </c>
      <c r="B74" s="35">
        <v>19811</v>
      </c>
      <c r="C74" s="30" t="str">
        <f t="shared" si="3"/>
        <v>Mar</v>
      </c>
      <c r="D74" s="30"/>
    </row>
    <row r="75" spans="1:4" x14ac:dyDescent="0.25">
      <c r="A75" s="30" t="s">
        <v>111</v>
      </c>
      <c r="B75" s="35">
        <v>27288</v>
      </c>
      <c r="C75" s="30" t="str">
        <f t="shared" si="3"/>
        <v>Sep</v>
      </c>
      <c r="D75" s="30"/>
    </row>
    <row r="76" spans="1:4" x14ac:dyDescent="0.25">
      <c r="A76" s="30" t="s">
        <v>112</v>
      </c>
      <c r="B76" s="35">
        <v>19495</v>
      </c>
      <c r="C76" s="30" t="str">
        <f t="shared" si="3"/>
        <v>May</v>
      </c>
      <c r="D76" s="30"/>
    </row>
    <row r="77" spans="1:4" x14ac:dyDescent="0.25">
      <c r="A77" s="30" t="s">
        <v>113</v>
      </c>
      <c r="B77" s="35">
        <v>21899</v>
      </c>
      <c r="C77" s="30" t="str">
        <f t="shared" si="3"/>
        <v>Dec</v>
      </c>
      <c r="D77" s="30"/>
    </row>
    <row r="78" spans="1:4" x14ac:dyDescent="0.25">
      <c r="A78" s="30" t="s">
        <v>114</v>
      </c>
      <c r="B78" s="35">
        <v>22171</v>
      </c>
      <c r="C78" s="30" t="str">
        <f t="shared" si="3"/>
        <v>Sep</v>
      </c>
      <c r="D78" s="30"/>
    </row>
    <row r="79" spans="1:4" x14ac:dyDescent="0.25">
      <c r="A79" s="30" t="s">
        <v>115</v>
      </c>
      <c r="B79" s="35">
        <v>22175</v>
      </c>
      <c r="C79" s="30" t="str">
        <f t="shared" si="3"/>
        <v>Sep</v>
      </c>
      <c r="D79" s="30"/>
    </row>
    <row r="81" spans="1:4" x14ac:dyDescent="0.25">
      <c r="B81" s="30"/>
      <c r="C81" s="30"/>
      <c r="D81" s="30"/>
    </row>
    <row r="82" spans="1:4" x14ac:dyDescent="0.25">
      <c r="B82" s="30"/>
      <c r="C82" s="30"/>
      <c r="D82" s="30"/>
    </row>
    <row r="83" spans="1:4" x14ac:dyDescent="0.25">
      <c r="B83" s="30"/>
      <c r="C83" s="30"/>
      <c r="D83" s="30"/>
    </row>
    <row r="84" spans="1:4" x14ac:dyDescent="0.25">
      <c r="B84" s="30"/>
      <c r="C84" s="30"/>
      <c r="D84" s="30"/>
    </row>
    <row r="85" spans="1:4" x14ac:dyDescent="0.25">
      <c r="B85" s="30"/>
      <c r="C85" s="30"/>
      <c r="D85" s="30"/>
    </row>
    <row r="86" spans="1:4" x14ac:dyDescent="0.25">
      <c r="B86" s="30"/>
      <c r="C86" s="30"/>
      <c r="D86" s="30"/>
    </row>
    <row r="87" spans="1:4" x14ac:dyDescent="0.25">
      <c r="B87" s="30"/>
      <c r="C87" s="30"/>
      <c r="D87" s="30"/>
    </row>
    <row r="88" spans="1:4" x14ac:dyDescent="0.25">
      <c r="B88" s="30"/>
      <c r="C88" s="30"/>
      <c r="D88" s="30"/>
    </row>
    <row r="89" spans="1:4" x14ac:dyDescent="0.25">
      <c r="B89" s="30"/>
      <c r="C89" s="30"/>
      <c r="D89" s="30"/>
    </row>
    <row r="90" spans="1:4" x14ac:dyDescent="0.25">
      <c r="B90" s="30"/>
      <c r="C90" s="30"/>
      <c r="D90" s="30"/>
    </row>
    <row r="91" spans="1:4" x14ac:dyDescent="0.25">
      <c r="B91" s="30"/>
      <c r="C91" s="30"/>
      <c r="D91" s="30"/>
    </row>
    <row r="92" spans="1:4" x14ac:dyDescent="0.25">
      <c r="B92" s="30"/>
      <c r="C92" s="30"/>
      <c r="D92" s="30"/>
    </row>
    <row r="93" spans="1:4" x14ac:dyDescent="0.25">
      <c r="B93" s="30"/>
      <c r="C93" s="30"/>
      <c r="D93" s="30"/>
    </row>
    <row r="94" spans="1:4" x14ac:dyDescent="0.25">
      <c r="B94" s="30"/>
      <c r="C94" s="30"/>
      <c r="D94" s="30"/>
    </row>
    <row r="95" spans="1:4" x14ac:dyDescent="0.25">
      <c r="B95" s="28"/>
      <c r="C95" s="28"/>
      <c r="D95" s="33"/>
    </row>
    <row r="96" spans="1:4" x14ac:dyDescent="0.25">
      <c r="A96" s="30"/>
      <c r="B96" s="31"/>
      <c r="C96" s="31"/>
      <c r="D96" s="29"/>
    </row>
    <row r="97" spans="1:4" x14ac:dyDescent="0.25">
      <c r="A97" s="8"/>
      <c r="B97" s="8"/>
      <c r="C97" s="8"/>
      <c r="D97" s="29"/>
    </row>
    <row r="99" spans="1:4" x14ac:dyDescent="0.25">
      <c r="A99" s="30"/>
      <c r="B99" s="30"/>
      <c r="C99" s="7"/>
      <c r="D99" s="29"/>
    </row>
    <row r="100" spans="1:4" x14ac:dyDescent="0.25">
      <c r="A100" s="30"/>
      <c r="B100" s="28"/>
      <c r="C100" s="6" t="s">
        <v>17</v>
      </c>
      <c r="D100" s="29"/>
    </row>
  </sheetData>
  <mergeCells count="2">
    <mergeCell ref="F6:H6"/>
    <mergeCell ref="J6:K6"/>
  </mergeCells>
  <conditionalFormatting sqref="A7:A79">
    <cfRule type="duplicateValues" dxfId="84" priority="13"/>
  </conditionalFormatting>
  <conditionalFormatting sqref="C1:C5 H7 C80 C95 C98 C101:C65535">
    <cfRule type="cellIs" dxfId="83" priority="6" stopIfTrue="1" operator="between">
      <formula>TODAY()</formula>
      <formula>TODAY()-60</formula>
    </cfRule>
  </conditionalFormatting>
  <conditionalFormatting sqref="C99">
    <cfRule type="expression" dxfId="82" priority="8" stopIfTrue="1">
      <formula>$C$97&gt;5/24/60</formula>
    </cfRule>
    <cfRule type="expression" dxfId="81" priority="9" stopIfTrue="1">
      <formula>AND($C$97&gt;1/24/60,$C$97&lt;=5/24/60)</formula>
    </cfRule>
  </conditionalFormatting>
  <conditionalFormatting sqref="C100">
    <cfRule type="expression" dxfId="80" priority="7" stopIfTrue="1">
      <formula>$C$97&gt;5/24/60</formula>
    </cfRule>
  </conditionalFormatting>
  <conditionalFormatting sqref="D95">
    <cfRule type="expression" dxfId="79" priority="5" stopIfTrue="1">
      <formula>ISBLANK($C95)=TRUE</formula>
    </cfRule>
  </conditionalFormatting>
  <conditionalFormatting sqref="I20">
    <cfRule type="expression" dxfId="78" priority="11" stopIfTrue="1">
      <formula>ISBLANK($H20)=TRUE</formula>
    </cfRule>
  </conditionalFormatting>
  <conditionalFormatting sqref="J8">
    <cfRule type="duplicateValues" dxfId="77" priority="1"/>
  </conditionalFormatting>
  <conditionalFormatting sqref="J9:J12">
    <cfRule type="duplicateValues" dxfId="76" priority="3"/>
  </conditionalFormatting>
  <conditionalFormatting sqref="J13:J15">
    <cfRule type="duplicateValues" dxfId="75" priority="2"/>
  </conditionalFormatting>
  <pageMargins left="0.25" right="0.25" top="0.25" bottom="0.25" header="0" footer="0"/>
  <pageSetup pageOrder="overThenDown" orientation="landscape" r:id="rId1"/>
  <headerFooter alignWithMargins="0"/>
  <ignoredErrors>
    <ignoredError sqref="C1:C104857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N151"/>
  <sheetViews>
    <sheetView showGridLines="0" showZeros="0" topLeftCell="A9" workbookViewId="0">
      <selection activeCell="H23" sqref="H23"/>
    </sheetView>
  </sheetViews>
  <sheetFormatPr defaultColWidth="8.90625" defaultRowHeight="12.5" x14ac:dyDescent="0.25"/>
  <cols>
    <col min="1" max="1" width="26.1796875" style="21" customWidth="1"/>
    <col min="2" max="2" width="13.1796875" style="21" customWidth="1"/>
    <col min="3" max="3" width="3.1796875" style="21" customWidth="1"/>
    <col min="4" max="6" width="8.90625" style="21"/>
    <col min="7" max="7" width="19.1796875" style="21" customWidth="1"/>
    <col min="8" max="8" width="11.90625" style="21" customWidth="1"/>
    <col min="9" max="10" width="8.90625" style="21"/>
    <col min="11" max="11" width="19" style="21" customWidth="1"/>
    <col min="12" max="16384" width="8.90625" style="21"/>
  </cols>
  <sheetData>
    <row r="1" spans="1:14" ht="13" x14ac:dyDescent="0.3">
      <c r="A1" s="2" t="s">
        <v>43</v>
      </c>
      <c r="G1" s="50" t="s">
        <v>675</v>
      </c>
      <c r="H1" s="12"/>
      <c r="I1" s="12"/>
      <c r="J1" s="12"/>
      <c r="K1" s="12"/>
      <c r="L1" s="12"/>
      <c r="M1" s="12"/>
      <c r="N1" s="13"/>
    </row>
    <row r="2" spans="1:14" x14ac:dyDescent="0.25">
      <c r="A2" s="30"/>
    </row>
    <row r="3" spans="1:14" x14ac:dyDescent="0.25">
      <c r="A3" s="30"/>
    </row>
    <row r="4" spans="1:14" ht="13" x14ac:dyDescent="0.3">
      <c r="D4" s="21">
        <f>SUBTOTAL(9,D8:D56)</f>
        <v>1734255</v>
      </c>
      <c r="G4" s="2" t="s">
        <v>662</v>
      </c>
      <c r="K4" s="2" t="s">
        <v>121</v>
      </c>
    </row>
    <row r="5" spans="1:14" ht="13" x14ac:dyDescent="0.3">
      <c r="A5" s="2" t="s">
        <v>18</v>
      </c>
      <c r="K5" s="36">
        <f>COUNTIF(D7:D56,"&lt;5000")</f>
        <v>7</v>
      </c>
    </row>
    <row r="6" spans="1:14" x14ac:dyDescent="0.25">
      <c r="F6" s="21">
        <v>1</v>
      </c>
      <c r="G6" s="21" t="s">
        <v>150</v>
      </c>
      <c r="H6" s="36" t="str">
        <f>_xlfn.XLOOKUP(G6,A7:A56,B7:B56)</f>
        <v>Qatar</v>
      </c>
    </row>
    <row r="7" spans="1:14" ht="13" x14ac:dyDescent="0.3">
      <c r="A7" s="1" t="s">
        <v>19</v>
      </c>
      <c r="B7" s="1" t="s">
        <v>663</v>
      </c>
      <c r="C7" s="1"/>
      <c r="D7" s="1" t="s">
        <v>20</v>
      </c>
      <c r="F7" s="21">
        <v>2</v>
      </c>
      <c r="G7" s="21" t="s">
        <v>158</v>
      </c>
      <c r="H7" s="36" t="str">
        <f t="shared" ref="H7:H14" si="0">_xlfn.XLOOKUP(G7,A8:A57,B8:B57)</f>
        <v>UAE</v>
      </c>
    </row>
    <row r="8" spans="1:14" ht="13" x14ac:dyDescent="0.3">
      <c r="A8" s="21" t="s">
        <v>150</v>
      </c>
      <c r="B8" s="21" t="s">
        <v>123</v>
      </c>
      <c r="D8" s="37">
        <v>79968</v>
      </c>
      <c r="F8" s="21">
        <v>3</v>
      </c>
      <c r="G8" s="21" t="s">
        <v>149</v>
      </c>
      <c r="H8" s="36" t="str">
        <f t="shared" si="0"/>
        <v>Kuwait</v>
      </c>
      <c r="K8" s="2" t="s">
        <v>122</v>
      </c>
    </row>
    <row r="9" spans="1:14" x14ac:dyDescent="0.25">
      <c r="A9" s="21" t="s">
        <v>176</v>
      </c>
      <c r="B9" s="21" t="s">
        <v>124</v>
      </c>
      <c r="D9" s="37">
        <v>20612</v>
      </c>
      <c r="F9" s="21">
        <v>4</v>
      </c>
      <c r="G9" s="21" t="s">
        <v>130</v>
      </c>
      <c r="H9" s="36" t="str">
        <f t="shared" si="0"/>
        <v>UAE</v>
      </c>
      <c r="K9" s="36">
        <f>COUNTIF(B7:B56,"UAE")</f>
        <v>22</v>
      </c>
    </row>
    <row r="10" spans="1:14" x14ac:dyDescent="0.25">
      <c r="A10" s="21" t="s">
        <v>125</v>
      </c>
      <c r="B10" s="21" t="s">
        <v>126</v>
      </c>
      <c r="D10" s="37">
        <v>16347</v>
      </c>
      <c r="F10" s="21">
        <v>5</v>
      </c>
      <c r="G10" s="21" t="s">
        <v>134</v>
      </c>
      <c r="H10" s="36" t="str">
        <f t="shared" si="0"/>
        <v>Kuwait</v>
      </c>
    </row>
    <row r="11" spans="1:14" x14ac:dyDescent="0.25">
      <c r="A11" s="21" t="s">
        <v>156</v>
      </c>
      <c r="B11" s="21" t="s">
        <v>127</v>
      </c>
      <c r="D11" s="37">
        <v>11673</v>
      </c>
      <c r="F11" s="21">
        <v>6</v>
      </c>
      <c r="G11" s="21" t="s">
        <v>138</v>
      </c>
      <c r="H11" s="36" t="str">
        <f t="shared" si="0"/>
        <v>KSA</v>
      </c>
    </row>
    <row r="12" spans="1:14" x14ac:dyDescent="0.25">
      <c r="A12" s="21" t="s">
        <v>23</v>
      </c>
      <c r="B12" s="21" t="s">
        <v>126</v>
      </c>
      <c r="D12" s="37">
        <v>3659</v>
      </c>
      <c r="F12" s="21">
        <v>7</v>
      </c>
      <c r="G12" s="21" t="s">
        <v>144</v>
      </c>
      <c r="H12" s="36" t="str">
        <f t="shared" si="0"/>
        <v>UAE</v>
      </c>
    </row>
    <row r="13" spans="1:14" x14ac:dyDescent="0.25">
      <c r="A13" s="21" t="s">
        <v>157</v>
      </c>
      <c r="B13" s="21" t="s">
        <v>127</v>
      </c>
      <c r="D13" s="37">
        <v>7387</v>
      </c>
      <c r="F13" s="21">
        <v>8</v>
      </c>
      <c r="G13" s="21" t="s">
        <v>171</v>
      </c>
      <c r="H13" s="36" t="str">
        <f t="shared" si="0"/>
        <v>KSA</v>
      </c>
    </row>
    <row r="14" spans="1:14" x14ac:dyDescent="0.25">
      <c r="A14" s="21" t="s">
        <v>158</v>
      </c>
      <c r="B14" s="21" t="s">
        <v>126</v>
      </c>
      <c r="D14" s="37">
        <v>31693</v>
      </c>
      <c r="F14" s="21">
        <v>9</v>
      </c>
      <c r="G14" s="21" t="s">
        <v>174</v>
      </c>
      <c r="H14" s="36" t="str">
        <f t="shared" si="0"/>
        <v>KSA</v>
      </c>
    </row>
    <row r="15" spans="1:14" x14ac:dyDescent="0.25">
      <c r="A15" s="21" t="s">
        <v>159</v>
      </c>
      <c r="B15" s="21" t="s">
        <v>126</v>
      </c>
      <c r="D15" s="37">
        <v>15163</v>
      </c>
    </row>
    <row r="16" spans="1:14" x14ac:dyDescent="0.25">
      <c r="A16" s="21" t="s">
        <v>139</v>
      </c>
      <c r="B16" s="21" t="s">
        <v>126</v>
      </c>
      <c r="D16" s="37">
        <v>40288</v>
      </c>
    </row>
    <row r="17" spans="1:8" ht="13" x14ac:dyDescent="0.3">
      <c r="A17" s="21" t="s">
        <v>160</v>
      </c>
      <c r="B17" s="21" t="s">
        <v>126</v>
      </c>
      <c r="D17" s="37">
        <v>4642</v>
      </c>
      <c r="G17" s="2" t="s">
        <v>664</v>
      </c>
    </row>
    <row r="18" spans="1:8" x14ac:dyDescent="0.25">
      <c r="A18" s="21" t="s">
        <v>161</v>
      </c>
      <c r="B18" s="21" t="s">
        <v>124</v>
      </c>
      <c r="D18" s="37">
        <v>67253</v>
      </c>
    </row>
    <row r="19" spans="1:8" ht="13" x14ac:dyDescent="0.3">
      <c r="A19" s="21" t="s">
        <v>146</v>
      </c>
      <c r="B19" s="21" t="s">
        <v>126</v>
      </c>
      <c r="D19" s="37">
        <v>2786</v>
      </c>
      <c r="G19" s="1" t="s">
        <v>21</v>
      </c>
      <c r="H19" s="22" t="s">
        <v>22</v>
      </c>
    </row>
    <row r="20" spans="1:8" x14ac:dyDescent="0.25">
      <c r="A20" s="21" t="s">
        <v>162</v>
      </c>
      <c r="B20" s="21" t="s">
        <v>123</v>
      </c>
      <c r="D20" s="37">
        <v>29194</v>
      </c>
      <c r="F20" s="21">
        <v>1</v>
      </c>
      <c r="G20" s="21" t="s">
        <v>123</v>
      </c>
      <c r="H20" s="38">
        <f>SUMIF($B$7:$B$56,G20,$D$7:$D$56)</f>
        <v>133910</v>
      </c>
    </row>
    <row r="21" spans="1:8" x14ac:dyDescent="0.25">
      <c r="A21" s="21" t="s">
        <v>149</v>
      </c>
      <c r="B21" s="21" t="s">
        <v>127</v>
      </c>
      <c r="D21" s="37">
        <v>76609</v>
      </c>
      <c r="F21" s="21">
        <v>2</v>
      </c>
      <c r="G21" s="21" t="s">
        <v>124</v>
      </c>
      <c r="H21" s="38">
        <f t="shared" ref="H21:H24" si="1">SUMIF($B$7:$B$56,G21,$D$7:$D$56)</f>
        <v>139597</v>
      </c>
    </row>
    <row r="22" spans="1:8" x14ac:dyDescent="0.25">
      <c r="A22" s="21" t="s">
        <v>151</v>
      </c>
      <c r="B22" s="21" t="s">
        <v>128</v>
      </c>
      <c r="D22" s="37">
        <v>10385</v>
      </c>
      <c r="F22" s="21">
        <v>3</v>
      </c>
      <c r="G22" s="21" t="s">
        <v>126</v>
      </c>
      <c r="H22" s="38">
        <f t="shared" si="1"/>
        <v>646917</v>
      </c>
    </row>
    <row r="23" spans="1:8" x14ac:dyDescent="0.25">
      <c r="A23" s="21" t="s">
        <v>152</v>
      </c>
      <c r="B23" s="21" t="s">
        <v>127</v>
      </c>
      <c r="D23" s="37">
        <v>69219</v>
      </c>
      <c r="F23" s="21">
        <v>4</v>
      </c>
      <c r="G23" s="21" t="s">
        <v>127</v>
      </c>
      <c r="H23" s="38">
        <f t="shared" si="1"/>
        <v>375939</v>
      </c>
    </row>
    <row r="24" spans="1:8" x14ac:dyDescent="0.25">
      <c r="A24" s="21" t="s">
        <v>153</v>
      </c>
      <c r="B24" s="21" t="s">
        <v>126</v>
      </c>
      <c r="D24" s="37">
        <v>11777</v>
      </c>
      <c r="F24" s="21">
        <v>5</v>
      </c>
      <c r="G24" s="21" t="s">
        <v>128</v>
      </c>
      <c r="H24" s="38">
        <f t="shared" si="1"/>
        <v>288420</v>
      </c>
    </row>
    <row r="25" spans="1:8" ht="13.5" thickBot="1" x14ac:dyDescent="0.35">
      <c r="A25" s="21" t="s">
        <v>154</v>
      </c>
      <c r="B25" s="21" t="s">
        <v>126</v>
      </c>
      <c r="D25" s="37">
        <v>52261</v>
      </c>
      <c r="H25" s="23">
        <f>SUM(H20:H24)</f>
        <v>1584783</v>
      </c>
    </row>
    <row r="26" spans="1:8" ht="13" thickTop="1" x14ac:dyDescent="0.25">
      <c r="A26" s="21" t="s">
        <v>155</v>
      </c>
      <c r="B26" s="21" t="s">
        <v>126</v>
      </c>
      <c r="D26" s="37">
        <v>10525</v>
      </c>
      <c r="H26" s="39"/>
    </row>
    <row r="27" spans="1:8" x14ac:dyDescent="0.25">
      <c r="A27" s="21" t="s">
        <v>164</v>
      </c>
      <c r="B27" s="21" t="s">
        <v>129</v>
      </c>
      <c r="D27" s="37">
        <v>74687</v>
      </c>
    </row>
    <row r="28" spans="1:8" x14ac:dyDescent="0.25">
      <c r="A28" s="21" t="s">
        <v>165</v>
      </c>
      <c r="B28" s="21" t="s">
        <v>127</v>
      </c>
      <c r="D28" s="37">
        <v>52916</v>
      </c>
    </row>
    <row r="29" spans="1:8" x14ac:dyDescent="0.25">
      <c r="A29" s="21" t="s">
        <v>166</v>
      </c>
      <c r="B29" s="21" t="s">
        <v>124</v>
      </c>
      <c r="D29" s="37">
        <v>51732</v>
      </c>
    </row>
    <row r="30" spans="1:8" x14ac:dyDescent="0.25">
      <c r="A30" s="21" t="s">
        <v>167</v>
      </c>
      <c r="B30" s="21" t="s">
        <v>126</v>
      </c>
      <c r="D30" s="37">
        <v>41926</v>
      </c>
    </row>
    <row r="31" spans="1:8" x14ac:dyDescent="0.25">
      <c r="A31" s="21" t="s">
        <v>168</v>
      </c>
      <c r="B31" s="21" t="s">
        <v>126</v>
      </c>
      <c r="D31" s="37">
        <v>3532</v>
      </c>
    </row>
    <row r="32" spans="1:8" x14ac:dyDescent="0.25">
      <c r="A32" s="21" t="s">
        <v>130</v>
      </c>
      <c r="B32" s="21" t="s">
        <v>126</v>
      </c>
      <c r="D32" s="37">
        <v>83098</v>
      </c>
    </row>
    <row r="33" spans="1:11" x14ac:dyDescent="0.25">
      <c r="A33" s="21" t="s">
        <v>132</v>
      </c>
      <c r="B33" s="21" t="s">
        <v>126</v>
      </c>
      <c r="D33" s="37">
        <v>82611</v>
      </c>
      <c r="K33" s="40"/>
    </row>
    <row r="34" spans="1:11" x14ac:dyDescent="0.25">
      <c r="A34" s="21" t="s">
        <v>133</v>
      </c>
      <c r="B34" s="21" t="s">
        <v>126</v>
      </c>
      <c r="D34" s="37">
        <v>4324</v>
      </c>
      <c r="K34" s="40"/>
    </row>
    <row r="35" spans="1:11" x14ac:dyDescent="0.25">
      <c r="A35" s="21" t="s">
        <v>134</v>
      </c>
      <c r="B35" s="21" t="s">
        <v>127</v>
      </c>
      <c r="D35" s="37">
        <v>7784</v>
      </c>
      <c r="K35" s="40"/>
    </row>
    <row r="36" spans="1:11" x14ac:dyDescent="0.25">
      <c r="A36" s="21" t="s">
        <v>135</v>
      </c>
      <c r="B36" s="21" t="s">
        <v>127</v>
      </c>
      <c r="D36" s="37">
        <v>71369</v>
      </c>
      <c r="K36" s="40"/>
    </row>
    <row r="37" spans="1:11" x14ac:dyDescent="0.25">
      <c r="A37" s="21" t="s">
        <v>136</v>
      </c>
      <c r="B37" s="21" t="s">
        <v>129</v>
      </c>
      <c r="D37" s="37">
        <v>53949</v>
      </c>
      <c r="K37" s="40"/>
    </row>
    <row r="38" spans="1:11" x14ac:dyDescent="0.25">
      <c r="A38" s="21" t="s">
        <v>137</v>
      </c>
      <c r="B38" s="21" t="s">
        <v>126</v>
      </c>
      <c r="D38" s="37">
        <v>69278</v>
      </c>
      <c r="K38" s="40"/>
    </row>
    <row r="39" spans="1:11" x14ac:dyDescent="0.25">
      <c r="A39" s="21" t="s">
        <v>138</v>
      </c>
      <c r="B39" s="21" t="s">
        <v>128</v>
      </c>
      <c r="D39" s="37">
        <v>56918</v>
      </c>
      <c r="K39" s="40"/>
    </row>
    <row r="40" spans="1:11" x14ac:dyDescent="0.25">
      <c r="A40" s="21" t="s">
        <v>169</v>
      </c>
      <c r="B40" s="21" t="s">
        <v>128</v>
      </c>
      <c r="D40" s="37">
        <v>49481</v>
      </c>
      <c r="K40" s="40"/>
    </row>
    <row r="41" spans="1:11" x14ac:dyDescent="0.25">
      <c r="A41" s="21" t="s">
        <v>140</v>
      </c>
      <c r="B41" s="21" t="s">
        <v>126</v>
      </c>
      <c r="D41" s="37">
        <v>5368</v>
      </c>
      <c r="K41" s="40"/>
    </row>
    <row r="42" spans="1:11" x14ac:dyDescent="0.25">
      <c r="A42" s="21" t="s">
        <v>141</v>
      </c>
      <c r="B42" s="21" t="s">
        <v>128</v>
      </c>
      <c r="D42" s="37">
        <v>3950</v>
      </c>
      <c r="K42" s="40"/>
    </row>
    <row r="43" spans="1:11" x14ac:dyDescent="0.25">
      <c r="A43" s="21" t="s">
        <v>142</v>
      </c>
      <c r="B43" s="21" t="s">
        <v>128</v>
      </c>
      <c r="D43" s="37">
        <v>69610</v>
      </c>
      <c r="K43" s="40"/>
    </row>
    <row r="44" spans="1:11" x14ac:dyDescent="0.25">
      <c r="A44" s="21" t="s">
        <v>143</v>
      </c>
      <c r="B44" s="21" t="s">
        <v>129</v>
      </c>
      <c r="D44" s="37">
        <v>20836</v>
      </c>
      <c r="K44" s="40"/>
    </row>
    <row r="45" spans="1:11" x14ac:dyDescent="0.25">
      <c r="A45" s="21" t="s">
        <v>144</v>
      </c>
      <c r="B45" s="21" t="s">
        <v>126</v>
      </c>
      <c r="D45" s="37">
        <v>48979</v>
      </c>
      <c r="K45" s="40"/>
    </row>
    <row r="46" spans="1:11" x14ac:dyDescent="0.25">
      <c r="A46" s="21" t="s">
        <v>145</v>
      </c>
      <c r="B46" s="21" t="s">
        <v>126</v>
      </c>
      <c r="D46" s="37">
        <v>16038</v>
      </c>
      <c r="K46" s="40"/>
    </row>
    <row r="47" spans="1:11" x14ac:dyDescent="0.25">
      <c r="A47" s="21" t="s">
        <v>163</v>
      </c>
      <c r="B47" s="21" t="s">
        <v>126</v>
      </c>
      <c r="D47" s="37">
        <v>49046</v>
      </c>
      <c r="K47" s="40"/>
    </row>
    <row r="48" spans="1:11" x14ac:dyDescent="0.25">
      <c r="A48" s="21" t="s">
        <v>147</v>
      </c>
      <c r="B48" s="21" t="s">
        <v>126</v>
      </c>
      <c r="D48" s="37">
        <v>43789</v>
      </c>
      <c r="K48" s="40"/>
    </row>
    <row r="49" spans="1:11" x14ac:dyDescent="0.25">
      <c r="A49" s="21" t="s">
        <v>148</v>
      </c>
      <c r="B49" s="21" t="s">
        <v>123</v>
      </c>
      <c r="D49" s="37">
        <v>22716</v>
      </c>
      <c r="K49" s="40"/>
    </row>
    <row r="50" spans="1:11" x14ac:dyDescent="0.25">
      <c r="A50" s="21" t="s">
        <v>170</v>
      </c>
      <c r="B50" s="21" t="s">
        <v>127</v>
      </c>
      <c r="D50" s="37">
        <v>7266</v>
      </c>
      <c r="K50" s="40"/>
    </row>
    <row r="51" spans="1:11" x14ac:dyDescent="0.25">
      <c r="A51" s="21" t="s">
        <v>171</v>
      </c>
      <c r="B51" s="21" t="s">
        <v>128</v>
      </c>
      <c r="D51" s="37">
        <v>38831</v>
      </c>
      <c r="K51" s="40"/>
    </row>
    <row r="52" spans="1:11" x14ac:dyDescent="0.25">
      <c r="A52" s="21" t="s">
        <v>172</v>
      </c>
      <c r="B52" s="21" t="s">
        <v>127</v>
      </c>
      <c r="D52" s="37">
        <v>71716</v>
      </c>
      <c r="K52" s="40"/>
    </row>
    <row r="53" spans="1:11" x14ac:dyDescent="0.25">
      <c r="A53" s="21" t="s">
        <v>173</v>
      </c>
      <c r="B53" s="21" t="s">
        <v>123</v>
      </c>
      <c r="D53" s="37">
        <v>2032</v>
      </c>
      <c r="K53" s="40"/>
    </row>
    <row r="54" spans="1:11" x14ac:dyDescent="0.25">
      <c r="A54" s="21" t="s">
        <v>174</v>
      </c>
      <c r="B54" s="21" t="s">
        <v>128</v>
      </c>
      <c r="D54" s="37">
        <v>39574</v>
      </c>
      <c r="K54" s="40"/>
    </row>
    <row r="55" spans="1:11" x14ac:dyDescent="0.25">
      <c r="A55" s="21" t="s">
        <v>175</v>
      </c>
      <c r="B55" s="21" t="s">
        <v>128</v>
      </c>
      <c r="D55" s="37">
        <v>19671</v>
      </c>
    </row>
    <row r="56" spans="1:11" x14ac:dyDescent="0.25">
      <c r="A56" s="21" t="s">
        <v>131</v>
      </c>
      <c r="B56" s="21" t="s">
        <v>126</v>
      </c>
      <c r="D56" s="37">
        <v>9787</v>
      </c>
    </row>
    <row r="57" spans="1:11" x14ac:dyDescent="0.25">
      <c r="D57" s="37"/>
    </row>
    <row r="58" spans="1:11" x14ac:dyDescent="0.25">
      <c r="D58" s="37"/>
    </row>
    <row r="59" spans="1:11" x14ac:dyDescent="0.25">
      <c r="D59" s="37"/>
    </row>
    <row r="60" spans="1:11" x14ac:dyDescent="0.25">
      <c r="D60" s="37"/>
    </row>
    <row r="61" spans="1:11" x14ac:dyDescent="0.25">
      <c r="D61" s="37"/>
    </row>
    <row r="62" spans="1:11" x14ac:dyDescent="0.25">
      <c r="D62" s="37"/>
    </row>
    <row r="63" spans="1:11" x14ac:dyDescent="0.25">
      <c r="D63" s="37"/>
    </row>
    <row r="64" spans="1:11" x14ac:dyDescent="0.25">
      <c r="D64" s="37"/>
    </row>
    <row r="65" spans="4:4" x14ac:dyDescent="0.25">
      <c r="D65" s="37"/>
    </row>
    <row r="66" spans="4:4" x14ac:dyDescent="0.25">
      <c r="D66" s="37"/>
    </row>
    <row r="67" spans="4:4" x14ac:dyDescent="0.25">
      <c r="D67" s="37"/>
    </row>
    <row r="68" spans="4:4" x14ac:dyDescent="0.25">
      <c r="D68" s="37"/>
    </row>
    <row r="69" spans="4:4" x14ac:dyDescent="0.25">
      <c r="D69" s="37"/>
    </row>
    <row r="70" spans="4:4" x14ac:dyDescent="0.25">
      <c r="D70" s="37"/>
    </row>
    <row r="71" spans="4:4" x14ac:dyDescent="0.25">
      <c r="D71" s="37"/>
    </row>
    <row r="72" spans="4:4" x14ac:dyDescent="0.25">
      <c r="D72" s="37"/>
    </row>
    <row r="73" spans="4:4" x14ac:dyDescent="0.25">
      <c r="D73" s="37"/>
    </row>
    <row r="74" spans="4:4" x14ac:dyDescent="0.25">
      <c r="D74" s="37"/>
    </row>
    <row r="75" spans="4:4" x14ac:dyDescent="0.25">
      <c r="D75" s="37"/>
    </row>
    <row r="76" spans="4:4" x14ac:dyDescent="0.25">
      <c r="D76" s="37"/>
    </row>
    <row r="77" spans="4:4" x14ac:dyDescent="0.25">
      <c r="D77" s="37"/>
    </row>
    <row r="78" spans="4:4" x14ac:dyDescent="0.25">
      <c r="D78" s="37"/>
    </row>
    <row r="79" spans="4:4" x14ac:dyDescent="0.25">
      <c r="D79" s="37"/>
    </row>
    <row r="80" spans="4:4" x14ac:dyDescent="0.25">
      <c r="D80" s="37"/>
    </row>
    <row r="81" spans="4:4" x14ac:dyDescent="0.25">
      <c r="D81" s="37"/>
    </row>
    <row r="82" spans="4:4" x14ac:dyDescent="0.25">
      <c r="D82" s="37"/>
    </row>
    <row r="83" spans="4:4" x14ac:dyDescent="0.25">
      <c r="D83" s="37"/>
    </row>
    <row r="84" spans="4:4" x14ac:dyDescent="0.25">
      <c r="D84" s="37"/>
    </row>
    <row r="85" spans="4:4" x14ac:dyDescent="0.25">
      <c r="D85" s="37"/>
    </row>
    <row r="86" spans="4:4" x14ac:dyDescent="0.25">
      <c r="D86" s="37"/>
    </row>
    <row r="87" spans="4:4" x14ac:dyDescent="0.25">
      <c r="D87" s="37"/>
    </row>
    <row r="88" spans="4:4" x14ac:dyDescent="0.25">
      <c r="D88" s="37"/>
    </row>
    <row r="89" spans="4:4" x14ac:dyDescent="0.25">
      <c r="D89" s="37"/>
    </row>
    <row r="90" spans="4:4" x14ac:dyDescent="0.25">
      <c r="D90" s="37"/>
    </row>
    <row r="91" spans="4:4" x14ac:dyDescent="0.25">
      <c r="D91" s="37"/>
    </row>
    <row r="92" spans="4:4" x14ac:dyDescent="0.25">
      <c r="D92" s="37"/>
    </row>
    <row r="93" spans="4:4" x14ac:dyDescent="0.25">
      <c r="D93" s="37"/>
    </row>
    <row r="94" spans="4:4" x14ac:dyDescent="0.25">
      <c r="D94" s="37"/>
    </row>
    <row r="95" spans="4:4" x14ac:dyDescent="0.25">
      <c r="D95" s="37"/>
    </row>
    <row r="96" spans="4:4" x14ac:dyDescent="0.25">
      <c r="D96" s="37"/>
    </row>
    <row r="97" spans="4:4" x14ac:dyDescent="0.25">
      <c r="D97" s="37"/>
    </row>
    <row r="98" spans="4:4" x14ac:dyDescent="0.25">
      <c r="D98" s="37"/>
    </row>
    <row r="99" spans="4:4" x14ac:dyDescent="0.25">
      <c r="D99" s="37"/>
    </row>
    <row r="100" spans="4:4" x14ac:dyDescent="0.25">
      <c r="D100" s="37"/>
    </row>
    <row r="101" spans="4:4" x14ac:dyDescent="0.25">
      <c r="D101" s="37"/>
    </row>
    <row r="102" spans="4:4" x14ac:dyDescent="0.25">
      <c r="D102" s="37"/>
    </row>
    <row r="103" spans="4:4" x14ac:dyDescent="0.25">
      <c r="D103" s="37"/>
    </row>
    <row r="104" spans="4:4" x14ac:dyDescent="0.25">
      <c r="D104" s="37"/>
    </row>
    <row r="105" spans="4:4" x14ac:dyDescent="0.25">
      <c r="D105" s="37"/>
    </row>
    <row r="106" spans="4:4" x14ac:dyDescent="0.25">
      <c r="D106" s="37"/>
    </row>
    <row r="107" spans="4:4" x14ac:dyDescent="0.25">
      <c r="D107" s="37"/>
    </row>
    <row r="108" spans="4:4" x14ac:dyDescent="0.25">
      <c r="D108" s="37"/>
    </row>
    <row r="109" spans="4:4" x14ac:dyDescent="0.25">
      <c r="D109" s="37"/>
    </row>
    <row r="110" spans="4:4" x14ac:dyDescent="0.25">
      <c r="D110" s="37"/>
    </row>
    <row r="111" spans="4:4" x14ac:dyDescent="0.25">
      <c r="D111" s="37"/>
    </row>
    <row r="112" spans="4:4" x14ac:dyDescent="0.25">
      <c r="D112" s="37"/>
    </row>
    <row r="113" spans="4:4" x14ac:dyDescent="0.25">
      <c r="D113" s="37"/>
    </row>
    <row r="114" spans="4:4" x14ac:dyDescent="0.25">
      <c r="D114" s="37"/>
    </row>
    <row r="115" spans="4:4" x14ac:dyDescent="0.25">
      <c r="D115" s="37"/>
    </row>
    <row r="116" spans="4:4" x14ac:dyDescent="0.25">
      <c r="D116" s="37"/>
    </row>
    <row r="117" spans="4:4" x14ac:dyDescent="0.25">
      <c r="D117" s="37"/>
    </row>
    <row r="118" spans="4:4" x14ac:dyDescent="0.25">
      <c r="D118" s="37"/>
    </row>
    <row r="119" spans="4:4" x14ac:dyDescent="0.25">
      <c r="D119" s="37"/>
    </row>
    <row r="120" spans="4:4" x14ac:dyDescent="0.25">
      <c r="D120" s="37"/>
    </row>
    <row r="121" spans="4:4" x14ac:dyDescent="0.25">
      <c r="D121" s="37"/>
    </row>
    <row r="122" spans="4:4" x14ac:dyDescent="0.25">
      <c r="D122" s="37"/>
    </row>
    <row r="123" spans="4:4" x14ac:dyDescent="0.25">
      <c r="D123" s="37"/>
    </row>
    <row r="124" spans="4:4" x14ac:dyDescent="0.25">
      <c r="D124" s="37"/>
    </row>
    <row r="125" spans="4:4" x14ac:dyDescent="0.25">
      <c r="D125" s="37"/>
    </row>
    <row r="126" spans="4:4" x14ac:dyDescent="0.25">
      <c r="D126" s="37"/>
    </row>
    <row r="127" spans="4:4" x14ac:dyDescent="0.25">
      <c r="D127" s="37"/>
    </row>
    <row r="128" spans="4:4" x14ac:dyDescent="0.25">
      <c r="D128" s="37"/>
    </row>
    <row r="129" spans="4:4" x14ac:dyDescent="0.25">
      <c r="D129" s="37"/>
    </row>
    <row r="130" spans="4:4" x14ac:dyDescent="0.25">
      <c r="D130" s="37"/>
    </row>
    <row r="131" spans="4:4" x14ac:dyDescent="0.25">
      <c r="D131" s="37"/>
    </row>
    <row r="132" spans="4:4" x14ac:dyDescent="0.25">
      <c r="D132" s="37"/>
    </row>
    <row r="133" spans="4:4" x14ac:dyDescent="0.25">
      <c r="D133" s="37"/>
    </row>
    <row r="134" spans="4:4" x14ac:dyDescent="0.25">
      <c r="D134" s="37"/>
    </row>
    <row r="135" spans="4:4" x14ac:dyDescent="0.25">
      <c r="D135" s="37"/>
    </row>
    <row r="136" spans="4:4" x14ac:dyDescent="0.25">
      <c r="D136" s="37"/>
    </row>
    <row r="137" spans="4:4" x14ac:dyDescent="0.25">
      <c r="D137" s="37"/>
    </row>
    <row r="138" spans="4:4" x14ac:dyDescent="0.25">
      <c r="D138" s="37"/>
    </row>
    <row r="139" spans="4:4" x14ac:dyDescent="0.25">
      <c r="D139" s="37"/>
    </row>
    <row r="140" spans="4:4" x14ac:dyDescent="0.25">
      <c r="D140" s="37"/>
    </row>
    <row r="141" spans="4:4" x14ac:dyDescent="0.25">
      <c r="D141" s="37"/>
    </row>
    <row r="142" spans="4:4" x14ac:dyDescent="0.25">
      <c r="D142" s="37"/>
    </row>
    <row r="143" spans="4:4" x14ac:dyDescent="0.25">
      <c r="D143" s="37"/>
    </row>
    <row r="144" spans="4:4" x14ac:dyDescent="0.25">
      <c r="D144" s="37"/>
    </row>
    <row r="145" spans="4:4" x14ac:dyDescent="0.25">
      <c r="D145" s="37"/>
    </row>
    <row r="146" spans="4:4" x14ac:dyDescent="0.25">
      <c r="D146" s="37"/>
    </row>
    <row r="147" spans="4:4" x14ac:dyDescent="0.25">
      <c r="D147" s="37"/>
    </row>
    <row r="148" spans="4:4" x14ac:dyDescent="0.25">
      <c r="D148" s="37"/>
    </row>
    <row r="149" spans="4:4" x14ac:dyDescent="0.25">
      <c r="D149" s="37"/>
    </row>
    <row r="150" spans="4:4" x14ac:dyDescent="0.25">
      <c r="D150" s="37"/>
    </row>
    <row r="151" spans="4:4" x14ac:dyDescent="0.25">
      <c r="D151" s="37"/>
    </row>
  </sheetData>
  <autoFilter ref="A7:D56" xr:uid="{00000000-0001-0000-0200-000000000000}"/>
  <conditionalFormatting sqref="A8:A56">
    <cfRule type="duplicateValues" dxfId="74" priority="18"/>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0914-CE65-463F-B818-505793F40D9C}">
  <dimension ref="A1:J15"/>
  <sheetViews>
    <sheetView showGridLines="0" workbookViewId="0">
      <selection activeCell="D7" sqref="D7:D15"/>
    </sheetView>
  </sheetViews>
  <sheetFormatPr defaultRowHeight="12.5" x14ac:dyDescent="0.25"/>
  <cols>
    <col min="1" max="1" width="20.90625" customWidth="1"/>
    <col min="2" max="2" width="17.81640625" style="16" customWidth="1"/>
    <col min="3" max="3" width="14.54296875" bestFit="1" customWidth="1"/>
    <col min="4" max="4" width="18.81640625" customWidth="1"/>
    <col min="5" max="10" width="9.453125" customWidth="1"/>
  </cols>
  <sheetData>
    <row r="1" spans="1:10" ht="13" x14ac:dyDescent="0.3">
      <c r="A1" s="2" t="s">
        <v>667</v>
      </c>
      <c r="C1" s="50" t="s">
        <v>675</v>
      </c>
      <c r="D1" s="12"/>
      <c r="E1" s="12"/>
      <c r="F1" s="12"/>
      <c r="G1" s="12"/>
      <c r="H1" s="12"/>
      <c r="I1" s="12"/>
      <c r="J1" s="13"/>
    </row>
    <row r="3" spans="1:10" x14ac:dyDescent="0.25">
      <c r="A3" s="21" t="s">
        <v>666</v>
      </c>
    </row>
    <row r="4" spans="1:10" x14ac:dyDescent="0.25">
      <c r="A4" s="21" t="s">
        <v>178</v>
      </c>
      <c r="B4" s="17"/>
    </row>
    <row r="6" spans="1:10" s="15" customFormat="1" ht="13" x14ac:dyDescent="0.3">
      <c r="A6" s="15" t="s">
        <v>19</v>
      </c>
      <c r="B6" s="15" t="s">
        <v>177</v>
      </c>
      <c r="C6" s="15" t="s">
        <v>665</v>
      </c>
      <c r="D6" s="15" t="s">
        <v>24</v>
      </c>
      <c r="E6"/>
    </row>
    <row r="7" spans="1:10" x14ac:dyDescent="0.25">
      <c r="A7" t="s">
        <v>150</v>
      </c>
      <c r="B7" s="41">
        <v>365</v>
      </c>
      <c r="C7" s="19">
        <v>2206060</v>
      </c>
      <c r="D7" s="20">
        <f>C7/B7</f>
        <v>6044</v>
      </c>
    </row>
    <row r="8" spans="1:10" x14ac:dyDescent="0.25">
      <c r="A8" t="s">
        <v>158</v>
      </c>
      <c r="B8" s="41">
        <v>365</v>
      </c>
      <c r="C8" s="19">
        <v>1797260</v>
      </c>
      <c r="D8" s="20">
        <f t="shared" ref="D8:D15" si="0">C8/B8</f>
        <v>4924</v>
      </c>
      <c r="E8" s="24"/>
    </row>
    <row r="9" spans="1:10" x14ac:dyDescent="0.25">
      <c r="A9" t="s">
        <v>149</v>
      </c>
      <c r="B9" s="41">
        <v>365</v>
      </c>
      <c r="C9" s="19">
        <v>1454890</v>
      </c>
      <c r="D9" s="20">
        <f t="shared" si="0"/>
        <v>3986</v>
      </c>
      <c r="E9" s="24"/>
      <c r="F9" s="24"/>
    </row>
    <row r="10" spans="1:10" x14ac:dyDescent="0.25">
      <c r="A10" t="s">
        <v>130</v>
      </c>
      <c r="B10" s="41">
        <v>365</v>
      </c>
      <c r="C10" s="19">
        <v>2896640</v>
      </c>
      <c r="D10" s="20">
        <f t="shared" si="0"/>
        <v>7936</v>
      </c>
    </row>
    <row r="11" spans="1:10" x14ac:dyDescent="0.25">
      <c r="A11" t="s">
        <v>134</v>
      </c>
      <c r="B11" s="41">
        <v>200</v>
      </c>
      <c r="C11" s="19">
        <v>1628265</v>
      </c>
      <c r="D11" s="20">
        <f t="shared" si="0"/>
        <v>8141.3249999999998</v>
      </c>
    </row>
    <row r="12" spans="1:10" x14ac:dyDescent="0.25">
      <c r="A12" t="s">
        <v>138</v>
      </c>
      <c r="B12" s="41">
        <v>365</v>
      </c>
      <c r="C12" s="19">
        <v>737665</v>
      </c>
      <c r="D12" s="20">
        <f t="shared" si="0"/>
        <v>2021</v>
      </c>
    </row>
    <row r="13" spans="1:10" x14ac:dyDescent="0.25">
      <c r="A13" t="s">
        <v>144</v>
      </c>
      <c r="B13" s="41">
        <v>150</v>
      </c>
      <c r="C13" s="19">
        <v>1242095</v>
      </c>
      <c r="D13" s="20">
        <f t="shared" si="0"/>
        <v>8280.6333333333332</v>
      </c>
    </row>
    <row r="14" spans="1:10" x14ac:dyDescent="0.25">
      <c r="A14" t="s">
        <v>171</v>
      </c>
      <c r="B14" s="41">
        <v>365</v>
      </c>
      <c r="C14" s="19">
        <v>2090355</v>
      </c>
      <c r="D14" s="20">
        <f t="shared" si="0"/>
        <v>5727</v>
      </c>
    </row>
    <row r="15" spans="1:10" x14ac:dyDescent="0.25">
      <c r="A15" t="s">
        <v>174</v>
      </c>
      <c r="B15" s="41">
        <v>365</v>
      </c>
      <c r="C15" s="19">
        <v>1616950</v>
      </c>
      <c r="D15" s="20">
        <f t="shared" si="0"/>
        <v>4430</v>
      </c>
    </row>
  </sheetData>
  <autoFilter ref="A6:F6" xr:uid="{A7170914-CE65-463F-B818-505793F40D9C}"/>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834B-66EE-4CDC-8D6B-3DF783683CA9}">
  <dimension ref="A1:L20"/>
  <sheetViews>
    <sheetView showGridLines="0" zoomScaleNormal="100" workbookViewId="0">
      <selection activeCell="I15" sqref="I15"/>
    </sheetView>
  </sheetViews>
  <sheetFormatPr defaultRowHeight="12.5" x14ac:dyDescent="0.25"/>
  <cols>
    <col min="2" max="2" width="10.453125" bestFit="1" customWidth="1"/>
    <col min="4" max="4" width="4" bestFit="1" customWidth="1"/>
    <col min="7" max="7" width="11.81640625" bestFit="1" customWidth="1"/>
    <col min="8" max="8" width="28.08984375" bestFit="1" customWidth="1"/>
  </cols>
  <sheetData>
    <row r="1" spans="1:12" ht="13" x14ac:dyDescent="0.3">
      <c r="A1" s="2" t="s">
        <v>669</v>
      </c>
      <c r="E1" s="50" t="s">
        <v>675</v>
      </c>
      <c r="F1" s="12"/>
      <c r="G1" s="12"/>
      <c r="H1" s="12"/>
      <c r="I1" s="12"/>
      <c r="J1" s="12"/>
      <c r="K1" s="12"/>
      <c r="L1" s="13"/>
    </row>
    <row r="2" spans="1:12" ht="13" x14ac:dyDescent="0.25">
      <c r="A2" s="21"/>
      <c r="E2" s="51"/>
      <c r="F2" s="52"/>
      <c r="G2" s="52"/>
      <c r="H2" s="52"/>
      <c r="I2" s="52"/>
      <c r="J2" s="52"/>
      <c r="K2" s="52"/>
      <c r="L2" s="52"/>
    </row>
    <row r="3" spans="1:12" ht="13" x14ac:dyDescent="0.3">
      <c r="A3" s="1" t="s">
        <v>179</v>
      </c>
      <c r="B3" s="15" t="s">
        <v>22</v>
      </c>
      <c r="E3" s="51"/>
      <c r="F3" s="52"/>
      <c r="G3" s="52"/>
      <c r="H3" s="52"/>
      <c r="I3" s="52"/>
      <c r="J3" s="52"/>
      <c r="K3" s="52"/>
      <c r="L3" s="52"/>
    </row>
    <row r="4" spans="1:12" ht="13" x14ac:dyDescent="0.3">
      <c r="A4" s="21" t="s">
        <v>25</v>
      </c>
      <c r="B4" s="14">
        <v>818395</v>
      </c>
      <c r="D4" s="1" t="s">
        <v>117</v>
      </c>
      <c r="E4" s="21" t="s">
        <v>182</v>
      </c>
    </row>
    <row r="5" spans="1:12" ht="13" x14ac:dyDescent="0.3">
      <c r="A5" s="21" t="s">
        <v>26</v>
      </c>
      <c r="B5" s="14">
        <v>99218</v>
      </c>
      <c r="D5" s="1" t="s">
        <v>180</v>
      </c>
      <c r="E5" s="21" t="s">
        <v>668</v>
      </c>
    </row>
    <row r="6" spans="1:12" ht="13" x14ac:dyDescent="0.3">
      <c r="A6" s="21" t="s">
        <v>27</v>
      </c>
      <c r="B6" s="14">
        <v>312382</v>
      </c>
      <c r="D6" s="1" t="s">
        <v>181</v>
      </c>
      <c r="E6" s="21" t="s">
        <v>183</v>
      </c>
    </row>
    <row r="7" spans="1:12" x14ac:dyDescent="0.25">
      <c r="A7" s="21" t="s">
        <v>28</v>
      </c>
      <c r="B7" s="14">
        <v>83855</v>
      </c>
    </row>
    <row r="8" spans="1:12" ht="13" x14ac:dyDescent="0.3">
      <c r="A8" s="21" t="s">
        <v>30</v>
      </c>
      <c r="B8" s="14">
        <v>788139</v>
      </c>
      <c r="G8" s="1" t="s">
        <v>22</v>
      </c>
      <c r="H8" s="1" t="s">
        <v>184</v>
      </c>
    </row>
    <row r="9" spans="1:12" x14ac:dyDescent="0.25">
      <c r="A9" s="21" t="s">
        <v>29</v>
      </c>
      <c r="B9" s="14">
        <v>49145</v>
      </c>
      <c r="E9" s="21"/>
      <c r="F9" s="21" t="s">
        <v>29</v>
      </c>
      <c r="G9" s="18">
        <f>_xlfn.XLOOKUP(F9,$A$3:$A$20,$B$3:$B$20)</f>
        <v>49145</v>
      </c>
      <c r="H9" s="26" t="str">
        <f>IF(G9&gt;50000,"Y","N")</f>
        <v>N</v>
      </c>
    </row>
    <row r="10" spans="1:12" x14ac:dyDescent="0.25">
      <c r="A10" s="21" t="s">
        <v>33</v>
      </c>
      <c r="B10" s="14">
        <v>12551</v>
      </c>
      <c r="E10" s="21"/>
      <c r="F10" s="21" t="s">
        <v>31</v>
      </c>
      <c r="G10" s="18">
        <f t="shared" ref="G10:G15" si="0">_xlfn.XLOOKUP(F10,$A$3:$A$20,$B$3:$B$20)</f>
        <v>28825</v>
      </c>
      <c r="H10" s="26" t="str">
        <f t="shared" ref="H10:H15" si="1">IF(G10&gt;50000,"Y","N")</f>
        <v>N</v>
      </c>
    </row>
    <row r="11" spans="1:12" x14ac:dyDescent="0.25">
      <c r="A11" s="21" t="s">
        <v>34</v>
      </c>
      <c r="B11" s="14">
        <v>387003</v>
      </c>
      <c r="E11" s="21"/>
      <c r="F11" s="21" t="s">
        <v>32</v>
      </c>
      <c r="G11" s="18">
        <f t="shared" si="0"/>
        <v>125293</v>
      </c>
      <c r="H11" s="26" t="str">
        <f t="shared" si="1"/>
        <v>Y</v>
      </c>
    </row>
    <row r="12" spans="1:12" x14ac:dyDescent="0.25">
      <c r="A12" s="21" t="s">
        <v>35</v>
      </c>
      <c r="B12" s="14">
        <v>112559</v>
      </c>
      <c r="F12" s="21" t="s">
        <v>30</v>
      </c>
      <c r="G12" s="18">
        <f t="shared" si="0"/>
        <v>788139</v>
      </c>
      <c r="H12" s="26" t="str">
        <f t="shared" si="1"/>
        <v>Y</v>
      </c>
    </row>
    <row r="13" spans="1:12" x14ac:dyDescent="0.25">
      <c r="A13" s="21" t="s">
        <v>36</v>
      </c>
      <c r="B13" s="14">
        <v>55978</v>
      </c>
      <c r="F13" t="s">
        <v>33</v>
      </c>
      <c r="G13" s="18">
        <f t="shared" si="0"/>
        <v>12551</v>
      </c>
      <c r="H13" s="26" t="str">
        <f t="shared" si="1"/>
        <v>N</v>
      </c>
    </row>
    <row r="14" spans="1:12" x14ac:dyDescent="0.25">
      <c r="A14" s="21" t="s">
        <v>31</v>
      </c>
      <c r="B14" s="14">
        <v>28825</v>
      </c>
      <c r="F14" t="s">
        <v>34</v>
      </c>
      <c r="G14" s="18">
        <f t="shared" si="0"/>
        <v>387003</v>
      </c>
      <c r="H14" s="26" t="str">
        <f t="shared" si="1"/>
        <v>Y</v>
      </c>
    </row>
    <row r="15" spans="1:12" x14ac:dyDescent="0.25">
      <c r="A15" s="21" t="s">
        <v>37</v>
      </c>
      <c r="B15" s="14">
        <v>186165</v>
      </c>
      <c r="F15" s="21" t="s">
        <v>41</v>
      </c>
      <c r="G15" s="18">
        <f t="shared" si="0"/>
        <v>19807</v>
      </c>
      <c r="H15" s="26" t="str">
        <f t="shared" si="1"/>
        <v>N</v>
      </c>
    </row>
    <row r="16" spans="1:12" x14ac:dyDescent="0.25">
      <c r="A16" s="21" t="s">
        <v>32</v>
      </c>
      <c r="B16" s="14">
        <v>125293</v>
      </c>
    </row>
    <row r="17" spans="1:2" x14ac:dyDescent="0.25">
      <c r="A17" s="21" t="s">
        <v>38</v>
      </c>
      <c r="B17" s="14">
        <v>119944</v>
      </c>
    </row>
    <row r="18" spans="1:2" x14ac:dyDescent="0.25">
      <c r="A18" s="21" t="s">
        <v>39</v>
      </c>
      <c r="B18" s="14">
        <v>790211</v>
      </c>
    </row>
    <row r="19" spans="1:2" x14ac:dyDescent="0.25">
      <c r="A19" s="21" t="s">
        <v>40</v>
      </c>
      <c r="B19" s="14">
        <v>431513</v>
      </c>
    </row>
    <row r="20" spans="1:2" x14ac:dyDescent="0.25">
      <c r="A20" s="21" t="s">
        <v>41</v>
      </c>
      <c r="B20" s="14">
        <v>19807</v>
      </c>
    </row>
  </sheetData>
  <phoneticPr fontId="2" type="noConversion"/>
  <conditionalFormatting sqref="G9:G15">
    <cfRule type="cellIs" dxfId="73" priority="1" operator="greaterThan">
      <formula>100000</formula>
    </cfRule>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1D31-70C8-4F12-B7C0-3B49251481C2}">
  <sheetPr>
    <tabColor theme="8" tint="0.59999389629810485"/>
  </sheetPr>
  <dimension ref="A1:AE1442"/>
  <sheetViews>
    <sheetView showGridLines="0" workbookViewId="0">
      <pane ySplit="6" topLeftCell="A7" activePane="bottomLeft" state="frozen"/>
      <selection activeCell="A4" sqref="A4"/>
      <selection pane="bottomLeft" activeCell="G12" sqref="G12"/>
    </sheetView>
  </sheetViews>
  <sheetFormatPr defaultRowHeight="12.5" x14ac:dyDescent="0.25"/>
  <cols>
    <col min="2" max="2" width="14.26953125" customWidth="1"/>
    <col min="6" max="6" width="17.54296875" customWidth="1"/>
    <col min="11" max="12" width="8.81640625" bestFit="1" customWidth="1"/>
    <col min="13" max="13" width="8.90625" bestFit="1" customWidth="1"/>
    <col min="14" max="15" width="8.81640625" bestFit="1" customWidth="1"/>
    <col min="26" max="26" width="12.81640625" customWidth="1"/>
    <col min="27" max="27" width="15.81640625" customWidth="1"/>
    <col min="28" max="28" width="14.81640625" customWidth="1"/>
    <col min="29" max="29" width="19.81640625" customWidth="1"/>
    <col min="31" max="31" width="9.1796875" bestFit="1" customWidth="1"/>
  </cols>
  <sheetData>
    <row r="1" spans="1:31" ht="13" x14ac:dyDescent="0.3">
      <c r="A1" s="2" t="s">
        <v>670</v>
      </c>
      <c r="G1" s="78" t="s">
        <v>675</v>
      </c>
      <c r="H1" s="79"/>
      <c r="I1" s="79"/>
      <c r="J1" s="79"/>
      <c r="K1" s="79"/>
      <c r="L1" s="79"/>
      <c r="M1" s="79"/>
      <c r="N1" s="79"/>
      <c r="O1" s="79"/>
      <c r="P1" s="80"/>
    </row>
    <row r="2" spans="1:31" x14ac:dyDescent="0.25">
      <c r="A2" s="21"/>
      <c r="AD2" s="27"/>
      <c r="AE2" s="21" t="s">
        <v>42</v>
      </c>
    </row>
    <row r="3" spans="1:31" ht="13" x14ac:dyDescent="0.3">
      <c r="A3" s="21" t="s">
        <v>672</v>
      </c>
    </row>
    <row r="4" spans="1:31" x14ac:dyDescent="0.25">
      <c r="A4" s="21" t="s">
        <v>673</v>
      </c>
    </row>
    <row r="5" spans="1:31" x14ac:dyDescent="0.25">
      <c r="A5" s="53" t="s">
        <v>671</v>
      </c>
      <c r="K5" s="24">
        <f>SUBTOTAL(9,K7:K1442)</f>
        <v>8565</v>
      </c>
      <c r="L5" s="24">
        <f>SUBTOTAL(9,L7:L1442)</f>
        <v>484732.34720000118</v>
      </c>
      <c r="M5" s="24">
        <f t="shared" ref="M5:O5" si="0">SUBTOTAL(9,M7:M1442)</f>
        <v>1308930.9399999976</v>
      </c>
      <c r="N5" s="24">
        <f t="shared" si="0"/>
        <v>6211</v>
      </c>
      <c r="O5" s="24">
        <f t="shared" si="0"/>
        <v>345212.86300000001</v>
      </c>
      <c r="AE5" s="25">
        <f ca="1">TODAY()</f>
        <v>46034</v>
      </c>
    </row>
    <row r="6" spans="1:31" s="42" customFormat="1" ht="36" x14ac:dyDescent="0.25">
      <c r="A6" s="46" t="s">
        <v>185</v>
      </c>
      <c r="B6" s="47" t="s">
        <v>186</v>
      </c>
      <c r="C6" s="46" t="s">
        <v>187</v>
      </c>
      <c r="D6" s="46" t="s">
        <v>188</v>
      </c>
      <c r="E6" s="46" t="s">
        <v>189</v>
      </c>
      <c r="F6" s="46" t="s">
        <v>190</v>
      </c>
      <c r="G6" s="46" t="s">
        <v>191</v>
      </c>
      <c r="H6" s="46" t="s">
        <v>192</v>
      </c>
      <c r="I6" s="48" t="s">
        <v>193</v>
      </c>
      <c r="J6" s="48" t="s">
        <v>194</v>
      </c>
      <c r="K6" s="49" t="s">
        <v>195</v>
      </c>
      <c r="L6" s="49" t="s">
        <v>196</v>
      </c>
      <c r="M6" s="49" t="s">
        <v>197</v>
      </c>
      <c r="N6" s="49" t="s">
        <v>198</v>
      </c>
      <c r="O6" s="49" t="s">
        <v>199</v>
      </c>
      <c r="P6" s="68" t="s">
        <v>687</v>
      </c>
      <c r="Q6"/>
      <c r="R6"/>
      <c r="S6"/>
      <c r="T6"/>
      <c r="U6"/>
      <c r="V6"/>
      <c r="W6"/>
      <c r="X6"/>
      <c r="Y6"/>
      <c r="Z6"/>
      <c r="AA6"/>
      <c r="AB6"/>
      <c r="AC6"/>
      <c r="AD6"/>
    </row>
    <row r="7" spans="1:31" x14ac:dyDescent="0.25">
      <c r="A7" s="43" t="s">
        <v>200</v>
      </c>
      <c r="B7" s="43" t="s">
        <v>201</v>
      </c>
      <c r="C7" s="43" t="s">
        <v>202</v>
      </c>
      <c r="D7" s="43" t="s">
        <v>203</v>
      </c>
      <c r="E7" s="43" t="s">
        <v>204</v>
      </c>
      <c r="F7" s="43" t="s">
        <v>205</v>
      </c>
      <c r="G7" s="43" t="s">
        <v>206</v>
      </c>
      <c r="H7" s="43" t="s">
        <v>207</v>
      </c>
      <c r="I7" s="44">
        <v>45590</v>
      </c>
      <c r="J7" s="44">
        <v>45647</v>
      </c>
      <c r="K7" s="45">
        <v>27</v>
      </c>
      <c r="L7" s="45">
        <v>466.80070000000001</v>
      </c>
      <c r="M7" s="45">
        <v>1382.26</v>
      </c>
      <c r="N7" s="45">
        <v>14</v>
      </c>
      <c r="O7" s="45">
        <v>247.9778</v>
      </c>
      <c r="P7" s="62">
        <f>K7+N7</f>
        <v>41</v>
      </c>
    </row>
    <row r="8" spans="1:31" x14ac:dyDescent="0.25">
      <c r="A8" s="43" t="s">
        <v>200</v>
      </c>
      <c r="B8" s="43" t="s">
        <v>201</v>
      </c>
      <c r="C8" s="43" t="s">
        <v>202</v>
      </c>
      <c r="D8" s="43" t="s">
        <v>203</v>
      </c>
      <c r="E8" s="43" t="s">
        <v>208</v>
      </c>
      <c r="F8" s="43" t="s">
        <v>205</v>
      </c>
      <c r="G8" s="43" t="s">
        <v>206</v>
      </c>
      <c r="H8" s="43" t="s">
        <v>207</v>
      </c>
      <c r="I8" s="44">
        <v>45590</v>
      </c>
      <c r="J8" s="44">
        <v>45631</v>
      </c>
      <c r="K8" s="45">
        <v>39</v>
      </c>
      <c r="L8" s="45">
        <v>679.86620000000005</v>
      </c>
      <c r="M8" s="45">
        <v>1989.16</v>
      </c>
      <c r="N8" s="45">
        <v>0</v>
      </c>
      <c r="O8" s="45">
        <v>0</v>
      </c>
      <c r="P8" s="62">
        <f t="shared" ref="P8:P71" si="1">K8+N8</f>
        <v>39</v>
      </c>
    </row>
    <row r="9" spans="1:31" x14ac:dyDescent="0.25">
      <c r="A9" s="43" t="s">
        <v>200</v>
      </c>
      <c r="B9" s="43" t="s">
        <v>201</v>
      </c>
      <c r="C9" s="43" t="s">
        <v>202</v>
      </c>
      <c r="D9" s="43" t="s">
        <v>203</v>
      </c>
      <c r="E9" s="43" t="s">
        <v>209</v>
      </c>
      <c r="F9" s="43" t="s">
        <v>205</v>
      </c>
      <c r="G9" s="43" t="s">
        <v>206</v>
      </c>
      <c r="H9" s="43" t="s">
        <v>207</v>
      </c>
      <c r="I9" s="44">
        <v>45590</v>
      </c>
      <c r="J9" s="44">
        <v>45647</v>
      </c>
      <c r="K9" s="45">
        <v>59</v>
      </c>
      <c r="L9" s="45">
        <v>1232.9165</v>
      </c>
      <c r="M9" s="45">
        <v>3492.61</v>
      </c>
      <c r="N9" s="45">
        <v>12</v>
      </c>
      <c r="O9" s="45">
        <v>258.81119999999999</v>
      </c>
      <c r="P9" s="62">
        <f t="shared" si="1"/>
        <v>71</v>
      </c>
    </row>
    <row r="10" spans="1:31" x14ac:dyDescent="0.25">
      <c r="A10" s="43" t="s">
        <v>200</v>
      </c>
      <c r="B10" s="43" t="s">
        <v>201</v>
      </c>
      <c r="C10" s="43" t="s">
        <v>202</v>
      </c>
      <c r="D10" s="43" t="s">
        <v>203</v>
      </c>
      <c r="E10" s="43" t="s">
        <v>210</v>
      </c>
      <c r="F10" s="43" t="s">
        <v>205</v>
      </c>
      <c r="G10" s="43" t="s">
        <v>206</v>
      </c>
      <c r="H10" s="43" t="s">
        <v>207</v>
      </c>
      <c r="I10" s="44">
        <v>45432</v>
      </c>
      <c r="J10" s="44">
        <v>45639</v>
      </c>
      <c r="K10" s="45">
        <v>24</v>
      </c>
      <c r="L10" s="45">
        <v>497.0215</v>
      </c>
      <c r="M10" s="45">
        <v>1425.87</v>
      </c>
      <c r="N10" s="45">
        <v>11</v>
      </c>
      <c r="O10" s="45">
        <v>233.23519999999999</v>
      </c>
      <c r="P10" s="62">
        <f t="shared" si="1"/>
        <v>35</v>
      </c>
    </row>
    <row r="11" spans="1:31" x14ac:dyDescent="0.25">
      <c r="A11" s="43" t="s">
        <v>200</v>
      </c>
      <c r="B11" s="43" t="s">
        <v>201</v>
      </c>
      <c r="C11" s="43" t="s">
        <v>202</v>
      </c>
      <c r="D11" s="43" t="s">
        <v>203</v>
      </c>
      <c r="E11" s="43" t="s">
        <v>211</v>
      </c>
      <c r="F11" s="43" t="s">
        <v>205</v>
      </c>
      <c r="G11" s="43" t="s">
        <v>206</v>
      </c>
      <c r="H11" s="43" t="s">
        <v>207</v>
      </c>
      <c r="I11" s="44">
        <v>45593</v>
      </c>
      <c r="J11" s="44">
        <v>45647</v>
      </c>
      <c r="K11" s="45">
        <v>8</v>
      </c>
      <c r="L11" s="45">
        <v>144.3296</v>
      </c>
      <c r="M11" s="45">
        <v>421.42</v>
      </c>
      <c r="N11" s="45">
        <v>11</v>
      </c>
      <c r="O11" s="45">
        <v>198.45320000000001</v>
      </c>
      <c r="P11" s="62">
        <f t="shared" si="1"/>
        <v>19</v>
      </c>
    </row>
    <row r="12" spans="1:31" x14ac:dyDescent="0.25">
      <c r="A12" s="43" t="s">
        <v>200</v>
      </c>
      <c r="B12" s="43" t="s">
        <v>201</v>
      </c>
      <c r="C12" s="43" t="s">
        <v>202</v>
      </c>
      <c r="D12" s="43" t="s">
        <v>203</v>
      </c>
      <c r="E12" s="43" t="s">
        <v>212</v>
      </c>
      <c r="F12" s="43" t="s">
        <v>205</v>
      </c>
      <c r="G12" s="43" t="s">
        <v>213</v>
      </c>
      <c r="H12" s="43" t="s">
        <v>207</v>
      </c>
      <c r="I12" s="44">
        <v>45633</v>
      </c>
      <c r="J12" s="44">
        <v>45647</v>
      </c>
      <c r="K12" s="45">
        <v>9</v>
      </c>
      <c r="L12" s="45">
        <v>159.77539999999999</v>
      </c>
      <c r="M12" s="45">
        <v>477.62</v>
      </c>
      <c r="N12" s="45">
        <v>9</v>
      </c>
      <c r="O12" s="45">
        <v>162.2295</v>
      </c>
      <c r="P12" s="62">
        <f t="shared" si="1"/>
        <v>18</v>
      </c>
    </row>
    <row r="13" spans="1:31" x14ac:dyDescent="0.25">
      <c r="A13" s="43" t="s">
        <v>200</v>
      </c>
      <c r="B13" s="43" t="s">
        <v>201</v>
      </c>
      <c r="C13" s="43" t="s">
        <v>202</v>
      </c>
      <c r="D13" s="43" t="s">
        <v>203</v>
      </c>
      <c r="E13" s="43" t="s">
        <v>214</v>
      </c>
      <c r="F13" s="43" t="s">
        <v>215</v>
      </c>
      <c r="G13" s="43" t="s">
        <v>206</v>
      </c>
      <c r="H13" s="43" t="s">
        <v>207</v>
      </c>
      <c r="I13" s="44">
        <v>45432</v>
      </c>
      <c r="J13" s="44">
        <v>45591</v>
      </c>
      <c r="K13" s="45">
        <v>3</v>
      </c>
      <c r="L13" s="45">
        <v>76.983900000000006</v>
      </c>
      <c r="M13" s="45">
        <v>228.86</v>
      </c>
      <c r="N13" s="45">
        <v>9</v>
      </c>
      <c r="O13" s="45">
        <v>230.95169999999999</v>
      </c>
      <c r="P13" s="62">
        <f t="shared" si="1"/>
        <v>12</v>
      </c>
    </row>
    <row r="14" spans="1:31" x14ac:dyDescent="0.25">
      <c r="A14" s="43" t="s">
        <v>200</v>
      </c>
      <c r="B14" s="43" t="s">
        <v>201</v>
      </c>
      <c r="C14" s="43" t="s">
        <v>202</v>
      </c>
      <c r="D14" s="43" t="s">
        <v>203</v>
      </c>
      <c r="E14" s="43" t="s">
        <v>216</v>
      </c>
      <c r="F14" s="43" t="s">
        <v>215</v>
      </c>
      <c r="G14" s="43" t="s">
        <v>206</v>
      </c>
      <c r="H14" s="43" t="s">
        <v>207</v>
      </c>
      <c r="I14" s="44">
        <v>45432</v>
      </c>
      <c r="J14" s="44">
        <v>45605</v>
      </c>
      <c r="K14" s="45">
        <v>13</v>
      </c>
      <c r="L14" s="45">
        <v>333.59690000000001</v>
      </c>
      <c r="M14" s="45">
        <v>966.3</v>
      </c>
      <c r="N14" s="45">
        <v>2</v>
      </c>
      <c r="O14" s="45">
        <v>51.322600000000001</v>
      </c>
      <c r="P14" s="62">
        <f t="shared" si="1"/>
        <v>15</v>
      </c>
    </row>
    <row r="15" spans="1:31" x14ac:dyDescent="0.25">
      <c r="A15" s="43" t="s">
        <v>200</v>
      </c>
      <c r="B15" s="43" t="s">
        <v>201</v>
      </c>
      <c r="C15" s="43" t="s">
        <v>202</v>
      </c>
      <c r="D15" s="43" t="s">
        <v>203</v>
      </c>
      <c r="E15" s="43" t="s">
        <v>217</v>
      </c>
      <c r="F15" s="43" t="s">
        <v>215</v>
      </c>
      <c r="G15" s="43" t="s">
        <v>213</v>
      </c>
      <c r="H15" s="43" t="s">
        <v>218</v>
      </c>
      <c r="I15" s="44">
        <v>45633</v>
      </c>
      <c r="J15" s="44">
        <v>45647</v>
      </c>
      <c r="K15" s="45">
        <v>8</v>
      </c>
      <c r="L15" s="45">
        <v>215.96559999999999</v>
      </c>
      <c r="M15" s="45">
        <v>601.80999999999995</v>
      </c>
      <c r="N15" s="45">
        <v>10</v>
      </c>
      <c r="O15" s="45">
        <v>269.95699999999999</v>
      </c>
      <c r="P15" s="62">
        <f t="shared" si="1"/>
        <v>18</v>
      </c>
    </row>
    <row r="16" spans="1:31" x14ac:dyDescent="0.25">
      <c r="A16" s="43" t="s">
        <v>200</v>
      </c>
      <c r="B16" s="43" t="s">
        <v>201</v>
      </c>
      <c r="C16" s="43" t="s">
        <v>202</v>
      </c>
      <c r="D16" s="43" t="s">
        <v>203</v>
      </c>
      <c r="E16" s="43" t="s">
        <v>219</v>
      </c>
      <c r="F16" s="43" t="s">
        <v>215</v>
      </c>
      <c r="G16" s="43" t="s">
        <v>213</v>
      </c>
      <c r="H16" s="43" t="s">
        <v>218</v>
      </c>
      <c r="I16" s="44">
        <v>45633</v>
      </c>
      <c r="J16" s="44">
        <v>45646</v>
      </c>
      <c r="K16" s="45">
        <v>7</v>
      </c>
      <c r="L16" s="45">
        <v>188.9699</v>
      </c>
      <c r="M16" s="45">
        <v>550.97</v>
      </c>
      <c r="N16" s="45">
        <v>10</v>
      </c>
      <c r="O16" s="45">
        <v>269.95699999999999</v>
      </c>
      <c r="P16" s="62">
        <f t="shared" si="1"/>
        <v>17</v>
      </c>
    </row>
    <row r="17" spans="1:16" x14ac:dyDescent="0.25">
      <c r="A17" s="43" t="s">
        <v>200</v>
      </c>
      <c r="B17" s="43" t="s">
        <v>201</v>
      </c>
      <c r="C17" s="43" t="s">
        <v>202</v>
      </c>
      <c r="D17" s="43" t="s">
        <v>220</v>
      </c>
      <c r="E17" s="43" t="s">
        <v>221</v>
      </c>
      <c r="F17" s="43" t="s">
        <v>222</v>
      </c>
      <c r="G17" s="43" t="s">
        <v>206</v>
      </c>
      <c r="H17" s="43" t="s">
        <v>207</v>
      </c>
      <c r="I17" s="44">
        <v>45432</v>
      </c>
      <c r="J17" s="44">
        <v>45647</v>
      </c>
      <c r="K17" s="45">
        <v>19</v>
      </c>
      <c r="L17" s="45">
        <v>685.84699999999998</v>
      </c>
      <c r="M17" s="45">
        <v>1806.29</v>
      </c>
      <c r="N17" s="45">
        <v>9</v>
      </c>
      <c r="O17" s="45">
        <v>324.07560000000001</v>
      </c>
      <c r="P17" s="62">
        <f t="shared" si="1"/>
        <v>28</v>
      </c>
    </row>
    <row r="18" spans="1:16" x14ac:dyDescent="0.25">
      <c r="A18" s="43" t="s">
        <v>200</v>
      </c>
      <c r="B18" s="43" t="s">
        <v>201</v>
      </c>
      <c r="C18" s="43" t="s">
        <v>202</v>
      </c>
      <c r="D18" s="43" t="s">
        <v>220</v>
      </c>
      <c r="E18" s="43" t="s">
        <v>223</v>
      </c>
      <c r="F18" s="43" t="s">
        <v>222</v>
      </c>
      <c r="G18" s="43" t="s">
        <v>213</v>
      </c>
      <c r="H18" s="43" t="s">
        <v>207</v>
      </c>
      <c r="I18" s="44">
        <v>45590</v>
      </c>
      <c r="J18" s="44">
        <v>45647</v>
      </c>
      <c r="K18" s="45">
        <v>20</v>
      </c>
      <c r="L18" s="45">
        <v>688.91070000000002</v>
      </c>
      <c r="M18" s="45">
        <v>1889.36</v>
      </c>
      <c r="N18" s="45">
        <v>11</v>
      </c>
      <c r="O18" s="45">
        <v>386.4135</v>
      </c>
      <c r="P18" s="62">
        <f t="shared" si="1"/>
        <v>31</v>
      </c>
    </row>
    <row r="19" spans="1:16" x14ac:dyDescent="0.25">
      <c r="A19" s="43" t="s">
        <v>200</v>
      </c>
      <c r="B19" s="43" t="s">
        <v>201</v>
      </c>
      <c r="C19" s="43" t="s">
        <v>202</v>
      </c>
      <c r="D19" s="43" t="s">
        <v>220</v>
      </c>
      <c r="E19" s="43" t="s">
        <v>224</v>
      </c>
      <c r="F19" s="43" t="s">
        <v>222</v>
      </c>
      <c r="G19" s="43" t="s">
        <v>213</v>
      </c>
      <c r="H19" s="43" t="s">
        <v>207</v>
      </c>
      <c r="I19" s="44">
        <v>45590</v>
      </c>
      <c r="J19" s="44">
        <v>45647</v>
      </c>
      <c r="K19" s="45">
        <v>47</v>
      </c>
      <c r="L19" s="45">
        <v>1631.0148999999999</v>
      </c>
      <c r="M19" s="45">
        <v>4401.5200000000004</v>
      </c>
      <c r="N19" s="45">
        <v>12</v>
      </c>
      <c r="O19" s="45">
        <v>429.42959999999999</v>
      </c>
      <c r="P19" s="62">
        <f t="shared" si="1"/>
        <v>59</v>
      </c>
    </row>
    <row r="20" spans="1:16" x14ac:dyDescent="0.25">
      <c r="A20" s="43" t="s">
        <v>200</v>
      </c>
      <c r="B20" s="43" t="s">
        <v>201</v>
      </c>
      <c r="C20" s="43" t="s">
        <v>202</v>
      </c>
      <c r="D20" s="43" t="s">
        <v>220</v>
      </c>
      <c r="E20" s="43" t="s">
        <v>225</v>
      </c>
      <c r="F20" s="43" t="s">
        <v>222</v>
      </c>
      <c r="G20" s="43" t="s">
        <v>213</v>
      </c>
      <c r="H20" s="43" t="s">
        <v>226</v>
      </c>
      <c r="I20" s="44">
        <v>45590</v>
      </c>
      <c r="J20" s="44">
        <v>45647</v>
      </c>
      <c r="K20" s="45">
        <v>1</v>
      </c>
      <c r="L20" s="45">
        <v>35.458399999999997</v>
      </c>
      <c r="M20" s="45">
        <v>93.43</v>
      </c>
      <c r="N20" s="45">
        <v>12</v>
      </c>
      <c r="O20" s="45">
        <v>426.05040000000002</v>
      </c>
      <c r="P20" s="62">
        <f t="shared" si="1"/>
        <v>13</v>
      </c>
    </row>
    <row r="21" spans="1:16" x14ac:dyDescent="0.25">
      <c r="A21" s="43" t="s">
        <v>200</v>
      </c>
      <c r="B21" s="43" t="s">
        <v>201</v>
      </c>
      <c r="C21" s="43" t="s">
        <v>202</v>
      </c>
      <c r="D21" s="43" t="s">
        <v>220</v>
      </c>
      <c r="E21" s="43" t="s">
        <v>227</v>
      </c>
      <c r="F21" s="43" t="s">
        <v>228</v>
      </c>
      <c r="G21" s="43" t="s">
        <v>206</v>
      </c>
      <c r="H21" s="43" t="s">
        <v>207</v>
      </c>
      <c r="I21" s="44">
        <v>45576</v>
      </c>
      <c r="J21" s="44">
        <v>45647</v>
      </c>
      <c r="K21" s="45">
        <v>12</v>
      </c>
      <c r="L21" s="45">
        <v>423.40379999999999</v>
      </c>
      <c r="M21" s="45">
        <v>1110.78</v>
      </c>
      <c r="N21" s="45">
        <v>4</v>
      </c>
      <c r="O21" s="45">
        <v>144.03360000000001</v>
      </c>
      <c r="P21" s="62">
        <f t="shared" si="1"/>
        <v>16</v>
      </c>
    </row>
    <row r="22" spans="1:16" x14ac:dyDescent="0.25">
      <c r="A22" s="43" t="s">
        <v>200</v>
      </c>
      <c r="B22" s="43" t="s">
        <v>201</v>
      </c>
      <c r="C22" s="43" t="s">
        <v>202</v>
      </c>
      <c r="D22" s="43" t="s">
        <v>220</v>
      </c>
      <c r="E22" s="43" t="s">
        <v>229</v>
      </c>
      <c r="F22" s="43" t="s">
        <v>228</v>
      </c>
      <c r="G22" s="43" t="s">
        <v>206</v>
      </c>
      <c r="H22" s="43" t="s">
        <v>207</v>
      </c>
      <c r="I22" s="44">
        <v>45432</v>
      </c>
      <c r="J22" s="44">
        <v>45647</v>
      </c>
      <c r="K22" s="45">
        <v>8</v>
      </c>
      <c r="L22" s="45">
        <v>280.72879999999998</v>
      </c>
      <c r="M22" s="45">
        <v>747.43</v>
      </c>
      <c r="N22" s="45">
        <v>5</v>
      </c>
      <c r="O22" s="45">
        <v>179.02250000000001</v>
      </c>
      <c r="P22" s="62">
        <f t="shared" si="1"/>
        <v>13</v>
      </c>
    </row>
    <row r="23" spans="1:16" x14ac:dyDescent="0.25">
      <c r="A23" s="43" t="s">
        <v>200</v>
      </c>
      <c r="B23" s="43" t="s">
        <v>201</v>
      </c>
      <c r="C23" s="43" t="s">
        <v>202</v>
      </c>
      <c r="D23" s="43" t="s">
        <v>230</v>
      </c>
      <c r="E23" s="43" t="s">
        <v>231</v>
      </c>
      <c r="F23" s="43" t="s">
        <v>205</v>
      </c>
      <c r="G23" s="43" t="s">
        <v>232</v>
      </c>
      <c r="H23" s="43" t="s">
        <v>218</v>
      </c>
      <c r="I23" s="44">
        <v>45633</v>
      </c>
      <c r="J23" s="44">
        <v>45646</v>
      </c>
      <c r="K23" s="45">
        <v>0</v>
      </c>
      <c r="L23" s="45">
        <v>0</v>
      </c>
      <c r="M23" s="45">
        <v>0</v>
      </c>
      <c r="N23" s="45">
        <v>10</v>
      </c>
      <c r="O23" s="45">
        <v>144.119</v>
      </c>
      <c r="P23" s="62">
        <f t="shared" si="1"/>
        <v>10</v>
      </c>
    </row>
    <row r="24" spans="1:16" x14ac:dyDescent="0.25">
      <c r="A24" s="43" t="s">
        <v>200</v>
      </c>
      <c r="B24" s="43" t="s">
        <v>201</v>
      </c>
      <c r="C24" s="43" t="s">
        <v>202</v>
      </c>
      <c r="D24" s="43" t="s">
        <v>230</v>
      </c>
      <c r="E24" s="43" t="s">
        <v>231</v>
      </c>
      <c r="F24" s="43" t="s">
        <v>205</v>
      </c>
      <c r="G24" s="43" t="s">
        <v>233</v>
      </c>
      <c r="H24" s="43" t="s">
        <v>218</v>
      </c>
      <c r="I24" s="44">
        <v>45633</v>
      </c>
      <c r="J24" s="44">
        <v>45646</v>
      </c>
      <c r="K24" s="45">
        <v>3</v>
      </c>
      <c r="L24" s="45">
        <v>43.235700000000001</v>
      </c>
      <c r="M24" s="45">
        <v>140</v>
      </c>
      <c r="N24" s="45">
        <v>10</v>
      </c>
      <c r="O24" s="45">
        <v>144.119</v>
      </c>
      <c r="P24" s="62">
        <f t="shared" si="1"/>
        <v>13</v>
      </c>
    </row>
    <row r="25" spans="1:16" x14ac:dyDescent="0.25">
      <c r="A25" s="43" t="s">
        <v>200</v>
      </c>
      <c r="B25" s="43" t="s">
        <v>201</v>
      </c>
      <c r="C25" s="43" t="s">
        <v>202</v>
      </c>
      <c r="D25" s="43" t="s">
        <v>230</v>
      </c>
      <c r="E25" s="43" t="s">
        <v>231</v>
      </c>
      <c r="F25" s="43" t="s">
        <v>205</v>
      </c>
      <c r="G25" s="43" t="s">
        <v>234</v>
      </c>
      <c r="H25" s="43" t="s">
        <v>218</v>
      </c>
      <c r="I25" s="44">
        <v>45633</v>
      </c>
      <c r="J25" s="44">
        <v>45645</v>
      </c>
      <c r="K25" s="45">
        <v>3</v>
      </c>
      <c r="L25" s="45">
        <v>39.291600000000003</v>
      </c>
      <c r="M25" s="45">
        <v>140.01</v>
      </c>
      <c r="N25" s="45">
        <v>8</v>
      </c>
      <c r="O25" s="45">
        <v>104.77760000000001</v>
      </c>
      <c r="P25" s="62">
        <f t="shared" si="1"/>
        <v>11</v>
      </c>
    </row>
    <row r="26" spans="1:16" x14ac:dyDescent="0.25">
      <c r="A26" s="43" t="s">
        <v>200</v>
      </c>
      <c r="B26" s="43" t="s">
        <v>201</v>
      </c>
      <c r="C26" s="43" t="s">
        <v>202</v>
      </c>
      <c r="D26" s="43" t="s">
        <v>230</v>
      </c>
      <c r="E26" s="43" t="s">
        <v>235</v>
      </c>
      <c r="F26" s="43" t="s">
        <v>228</v>
      </c>
      <c r="G26" s="43" t="s">
        <v>232</v>
      </c>
      <c r="H26" s="43" t="s">
        <v>207</v>
      </c>
      <c r="I26" s="44">
        <v>45593</v>
      </c>
      <c r="J26" s="44">
        <v>45644</v>
      </c>
      <c r="K26" s="45">
        <v>7</v>
      </c>
      <c r="L26" s="45">
        <v>242.85120000000001</v>
      </c>
      <c r="M26" s="45">
        <v>674.77</v>
      </c>
      <c r="N26" s="45">
        <v>10</v>
      </c>
      <c r="O26" s="45">
        <v>352.19600000000003</v>
      </c>
      <c r="P26" s="62">
        <f t="shared" si="1"/>
        <v>17</v>
      </c>
    </row>
    <row r="27" spans="1:16" x14ac:dyDescent="0.25">
      <c r="A27" s="43" t="s">
        <v>200</v>
      </c>
      <c r="B27" s="43" t="s">
        <v>201</v>
      </c>
      <c r="C27" s="43" t="s">
        <v>202</v>
      </c>
      <c r="D27" s="43" t="s">
        <v>230</v>
      </c>
      <c r="E27" s="43" t="s">
        <v>235</v>
      </c>
      <c r="F27" s="43" t="s">
        <v>228</v>
      </c>
      <c r="G27" s="43" t="s">
        <v>233</v>
      </c>
      <c r="H27" s="43" t="s">
        <v>207</v>
      </c>
      <c r="I27" s="44">
        <v>45593</v>
      </c>
      <c r="J27" s="44">
        <v>45647</v>
      </c>
      <c r="K27" s="45">
        <v>2</v>
      </c>
      <c r="L27" s="45">
        <v>68.716200000000001</v>
      </c>
      <c r="M27" s="45">
        <v>186.86</v>
      </c>
      <c r="N27" s="45">
        <v>10</v>
      </c>
      <c r="O27" s="45">
        <v>346.07600000000002</v>
      </c>
      <c r="P27" s="62">
        <f t="shared" si="1"/>
        <v>12</v>
      </c>
    </row>
    <row r="28" spans="1:16" x14ac:dyDescent="0.25">
      <c r="A28" s="43" t="s">
        <v>200</v>
      </c>
      <c r="B28" s="43" t="s">
        <v>201</v>
      </c>
      <c r="C28" s="43" t="s">
        <v>202</v>
      </c>
      <c r="D28" s="43" t="s">
        <v>230</v>
      </c>
      <c r="E28" s="43" t="s">
        <v>235</v>
      </c>
      <c r="F28" s="43" t="s">
        <v>228</v>
      </c>
      <c r="G28" s="43" t="s">
        <v>234</v>
      </c>
      <c r="H28" s="43" t="s">
        <v>207</v>
      </c>
      <c r="I28" s="44">
        <v>45593</v>
      </c>
      <c r="J28" s="44">
        <v>45645</v>
      </c>
      <c r="K28" s="45">
        <v>3</v>
      </c>
      <c r="L28" s="45">
        <v>103.1634</v>
      </c>
      <c r="M28" s="45">
        <v>290.67</v>
      </c>
      <c r="N28" s="45">
        <v>10</v>
      </c>
      <c r="O28" s="45">
        <v>347.68</v>
      </c>
      <c r="P28" s="62">
        <f t="shared" si="1"/>
        <v>13</v>
      </c>
    </row>
    <row r="29" spans="1:16" x14ac:dyDescent="0.25">
      <c r="A29" s="43" t="s">
        <v>200</v>
      </c>
      <c r="B29" s="43" t="s">
        <v>201</v>
      </c>
      <c r="C29" s="43" t="s">
        <v>202</v>
      </c>
      <c r="D29" s="43" t="s">
        <v>230</v>
      </c>
      <c r="E29" s="43" t="s">
        <v>236</v>
      </c>
      <c r="F29" s="43" t="s">
        <v>228</v>
      </c>
      <c r="G29" s="43" t="s">
        <v>232</v>
      </c>
      <c r="H29" s="43" t="s">
        <v>207</v>
      </c>
      <c r="I29" s="44">
        <v>45432</v>
      </c>
      <c r="J29" s="44">
        <v>45643</v>
      </c>
      <c r="K29" s="45">
        <v>4</v>
      </c>
      <c r="L29" s="45">
        <v>137.93100000000001</v>
      </c>
      <c r="M29" s="45">
        <v>394.48</v>
      </c>
      <c r="N29" s="45">
        <v>9</v>
      </c>
      <c r="O29" s="45">
        <v>312.91109999999998</v>
      </c>
      <c r="P29" s="62">
        <f t="shared" si="1"/>
        <v>13</v>
      </c>
    </row>
    <row r="30" spans="1:16" x14ac:dyDescent="0.25">
      <c r="A30" s="43" t="s">
        <v>200</v>
      </c>
      <c r="B30" s="43" t="s">
        <v>201</v>
      </c>
      <c r="C30" s="43" t="s">
        <v>202</v>
      </c>
      <c r="D30" s="43" t="s">
        <v>230</v>
      </c>
      <c r="E30" s="43" t="s">
        <v>236</v>
      </c>
      <c r="F30" s="43" t="s">
        <v>228</v>
      </c>
      <c r="G30" s="43" t="s">
        <v>233</v>
      </c>
      <c r="H30" s="43" t="s">
        <v>207</v>
      </c>
      <c r="I30" s="44">
        <v>45432</v>
      </c>
      <c r="J30" s="44">
        <v>45643</v>
      </c>
      <c r="K30" s="45">
        <v>4</v>
      </c>
      <c r="L30" s="45">
        <v>138.0753</v>
      </c>
      <c r="M30" s="45">
        <v>384.09</v>
      </c>
      <c r="N30" s="45">
        <v>10</v>
      </c>
      <c r="O30" s="45">
        <v>348.81700000000001</v>
      </c>
      <c r="P30" s="62">
        <f t="shared" si="1"/>
        <v>14</v>
      </c>
    </row>
    <row r="31" spans="1:16" x14ac:dyDescent="0.25">
      <c r="A31" s="43" t="s">
        <v>200</v>
      </c>
      <c r="B31" s="43" t="s">
        <v>201</v>
      </c>
      <c r="C31" s="43" t="s">
        <v>202</v>
      </c>
      <c r="D31" s="43" t="s">
        <v>230</v>
      </c>
      <c r="E31" s="43" t="s">
        <v>236</v>
      </c>
      <c r="F31" s="43" t="s">
        <v>228</v>
      </c>
      <c r="G31" s="43" t="s">
        <v>234</v>
      </c>
      <c r="H31" s="43" t="s">
        <v>207</v>
      </c>
      <c r="I31" s="44">
        <v>45432</v>
      </c>
      <c r="J31" s="44">
        <v>45640</v>
      </c>
      <c r="K31" s="45">
        <v>3</v>
      </c>
      <c r="L31" s="45">
        <v>103.3235</v>
      </c>
      <c r="M31" s="45">
        <v>280.29000000000002</v>
      </c>
      <c r="N31" s="45">
        <v>10</v>
      </c>
      <c r="O31" s="45">
        <v>347.51799999999997</v>
      </c>
      <c r="P31" s="62">
        <f t="shared" si="1"/>
        <v>13</v>
      </c>
    </row>
    <row r="32" spans="1:16" x14ac:dyDescent="0.25">
      <c r="A32" s="43" t="s">
        <v>200</v>
      </c>
      <c r="B32" s="43" t="s">
        <v>201</v>
      </c>
      <c r="C32" s="43" t="s">
        <v>202</v>
      </c>
      <c r="D32" s="43" t="s">
        <v>230</v>
      </c>
      <c r="E32" s="43" t="s">
        <v>237</v>
      </c>
      <c r="F32" s="43" t="s">
        <v>228</v>
      </c>
      <c r="G32" s="43" t="s">
        <v>233</v>
      </c>
      <c r="H32" s="43" t="s">
        <v>207</v>
      </c>
      <c r="I32" s="44">
        <v>45593</v>
      </c>
      <c r="J32" s="44">
        <v>45647</v>
      </c>
      <c r="K32" s="45">
        <v>13</v>
      </c>
      <c r="L32" s="45">
        <v>455.08390000000003</v>
      </c>
      <c r="M32" s="45">
        <v>1266.49</v>
      </c>
      <c r="N32" s="45">
        <v>8</v>
      </c>
      <c r="O32" s="45">
        <v>284.16399999999999</v>
      </c>
      <c r="P32" s="62">
        <f t="shared" si="1"/>
        <v>21</v>
      </c>
    </row>
    <row r="33" spans="1:16" x14ac:dyDescent="0.25">
      <c r="A33" s="43" t="s">
        <v>200</v>
      </c>
      <c r="B33" s="43" t="s">
        <v>201</v>
      </c>
      <c r="C33" s="43" t="s">
        <v>202</v>
      </c>
      <c r="D33" s="43" t="s">
        <v>230</v>
      </c>
      <c r="E33" s="43" t="s">
        <v>237</v>
      </c>
      <c r="F33" s="43" t="s">
        <v>228</v>
      </c>
      <c r="G33" s="43" t="s">
        <v>234</v>
      </c>
      <c r="H33" s="43" t="s">
        <v>207</v>
      </c>
      <c r="I33" s="44">
        <v>45593</v>
      </c>
      <c r="J33" s="44">
        <v>45647</v>
      </c>
      <c r="K33" s="45">
        <v>12</v>
      </c>
      <c r="L33" s="45">
        <v>419.50549999999998</v>
      </c>
      <c r="M33" s="45">
        <v>1121.1500000000001</v>
      </c>
      <c r="N33" s="45">
        <v>10</v>
      </c>
      <c r="O33" s="45">
        <v>355.79599999999999</v>
      </c>
      <c r="P33" s="62">
        <f t="shared" si="1"/>
        <v>22</v>
      </c>
    </row>
    <row r="34" spans="1:16" x14ac:dyDescent="0.25">
      <c r="A34" s="43" t="s">
        <v>200</v>
      </c>
      <c r="B34" s="43" t="s">
        <v>201</v>
      </c>
      <c r="C34" s="43" t="s">
        <v>202</v>
      </c>
      <c r="D34" s="43" t="s">
        <v>230</v>
      </c>
      <c r="E34" s="43" t="s">
        <v>238</v>
      </c>
      <c r="F34" s="43" t="s">
        <v>239</v>
      </c>
      <c r="G34" s="43" t="s">
        <v>232</v>
      </c>
      <c r="H34" s="43" t="s">
        <v>207</v>
      </c>
      <c r="I34" s="44">
        <v>45608</v>
      </c>
      <c r="J34" s="44">
        <v>45647</v>
      </c>
      <c r="K34" s="45">
        <v>28</v>
      </c>
      <c r="L34" s="45">
        <v>489.61880000000002</v>
      </c>
      <c r="M34" s="45">
        <v>1438.44</v>
      </c>
      <c r="N34" s="45">
        <v>10</v>
      </c>
      <c r="O34" s="45">
        <v>179.99600000000001</v>
      </c>
      <c r="P34" s="62">
        <f t="shared" si="1"/>
        <v>38</v>
      </c>
    </row>
    <row r="35" spans="1:16" x14ac:dyDescent="0.25">
      <c r="A35" s="43" t="s">
        <v>200</v>
      </c>
      <c r="B35" s="43" t="s">
        <v>201</v>
      </c>
      <c r="C35" s="43" t="s">
        <v>202</v>
      </c>
      <c r="D35" s="43" t="s">
        <v>230</v>
      </c>
      <c r="E35" s="43" t="s">
        <v>238</v>
      </c>
      <c r="F35" s="43" t="s">
        <v>239</v>
      </c>
      <c r="G35" s="43" t="s">
        <v>233</v>
      </c>
      <c r="H35" s="43" t="s">
        <v>207</v>
      </c>
      <c r="I35" s="44">
        <v>45608</v>
      </c>
      <c r="J35" s="44">
        <v>45644</v>
      </c>
      <c r="K35" s="45">
        <v>7</v>
      </c>
      <c r="L35" s="45">
        <v>120.9674</v>
      </c>
      <c r="M35" s="45">
        <v>359.62</v>
      </c>
      <c r="N35" s="45">
        <v>10</v>
      </c>
      <c r="O35" s="45">
        <v>175.47200000000001</v>
      </c>
      <c r="P35" s="62">
        <f t="shared" si="1"/>
        <v>17</v>
      </c>
    </row>
    <row r="36" spans="1:16" x14ac:dyDescent="0.25">
      <c r="A36" s="43" t="s">
        <v>200</v>
      </c>
      <c r="B36" s="43" t="s">
        <v>201</v>
      </c>
      <c r="C36" s="43" t="s">
        <v>202</v>
      </c>
      <c r="D36" s="43" t="s">
        <v>230</v>
      </c>
      <c r="E36" s="43" t="s">
        <v>238</v>
      </c>
      <c r="F36" s="43" t="s">
        <v>239</v>
      </c>
      <c r="G36" s="43" t="s">
        <v>234</v>
      </c>
      <c r="H36" s="43" t="s">
        <v>207</v>
      </c>
      <c r="I36" s="44">
        <v>45608</v>
      </c>
      <c r="J36" s="44">
        <v>45636</v>
      </c>
      <c r="K36" s="45">
        <v>6</v>
      </c>
      <c r="L36" s="45">
        <v>103.30840000000001</v>
      </c>
      <c r="M36" s="45">
        <v>303.43</v>
      </c>
      <c r="N36" s="45">
        <v>10</v>
      </c>
      <c r="O36" s="45">
        <v>174.16900000000001</v>
      </c>
      <c r="P36" s="62">
        <f t="shared" si="1"/>
        <v>16</v>
      </c>
    </row>
    <row r="37" spans="1:16" x14ac:dyDescent="0.25">
      <c r="A37" s="43" t="s">
        <v>200</v>
      </c>
      <c r="B37" s="43" t="s">
        <v>201</v>
      </c>
      <c r="C37" s="43" t="s">
        <v>202</v>
      </c>
      <c r="D37" s="43" t="s">
        <v>230</v>
      </c>
      <c r="E37" s="43" t="s">
        <v>240</v>
      </c>
      <c r="F37" s="43" t="s">
        <v>239</v>
      </c>
      <c r="G37" s="43" t="s">
        <v>232</v>
      </c>
      <c r="H37" s="43" t="s">
        <v>207</v>
      </c>
      <c r="I37" s="44">
        <v>45608</v>
      </c>
      <c r="J37" s="44">
        <v>45647</v>
      </c>
      <c r="K37" s="45">
        <v>30</v>
      </c>
      <c r="L37" s="45">
        <v>524.01049999999998</v>
      </c>
      <c r="M37" s="45">
        <v>1533.97</v>
      </c>
      <c r="N37" s="45">
        <v>9</v>
      </c>
      <c r="O37" s="45">
        <v>162.04230000000001</v>
      </c>
      <c r="P37" s="62">
        <f t="shared" si="1"/>
        <v>39</v>
      </c>
    </row>
    <row r="38" spans="1:16" x14ac:dyDescent="0.25">
      <c r="A38" s="43" t="s">
        <v>200</v>
      </c>
      <c r="B38" s="43" t="s">
        <v>201</v>
      </c>
      <c r="C38" s="43" t="s">
        <v>202</v>
      </c>
      <c r="D38" s="43" t="s">
        <v>230</v>
      </c>
      <c r="E38" s="43" t="s">
        <v>240</v>
      </c>
      <c r="F38" s="43" t="s">
        <v>239</v>
      </c>
      <c r="G38" s="43" t="s">
        <v>233</v>
      </c>
      <c r="H38" s="43" t="s">
        <v>207</v>
      </c>
      <c r="I38" s="44">
        <v>45608</v>
      </c>
      <c r="J38" s="44">
        <v>45644</v>
      </c>
      <c r="K38" s="45">
        <v>19</v>
      </c>
      <c r="L38" s="45">
        <v>329.9325</v>
      </c>
      <c r="M38" s="45">
        <v>988.96</v>
      </c>
      <c r="N38" s="45">
        <v>9</v>
      </c>
      <c r="O38" s="45">
        <v>160.7895</v>
      </c>
      <c r="P38" s="62">
        <f t="shared" si="1"/>
        <v>28</v>
      </c>
    </row>
    <row r="39" spans="1:16" x14ac:dyDescent="0.25">
      <c r="A39" s="43" t="s">
        <v>200</v>
      </c>
      <c r="B39" s="43" t="s">
        <v>201</v>
      </c>
      <c r="C39" s="43" t="s">
        <v>202</v>
      </c>
      <c r="D39" s="43" t="s">
        <v>230</v>
      </c>
      <c r="E39" s="43" t="s">
        <v>240</v>
      </c>
      <c r="F39" s="43" t="s">
        <v>239</v>
      </c>
      <c r="G39" s="43" t="s">
        <v>234</v>
      </c>
      <c r="H39" s="43" t="s">
        <v>207</v>
      </c>
      <c r="I39" s="44">
        <v>45608</v>
      </c>
      <c r="J39" s="44">
        <v>45643</v>
      </c>
      <c r="K39" s="45">
        <v>7</v>
      </c>
      <c r="L39" s="45">
        <v>121.8165</v>
      </c>
      <c r="M39" s="45">
        <v>353.99</v>
      </c>
      <c r="N39" s="45">
        <v>9</v>
      </c>
      <c r="O39" s="45">
        <v>158.33969999999999</v>
      </c>
      <c r="P39" s="62">
        <f t="shared" si="1"/>
        <v>16</v>
      </c>
    </row>
    <row r="40" spans="1:16" x14ac:dyDescent="0.25">
      <c r="A40" s="43" t="s">
        <v>200</v>
      </c>
      <c r="B40" s="43" t="s">
        <v>201</v>
      </c>
      <c r="C40" s="43" t="s">
        <v>202</v>
      </c>
      <c r="D40" s="43" t="s">
        <v>230</v>
      </c>
      <c r="E40" s="43" t="s">
        <v>241</v>
      </c>
      <c r="F40" s="43" t="s">
        <v>239</v>
      </c>
      <c r="G40" s="43" t="s">
        <v>232</v>
      </c>
      <c r="H40" s="43" t="s">
        <v>207</v>
      </c>
      <c r="I40" s="44">
        <v>45432</v>
      </c>
      <c r="J40" s="44">
        <v>45636</v>
      </c>
      <c r="K40" s="45">
        <v>26</v>
      </c>
      <c r="L40" s="45">
        <v>460.07229999999998</v>
      </c>
      <c r="M40" s="45">
        <v>1326.06</v>
      </c>
      <c r="N40" s="45">
        <v>1</v>
      </c>
      <c r="O40" s="45">
        <v>17.941500000000001</v>
      </c>
      <c r="P40" s="62">
        <f t="shared" si="1"/>
        <v>27</v>
      </c>
    </row>
    <row r="41" spans="1:16" x14ac:dyDescent="0.25">
      <c r="A41" s="43" t="s">
        <v>200</v>
      </c>
      <c r="B41" s="43" t="s">
        <v>201</v>
      </c>
      <c r="C41" s="43" t="s">
        <v>202</v>
      </c>
      <c r="D41" s="43" t="s">
        <v>230</v>
      </c>
      <c r="E41" s="43" t="s">
        <v>241</v>
      </c>
      <c r="F41" s="43" t="s">
        <v>239</v>
      </c>
      <c r="G41" s="43" t="s">
        <v>233</v>
      </c>
      <c r="H41" s="43" t="s">
        <v>207</v>
      </c>
      <c r="I41" s="44">
        <v>45432</v>
      </c>
      <c r="J41" s="44">
        <v>45647</v>
      </c>
      <c r="K41" s="45">
        <v>15</v>
      </c>
      <c r="L41" s="45">
        <v>263.19209999999998</v>
      </c>
      <c r="M41" s="45">
        <v>764.2</v>
      </c>
      <c r="N41" s="45">
        <v>8</v>
      </c>
      <c r="O41" s="45">
        <v>142.6</v>
      </c>
      <c r="P41" s="62">
        <f t="shared" si="1"/>
        <v>23</v>
      </c>
    </row>
    <row r="42" spans="1:16" x14ac:dyDescent="0.25">
      <c r="A42" s="43" t="s">
        <v>200</v>
      </c>
      <c r="B42" s="43" t="s">
        <v>201</v>
      </c>
      <c r="C42" s="43" t="s">
        <v>202</v>
      </c>
      <c r="D42" s="43" t="s">
        <v>230</v>
      </c>
      <c r="E42" s="43" t="s">
        <v>241</v>
      </c>
      <c r="F42" s="43" t="s">
        <v>239</v>
      </c>
      <c r="G42" s="43" t="s">
        <v>234</v>
      </c>
      <c r="H42" s="43" t="s">
        <v>207</v>
      </c>
      <c r="I42" s="44">
        <v>45432</v>
      </c>
      <c r="J42" s="44">
        <v>45646</v>
      </c>
      <c r="K42" s="45">
        <v>10</v>
      </c>
      <c r="L42" s="45">
        <v>173.7989</v>
      </c>
      <c r="M42" s="45">
        <v>516.94000000000005</v>
      </c>
      <c r="N42" s="45">
        <v>9</v>
      </c>
      <c r="O42" s="45">
        <v>158.92019999999999</v>
      </c>
      <c r="P42" s="62">
        <f t="shared" si="1"/>
        <v>19</v>
      </c>
    </row>
    <row r="43" spans="1:16" x14ac:dyDescent="0.25">
      <c r="A43" s="43" t="s">
        <v>200</v>
      </c>
      <c r="B43" s="43" t="s">
        <v>201</v>
      </c>
      <c r="C43" s="43" t="s">
        <v>202</v>
      </c>
      <c r="D43" s="43" t="s">
        <v>230</v>
      </c>
      <c r="E43" s="43" t="s">
        <v>242</v>
      </c>
      <c r="F43" s="43" t="s">
        <v>205</v>
      </c>
      <c r="G43" s="43" t="s">
        <v>232</v>
      </c>
      <c r="H43" s="43" t="s">
        <v>207</v>
      </c>
      <c r="I43" s="44">
        <v>45591</v>
      </c>
      <c r="J43" s="44">
        <v>45611</v>
      </c>
      <c r="K43" s="45">
        <v>20</v>
      </c>
      <c r="L43" s="45">
        <v>410.58</v>
      </c>
      <c r="M43" s="45">
        <v>1339.21</v>
      </c>
      <c r="N43" s="45">
        <v>0</v>
      </c>
      <c r="O43" s="45">
        <v>0</v>
      </c>
      <c r="P43" s="62">
        <f t="shared" si="1"/>
        <v>20</v>
      </c>
    </row>
    <row r="44" spans="1:16" x14ac:dyDescent="0.25">
      <c r="A44" s="43" t="s">
        <v>200</v>
      </c>
      <c r="B44" s="43" t="s">
        <v>201</v>
      </c>
      <c r="C44" s="43" t="s">
        <v>202</v>
      </c>
      <c r="D44" s="43" t="s">
        <v>230</v>
      </c>
      <c r="E44" s="43" t="s">
        <v>242</v>
      </c>
      <c r="F44" s="43" t="s">
        <v>205</v>
      </c>
      <c r="G44" s="43" t="s">
        <v>233</v>
      </c>
      <c r="H44" s="43" t="s">
        <v>207</v>
      </c>
      <c r="I44" s="44">
        <v>45591</v>
      </c>
      <c r="J44" s="44">
        <v>45635</v>
      </c>
      <c r="K44" s="45">
        <v>26</v>
      </c>
      <c r="L44" s="45">
        <v>544.31039999999996</v>
      </c>
      <c r="M44" s="45">
        <v>1783.12</v>
      </c>
      <c r="N44" s="45">
        <v>4</v>
      </c>
      <c r="O44" s="45">
        <v>85.436800000000005</v>
      </c>
      <c r="P44" s="62">
        <f t="shared" si="1"/>
        <v>30</v>
      </c>
    </row>
    <row r="45" spans="1:16" x14ac:dyDescent="0.25">
      <c r="A45" s="43" t="s">
        <v>200</v>
      </c>
      <c r="B45" s="43" t="s">
        <v>201</v>
      </c>
      <c r="C45" s="43" t="s">
        <v>202</v>
      </c>
      <c r="D45" s="43" t="s">
        <v>230</v>
      </c>
      <c r="E45" s="43" t="s">
        <v>242</v>
      </c>
      <c r="F45" s="43" t="s">
        <v>205</v>
      </c>
      <c r="G45" s="43" t="s">
        <v>234</v>
      </c>
      <c r="H45" s="43" t="s">
        <v>207</v>
      </c>
      <c r="I45" s="44">
        <v>45591</v>
      </c>
      <c r="J45" s="44">
        <v>45643</v>
      </c>
      <c r="K45" s="45">
        <v>7</v>
      </c>
      <c r="L45" s="45">
        <v>143.91650000000001</v>
      </c>
      <c r="M45" s="45">
        <v>473.98</v>
      </c>
      <c r="N45" s="45">
        <v>9</v>
      </c>
      <c r="O45" s="45">
        <v>186.6825</v>
      </c>
      <c r="P45" s="62">
        <f t="shared" si="1"/>
        <v>16</v>
      </c>
    </row>
    <row r="46" spans="1:16" x14ac:dyDescent="0.25">
      <c r="A46" s="43" t="s">
        <v>200</v>
      </c>
      <c r="B46" s="43" t="s">
        <v>201</v>
      </c>
      <c r="C46" s="43" t="s">
        <v>202</v>
      </c>
      <c r="D46" s="43" t="s">
        <v>230</v>
      </c>
      <c r="E46" s="43" t="s">
        <v>243</v>
      </c>
      <c r="F46" s="43" t="s">
        <v>205</v>
      </c>
      <c r="G46" s="43" t="s">
        <v>233</v>
      </c>
      <c r="H46" s="43" t="s">
        <v>207</v>
      </c>
      <c r="I46" s="44">
        <v>45591</v>
      </c>
      <c r="J46" s="44">
        <v>45645</v>
      </c>
      <c r="K46" s="45">
        <v>4</v>
      </c>
      <c r="L46" s="45">
        <v>82.715100000000007</v>
      </c>
      <c r="M46" s="45">
        <v>274.62</v>
      </c>
      <c r="N46" s="45">
        <v>10</v>
      </c>
      <c r="O46" s="45">
        <v>208.96199999999999</v>
      </c>
      <c r="P46" s="62">
        <f t="shared" si="1"/>
        <v>14</v>
      </c>
    </row>
    <row r="47" spans="1:16" x14ac:dyDescent="0.25">
      <c r="A47" s="43" t="s">
        <v>200</v>
      </c>
      <c r="B47" s="43" t="s">
        <v>201</v>
      </c>
      <c r="C47" s="43" t="s">
        <v>202</v>
      </c>
      <c r="D47" s="43" t="s">
        <v>230</v>
      </c>
      <c r="E47" s="43" t="s">
        <v>243</v>
      </c>
      <c r="F47" s="43" t="s">
        <v>205</v>
      </c>
      <c r="G47" s="43" t="s">
        <v>234</v>
      </c>
      <c r="H47" s="43" t="s">
        <v>207</v>
      </c>
      <c r="I47" s="44">
        <v>45591</v>
      </c>
      <c r="J47" s="44">
        <v>45645</v>
      </c>
      <c r="K47" s="45">
        <v>2</v>
      </c>
      <c r="L47" s="45">
        <v>41.1648</v>
      </c>
      <c r="M47" s="45">
        <v>135.41999999999999</v>
      </c>
      <c r="N47" s="45">
        <v>10</v>
      </c>
      <c r="O47" s="45">
        <v>207.31899999999999</v>
      </c>
      <c r="P47" s="62">
        <f t="shared" si="1"/>
        <v>12</v>
      </c>
    </row>
    <row r="48" spans="1:16" x14ac:dyDescent="0.25">
      <c r="A48" s="43" t="s">
        <v>200</v>
      </c>
      <c r="B48" s="43" t="s">
        <v>201</v>
      </c>
      <c r="C48" s="43" t="s">
        <v>202</v>
      </c>
      <c r="D48" s="43" t="s">
        <v>230</v>
      </c>
      <c r="E48" s="43" t="s">
        <v>244</v>
      </c>
      <c r="F48" s="43" t="s">
        <v>205</v>
      </c>
      <c r="G48" s="43" t="s">
        <v>232</v>
      </c>
      <c r="H48" s="43" t="s">
        <v>207</v>
      </c>
      <c r="I48" s="44">
        <v>45591</v>
      </c>
      <c r="J48" s="44">
        <v>45623</v>
      </c>
      <c r="K48" s="45">
        <v>5</v>
      </c>
      <c r="L48" s="45">
        <v>102.6806</v>
      </c>
      <c r="M48" s="45">
        <v>323.52</v>
      </c>
      <c r="N48" s="45">
        <v>30</v>
      </c>
      <c r="O48" s="45">
        <v>617.97</v>
      </c>
      <c r="P48" s="62">
        <f t="shared" si="1"/>
        <v>35</v>
      </c>
    </row>
    <row r="49" spans="1:16" x14ac:dyDescent="0.25">
      <c r="A49" s="43" t="s">
        <v>200</v>
      </c>
      <c r="B49" s="43" t="s">
        <v>201</v>
      </c>
      <c r="C49" s="43" t="s">
        <v>202</v>
      </c>
      <c r="D49" s="43" t="s">
        <v>230</v>
      </c>
      <c r="E49" s="43" t="s">
        <v>244</v>
      </c>
      <c r="F49" s="43" t="s">
        <v>205</v>
      </c>
      <c r="G49" s="43" t="s">
        <v>233</v>
      </c>
      <c r="H49" s="43" t="s">
        <v>207</v>
      </c>
      <c r="I49" s="44">
        <v>45591</v>
      </c>
      <c r="J49" s="44">
        <v>45630</v>
      </c>
      <c r="K49" s="45">
        <v>18</v>
      </c>
      <c r="L49" s="45">
        <v>370.76499999999999</v>
      </c>
      <c r="M49" s="45">
        <v>1230.1199999999999</v>
      </c>
      <c r="N49" s="45">
        <v>26</v>
      </c>
      <c r="O49" s="45">
        <v>538.91759999999999</v>
      </c>
      <c r="P49" s="62">
        <f t="shared" si="1"/>
        <v>44</v>
      </c>
    </row>
    <row r="50" spans="1:16" x14ac:dyDescent="0.25">
      <c r="A50" s="43" t="s">
        <v>200</v>
      </c>
      <c r="B50" s="43" t="s">
        <v>201</v>
      </c>
      <c r="C50" s="43" t="s">
        <v>202</v>
      </c>
      <c r="D50" s="43" t="s">
        <v>230</v>
      </c>
      <c r="E50" s="43" t="s">
        <v>244</v>
      </c>
      <c r="F50" s="43" t="s">
        <v>205</v>
      </c>
      <c r="G50" s="43" t="s">
        <v>234</v>
      </c>
      <c r="H50" s="43" t="s">
        <v>207</v>
      </c>
      <c r="I50" s="44">
        <v>45591</v>
      </c>
      <c r="J50" s="44">
        <v>45629</v>
      </c>
      <c r="K50" s="45">
        <v>15</v>
      </c>
      <c r="L50" s="45">
        <v>308.69</v>
      </c>
      <c r="M50" s="45">
        <v>1000.63</v>
      </c>
      <c r="N50" s="45">
        <v>30</v>
      </c>
      <c r="O50" s="45">
        <v>623.57100000000003</v>
      </c>
      <c r="P50" s="62">
        <f t="shared" si="1"/>
        <v>45</v>
      </c>
    </row>
    <row r="51" spans="1:16" x14ac:dyDescent="0.25">
      <c r="A51" s="43" t="s">
        <v>200</v>
      </c>
      <c r="B51" s="43" t="s">
        <v>201</v>
      </c>
      <c r="C51" s="43" t="s">
        <v>202</v>
      </c>
      <c r="D51" s="43" t="s">
        <v>230</v>
      </c>
      <c r="E51" s="43" t="s">
        <v>245</v>
      </c>
      <c r="F51" s="43" t="s">
        <v>205</v>
      </c>
      <c r="G51" s="43" t="s">
        <v>232</v>
      </c>
      <c r="H51" s="43" t="s">
        <v>207</v>
      </c>
      <c r="I51" s="44">
        <v>45591</v>
      </c>
      <c r="J51" s="44">
        <v>45622</v>
      </c>
      <c r="K51" s="45">
        <v>5</v>
      </c>
      <c r="L51" s="45">
        <v>102.6818</v>
      </c>
      <c r="M51" s="45">
        <v>338.57</v>
      </c>
      <c r="N51" s="45">
        <v>30</v>
      </c>
      <c r="O51" s="45">
        <v>618.00599999999997</v>
      </c>
      <c r="P51" s="62">
        <f t="shared" si="1"/>
        <v>35</v>
      </c>
    </row>
    <row r="52" spans="1:16" x14ac:dyDescent="0.25">
      <c r="A52" s="43" t="s">
        <v>200</v>
      </c>
      <c r="B52" s="43" t="s">
        <v>201</v>
      </c>
      <c r="C52" s="43" t="s">
        <v>202</v>
      </c>
      <c r="D52" s="43" t="s">
        <v>230</v>
      </c>
      <c r="E52" s="43" t="s">
        <v>245</v>
      </c>
      <c r="F52" s="43" t="s">
        <v>205</v>
      </c>
      <c r="G52" s="43" t="s">
        <v>233</v>
      </c>
      <c r="H52" s="43" t="s">
        <v>207</v>
      </c>
      <c r="I52" s="44">
        <v>45591</v>
      </c>
      <c r="J52" s="44">
        <v>45647</v>
      </c>
      <c r="K52" s="45">
        <v>8</v>
      </c>
      <c r="L52" s="45">
        <v>164.4409</v>
      </c>
      <c r="M52" s="45">
        <v>545.45000000000005</v>
      </c>
      <c r="N52" s="45">
        <v>30</v>
      </c>
      <c r="O52" s="45">
        <v>619.93200000000002</v>
      </c>
      <c r="P52" s="62">
        <f t="shared" si="1"/>
        <v>38</v>
      </c>
    </row>
    <row r="53" spans="1:16" x14ac:dyDescent="0.25">
      <c r="A53" s="43" t="s">
        <v>200</v>
      </c>
      <c r="B53" s="43" t="s">
        <v>201</v>
      </c>
      <c r="C53" s="43" t="s">
        <v>202</v>
      </c>
      <c r="D53" s="43" t="s">
        <v>230</v>
      </c>
      <c r="E53" s="43" t="s">
        <v>245</v>
      </c>
      <c r="F53" s="43" t="s">
        <v>205</v>
      </c>
      <c r="G53" s="43" t="s">
        <v>234</v>
      </c>
      <c r="H53" s="43" t="s">
        <v>207</v>
      </c>
      <c r="I53" s="44">
        <v>45590</v>
      </c>
      <c r="J53" s="44">
        <v>45646</v>
      </c>
      <c r="K53" s="45">
        <v>8</v>
      </c>
      <c r="L53" s="45">
        <v>164.3365</v>
      </c>
      <c r="M53" s="45">
        <v>549.22</v>
      </c>
      <c r="N53" s="45">
        <v>30</v>
      </c>
      <c r="O53" s="45">
        <v>618.93600000000004</v>
      </c>
      <c r="P53" s="62">
        <f t="shared" si="1"/>
        <v>38</v>
      </c>
    </row>
    <row r="54" spans="1:16" x14ac:dyDescent="0.25">
      <c r="A54" s="43" t="s">
        <v>200</v>
      </c>
      <c r="B54" s="43" t="s">
        <v>201</v>
      </c>
      <c r="C54" s="43" t="s">
        <v>202</v>
      </c>
      <c r="D54" s="43" t="s">
        <v>230</v>
      </c>
      <c r="E54" s="43" t="s">
        <v>246</v>
      </c>
      <c r="F54" s="43" t="s">
        <v>205</v>
      </c>
      <c r="G54" s="43" t="s">
        <v>232</v>
      </c>
      <c r="H54" s="43" t="s">
        <v>207</v>
      </c>
      <c r="I54" s="44">
        <v>45591</v>
      </c>
      <c r="J54" s="44">
        <v>45591</v>
      </c>
      <c r="K54" s="45">
        <v>0</v>
      </c>
      <c r="L54" s="45">
        <v>0</v>
      </c>
      <c r="M54" s="45">
        <v>0</v>
      </c>
      <c r="N54" s="45">
        <v>10</v>
      </c>
      <c r="O54" s="45">
        <v>205.29</v>
      </c>
      <c r="P54" s="62">
        <f t="shared" si="1"/>
        <v>10</v>
      </c>
    </row>
    <row r="55" spans="1:16" x14ac:dyDescent="0.25">
      <c r="A55" s="43" t="s">
        <v>200</v>
      </c>
      <c r="B55" s="43" t="s">
        <v>201</v>
      </c>
      <c r="C55" s="43" t="s">
        <v>202</v>
      </c>
      <c r="D55" s="43" t="s">
        <v>230</v>
      </c>
      <c r="E55" s="43" t="s">
        <v>246</v>
      </c>
      <c r="F55" s="43" t="s">
        <v>205</v>
      </c>
      <c r="G55" s="43" t="s">
        <v>233</v>
      </c>
      <c r="H55" s="43" t="s">
        <v>207</v>
      </c>
      <c r="I55" s="44">
        <v>45591</v>
      </c>
      <c r="J55" s="44">
        <v>45624</v>
      </c>
      <c r="K55" s="45">
        <v>3</v>
      </c>
      <c r="L55" s="45">
        <v>61.8005</v>
      </c>
      <c r="M55" s="45">
        <v>188.09</v>
      </c>
      <c r="N55" s="45">
        <v>10</v>
      </c>
      <c r="O55" s="45">
        <v>208.279</v>
      </c>
      <c r="P55" s="62">
        <f t="shared" si="1"/>
        <v>13</v>
      </c>
    </row>
    <row r="56" spans="1:16" x14ac:dyDescent="0.25">
      <c r="A56" s="43" t="s">
        <v>200</v>
      </c>
      <c r="B56" s="43" t="s">
        <v>201</v>
      </c>
      <c r="C56" s="43" t="s">
        <v>202</v>
      </c>
      <c r="D56" s="43" t="s">
        <v>230</v>
      </c>
      <c r="E56" s="43" t="s">
        <v>246</v>
      </c>
      <c r="F56" s="43" t="s">
        <v>205</v>
      </c>
      <c r="G56" s="43" t="s">
        <v>234</v>
      </c>
      <c r="H56" s="43" t="s">
        <v>207</v>
      </c>
      <c r="I56" s="44">
        <v>45591</v>
      </c>
      <c r="J56" s="44">
        <v>45625</v>
      </c>
      <c r="K56" s="45">
        <v>3</v>
      </c>
      <c r="L56" s="45">
        <v>61.896700000000003</v>
      </c>
      <c r="M56" s="45">
        <v>203.14</v>
      </c>
      <c r="N56" s="45">
        <v>10</v>
      </c>
      <c r="O56" s="45">
        <v>208.184</v>
      </c>
      <c r="P56" s="62">
        <f t="shared" si="1"/>
        <v>13</v>
      </c>
    </row>
    <row r="57" spans="1:16" x14ac:dyDescent="0.25">
      <c r="A57" s="43" t="s">
        <v>200</v>
      </c>
      <c r="B57" s="43" t="s">
        <v>201</v>
      </c>
      <c r="C57" s="43" t="s">
        <v>202</v>
      </c>
      <c r="D57" s="43" t="s">
        <v>230</v>
      </c>
      <c r="E57" s="43" t="s">
        <v>247</v>
      </c>
      <c r="F57" s="43" t="s">
        <v>205</v>
      </c>
      <c r="G57" s="43" t="s">
        <v>232</v>
      </c>
      <c r="H57" s="43" t="s">
        <v>207</v>
      </c>
      <c r="I57" s="44">
        <v>45432</v>
      </c>
      <c r="J57" s="44">
        <v>45643</v>
      </c>
      <c r="K57" s="45">
        <v>97</v>
      </c>
      <c r="L57" s="45">
        <v>2218.6754999999998</v>
      </c>
      <c r="M57" s="45">
        <v>6508.01</v>
      </c>
      <c r="N57" s="45">
        <v>28</v>
      </c>
      <c r="O57" s="45">
        <v>655.11879999999996</v>
      </c>
      <c r="P57" s="62">
        <f t="shared" si="1"/>
        <v>125</v>
      </c>
    </row>
    <row r="58" spans="1:16" x14ac:dyDescent="0.25">
      <c r="A58" s="43" t="s">
        <v>200</v>
      </c>
      <c r="B58" s="43" t="s">
        <v>201</v>
      </c>
      <c r="C58" s="43" t="s">
        <v>202</v>
      </c>
      <c r="D58" s="43" t="s">
        <v>230</v>
      </c>
      <c r="E58" s="43" t="s">
        <v>247</v>
      </c>
      <c r="F58" s="43" t="s">
        <v>205</v>
      </c>
      <c r="G58" s="43" t="s">
        <v>233</v>
      </c>
      <c r="H58" s="43" t="s">
        <v>207</v>
      </c>
      <c r="I58" s="44">
        <v>45432</v>
      </c>
      <c r="J58" s="44">
        <v>45635</v>
      </c>
      <c r="K58" s="45">
        <v>77</v>
      </c>
      <c r="L58" s="45">
        <v>1718.049</v>
      </c>
      <c r="M58" s="45">
        <v>5225.17</v>
      </c>
      <c r="N58" s="45">
        <v>18</v>
      </c>
      <c r="O58" s="45">
        <v>410.07780000000002</v>
      </c>
      <c r="P58" s="62">
        <f t="shared" si="1"/>
        <v>95</v>
      </c>
    </row>
    <row r="59" spans="1:16" x14ac:dyDescent="0.25">
      <c r="A59" s="43" t="s">
        <v>200</v>
      </c>
      <c r="B59" s="43" t="s">
        <v>201</v>
      </c>
      <c r="C59" s="43" t="s">
        <v>202</v>
      </c>
      <c r="D59" s="43" t="s">
        <v>230</v>
      </c>
      <c r="E59" s="43" t="s">
        <v>247</v>
      </c>
      <c r="F59" s="43" t="s">
        <v>205</v>
      </c>
      <c r="G59" s="43" t="s">
        <v>234</v>
      </c>
      <c r="H59" s="43" t="s">
        <v>207</v>
      </c>
      <c r="I59" s="44">
        <v>45432</v>
      </c>
      <c r="J59" s="44">
        <v>45646</v>
      </c>
      <c r="K59" s="45">
        <v>37</v>
      </c>
      <c r="L59" s="45">
        <v>856.04290000000003</v>
      </c>
      <c r="M59" s="45">
        <v>2516.6</v>
      </c>
      <c r="N59" s="45">
        <v>28</v>
      </c>
      <c r="O59" s="45">
        <v>659.48680000000002</v>
      </c>
      <c r="P59" s="62">
        <f t="shared" si="1"/>
        <v>65</v>
      </c>
    </row>
    <row r="60" spans="1:16" x14ac:dyDescent="0.25">
      <c r="A60" s="43" t="s">
        <v>200</v>
      </c>
      <c r="B60" s="43" t="s">
        <v>201</v>
      </c>
      <c r="C60" s="43" t="s">
        <v>202</v>
      </c>
      <c r="D60" s="43" t="s">
        <v>230</v>
      </c>
      <c r="E60" s="43" t="s">
        <v>248</v>
      </c>
      <c r="F60" s="43" t="s">
        <v>205</v>
      </c>
      <c r="G60" s="43" t="s">
        <v>232</v>
      </c>
      <c r="H60" s="43" t="s">
        <v>207</v>
      </c>
      <c r="I60" s="44">
        <v>45591</v>
      </c>
      <c r="J60" s="44">
        <v>45612</v>
      </c>
      <c r="K60" s="45">
        <v>25</v>
      </c>
      <c r="L60" s="45">
        <v>513.22500000000002</v>
      </c>
      <c r="M60" s="45">
        <v>1715.41</v>
      </c>
      <c r="N60" s="45">
        <v>1</v>
      </c>
      <c r="O60" s="45">
        <v>20.529</v>
      </c>
      <c r="P60" s="62">
        <f t="shared" si="1"/>
        <v>26</v>
      </c>
    </row>
    <row r="61" spans="1:16" x14ac:dyDescent="0.25">
      <c r="A61" s="43" t="s">
        <v>200</v>
      </c>
      <c r="B61" s="43" t="s">
        <v>201</v>
      </c>
      <c r="C61" s="43" t="s">
        <v>202</v>
      </c>
      <c r="D61" s="43" t="s">
        <v>230</v>
      </c>
      <c r="E61" s="43" t="s">
        <v>248</v>
      </c>
      <c r="F61" s="43" t="s">
        <v>205</v>
      </c>
      <c r="G61" s="43" t="s">
        <v>233</v>
      </c>
      <c r="H61" s="43" t="s">
        <v>207</v>
      </c>
      <c r="I61" s="44">
        <v>45591</v>
      </c>
      <c r="J61" s="44">
        <v>45591</v>
      </c>
      <c r="K61" s="45">
        <v>10</v>
      </c>
      <c r="L61" s="45">
        <v>205.29</v>
      </c>
      <c r="M61" s="45">
        <v>684.64</v>
      </c>
      <c r="N61" s="45">
        <v>0</v>
      </c>
      <c r="O61" s="45">
        <v>0</v>
      </c>
      <c r="P61" s="62">
        <f t="shared" si="1"/>
        <v>10</v>
      </c>
    </row>
    <row r="62" spans="1:16" x14ac:dyDescent="0.25">
      <c r="A62" s="43" t="s">
        <v>200</v>
      </c>
      <c r="B62" s="43" t="s">
        <v>201</v>
      </c>
      <c r="C62" s="43" t="s">
        <v>202</v>
      </c>
      <c r="D62" s="43" t="s">
        <v>230</v>
      </c>
      <c r="E62" s="43" t="s">
        <v>248</v>
      </c>
      <c r="F62" s="43" t="s">
        <v>205</v>
      </c>
      <c r="G62" s="43" t="s">
        <v>234</v>
      </c>
      <c r="H62" s="43" t="s">
        <v>207</v>
      </c>
      <c r="I62" s="44">
        <v>45591</v>
      </c>
      <c r="J62" s="44">
        <v>45622</v>
      </c>
      <c r="K62" s="45">
        <v>22</v>
      </c>
      <c r="L62" s="45">
        <v>456.7244</v>
      </c>
      <c r="M62" s="45">
        <v>1485.85</v>
      </c>
      <c r="N62" s="45">
        <v>4</v>
      </c>
      <c r="O62" s="45">
        <v>84.503200000000007</v>
      </c>
      <c r="P62" s="62">
        <f t="shared" si="1"/>
        <v>26</v>
      </c>
    </row>
    <row r="63" spans="1:16" x14ac:dyDescent="0.25">
      <c r="A63" s="43" t="s">
        <v>200</v>
      </c>
      <c r="B63" s="43" t="s">
        <v>201</v>
      </c>
      <c r="C63" s="43" t="s">
        <v>202</v>
      </c>
      <c r="D63" s="43" t="s">
        <v>230</v>
      </c>
      <c r="E63" s="43" t="s">
        <v>249</v>
      </c>
      <c r="F63" s="43" t="s">
        <v>205</v>
      </c>
      <c r="G63" s="43" t="s">
        <v>232</v>
      </c>
      <c r="H63" s="43" t="s">
        <v>207</v>
      </c>
      <c r="I63" s="44">
        <v>45432</v>
      </c>
      <c r="J63" s="44">
        <v>45647</v>
      </c>
      <c r="K63" s="45">
        <v>30</v>
      </c>
      <c r="L63" s="45">
        <v>627.09739999999999</v>
      </c>
      <c r="M63" s="45">
        <v>2031.4</v>
      </c>
      <c r="N63" s="45">
        <v>29</v>
      </c>
      <c r="O63" s="45">
        <v>615.1422</v>
      </c>
      <c r="P63" s="62">
        <f t="shared" si="1"/>
        <v>59</v>
      </c>
    </row>
    <row r="64" spans="1:16" x14ac:dyDescent="0.25">
      <c r="A64" s="43" t="s">
        <v>200</v>
      </c>
      <c r="B64" s="43" t="s">
        <v>201</v>
      </c>
      <c r="C64" s="43" t="s">
        <v>202</v>
      </c>
      <c r="D64" s="43" t="s">
        <v>230</v>
      </c>
      <c r="E64" s="43" t="s">
        <v>249</v>
      </c>
      <c r="F64" s="43" t="s">
        <v>205</v>
      </c>
      <c r="G64" s="43" t="s">
        <v>233</v>
      </c>
      <c r="H64" s="43" t="s">
        <v>207</v>
      </c>
      <c r="I64" s="44">
        <v>45432</v>
      </c>
      <c r="J64" s="44">
        <v>45647</v>
      </c>
      <c r="K64" s="45">
        <v>20</v>
      </c>
      <c r="L64" s="45">
        <v>415.75819999999999</v>
      </c>
      <c r="M64" s="45">
        <v>1369.33</v>
      </c>
      <c r="N64" s="45">
        <v>29</v>
      </c>
      <c r="O64" s="45">
        <v>610.44709999999998</v>
      </c>
      <c r="P64" s="62">
        <f t="shared" si="1"/>
        <v>49</v>
      </c>
    </row>
    <row r="65" spans="1:16" x14ac:dyDescent="0.25">
      <c r="A65" s="43" t="s">
        <v>200</v>
      </c>
      <c r="B65" s="43" t="s">
        <v>201</v>
      </c>
      <c r="C65" s="43" t="s">
        <v>202</v>
      </c>
      <c r="D65" s="43" t="s">
        <v>230</v>
      </c>
      <c r="E65" s="43" t="s">
        <v>249</v>
      </c>
      <c r="F65" s="43" t="s">
        <v>205</v>
      </c>
      <c r="G65" s="43" t="s">
        <v>234</v>
      </c>
      <c r="H65" s="43" t="s">
        <v>207</v>
      </c>
      <c r="I65" s="44">
        <v>45432</v>
      </c>
      <c r="J65" s="44">
        <v>45647</v>
      </c>
      <c r="K65" s="45">
        <v>21</v>
      </c>
      <c r="L65" s="45">
        <v>436.95800000000003</v>
      </c>
      <c r="M65" s="45">
        <v>1437.04</v>
      </c>
      <c r="N65" s="45">
        <v>30</v>
      </c>
      <c r="O65" s="45">
        <v>632.54399999999998</v>
      </c>
      <c r="P65" s="62">
        <f t="shared" si="1"/>
        <v>51</v>
      </c>
    </row>
    <row r="66" spans="1:16" x14ac:dyDescent="0.25">
      <c r="A66" s="43" t="s">
        <v>200</v>
      </c>
      <c r="B66" s="43" t="s">
        <v>201</v>
      </c>
      <c r="C66" s="43" t="s">
        <v>202</v>
      </c>
      <c r="D66" s="43" t="s">
        <v>230</v>
      </c>
      <c r="E66" s="43" t="s">
        <v>250</v>
      </c>
      <c r="F66" s="43" t="s">
        <v>205</v>
      </c>
      <c r="G66" s="43" t="s">
        <v>232</v>
      </c>
      <c r="H66" s="43" t="s">
        <v>207</v>
      </c>
      <c r="I66" s="44">
        <v>45593</v>
      </c>
      <c r="J66" s="44">
        <v>45644</v>
      </c>
      <c r="K66" s="45">
        <v>12</v>
      </c>
      <c r="L66" s="45">
        <v>251.22880000000001</v>
      </c>
      <c r="M66" s="45">
        <v>812.54</v>
      </c>
      <c r="N66" s="45">
        <v>10</v>
      </c>
      <c r="O66" s="45">
        <v>213.21899999999999</v>
      </c>
      <c r="P66" s="62">
        <f t="shared" si="1"/>
        <v>22</v>
      </c>
    </row>
    <row r="67" spans="1:16" x14ac:dyDescent="0.25">
      <c r="A67" s="43" t="s">
        <v>200</v>
      </c>
      <c r="B67" s="43" t="s">
        <v>201</v>
      </c>
      <c r="C67" s="43" t="s">
        <v>202</v>
      </c>
      <c r="D67" s="43" t="s">
        <v>230</v>
      </c>
      <c r="E67" s="43" t="s">
        <v>250</v>
      </c>
      <c r="F67" s="43" t="s">
        <v>205</v>
      </c>
      <c r="G67" s="43" t="s">
        <v>233</v>
      </c>
      <c r="H67" s="43" t="s">
        <v>207</v>
      </c>
      <c r="I67" s="44">
        <v>45593</v>
      </c>
      <c r="J67" s="44">
        <v>45647</v>
      </c>
      <c r="K67" s="45">
        <v>7</v>
      </c>
      <c r="L67" s="45">
        <v>145.48169999999999</v>
      </c>
      <c r="M67" s="45">
        <v>481.52</v>
      </c>
      <c r="N67" s="45">
        <v>10</v>
      </c>
      <c r="O67" s="45">
        <v>210.98599999999999</v>
      </c>
      <c r="P67" s="62">
        <f t="shared" si="1"/>
        <v>17</v>
      </c>
    </row>
    <row r="68" spans="1:16" x14ac:dyDescent="0.25">
      <c r="A68" s="43" t="s">
        <v>200</v>
      </c>
      <c r="B68" s="43" t="s">
        <v>201</v>
      </c>
      <c r="C68" s="43" t="s">
        <v>202</v>
      </c>
      <c r="D68" s="43" t="s">
        <v>230</v>
      </c>
      <c r="E68" s="43" t="s">
        <v>250</v>
      </c>
      <c r="F68" s="43" t="s">
        <v>205</v>
      </c>
      <c r="G68" s="43" t="s">
        <v>234</v>
      </c>
      <c r="H68" s="43" t="s">
        <v>207</v>
      </c>
      <c r="I68" s="44">
        <v>45593</v>
      </c>
      <c r="J68" s="44">
        <v>45638</v>
      </c>
      <c r="K68" s="45">
        <v>2</v>
      </c>
      <c r="L68" s="45">
        <v>41.1648</v>
      </c>
      <c r="M68" s="45">
        <v>135.43</v>
      </c>
      <c r="N68" s="45">
        <v>10</v>
      </c>
      <c r="O68" s="45">
        <v>207.31899999999999</v>
      </c>
      <c r="P68" s="62">
        <f t="shared" si="1"/>
        <v>12</v>
      </c>
    </row>
    <row r="69" spans="1:16" x14ac:dyDescent="0.25">
      <c r="A69" s="43" t="s">
        <v>200</v>
      </c>
      <c r="B69" s="43" t="s">
        <v>201</v>
      </c>
      <c r="C69" s="43" t="s">
        <v>202</v>
      </c>
      <c r="D69" s="43" t="s">
        <v>230</v>
      </c>
      <c r="E69" s="43" t="s">
        <v>251</v>
      </c>
      <c r="F69" s="43" t="s">
        <v>239</v>
      </c>
      <c r="G69" s="43" t="s">
        <v>232</v>
      </c>
      <c r="H69" s="43" t="s">
        <v>218</v>
      </c>
      <c r="I69" s="44">
        <v>45633</v>
      </c>
      <c r="J69" s="44">
        <v>45643</v>
      </c>
      <c r="K69" s="45">
        <v>12</v>
      </c>
      <c r="L69" s="45">
        <v>259.15800000000002</v>
      </c>
      <c r="M69" s="45">
        <v>735.99</v>
      </c>
      <c r="N69" s="45">
        <v>7</v>
      </c>
      <c r="O69" s="45">
        <v>151.1755</v>
      </c>
      <c r="P69" s="62">
        <f t="shared" si="1"/>
        <v>19</v>
      </c>
    </row>
    <row r="70" spans="1:16" x14ac:dyDescent="0.25">
      <c r="A70" s="43" t="s">
        <v>200</v>
      </c>
      <c r="B70" s="43" t="s">
        <v>201</v>
      </c>
      <c r="C70" s="43" t="s">
        <v>202</v>
      </c>
      <c r="D70" s="43" t="s">
        <v>230</v>
      </c>
      <c r="E70" s="43" t="s">
        <v>251</v>
      </c>
      <c r="F70" s="43" t="s">
        <v>239</v>
      </c>
      <c r="G70" s="43" t="s">
        <v>233</v>
      </c>
      <c r="H70" s="43" t="s">
        <v>218</v>
      </c>
      <c r="I70" s="44">
        <v>45633</v>
      </c>
      <c r="J70" s="44">
        <v>45647</v>
      </c>
      <c r="K70" s="45">
        <v>4</v>
      </c>
      <c r="L70" s="45">
        <v>86.385999999999996</v>
      </c>
      <c r="M70" s="45">
        <v>236.57</v>
      </c>
      <c r="N70" s="45">
        <v>11</v>
      </c>
      <c r="O70" s="45">
        <v>237.5615</v>
      </c>
      <c r="P70" s="62">
        <f t="shared" si="1"/>
        <v>15</v>
      </c>
    </row>
    <row r="71" spans="1:16" x14ac:dyDescent="0.25">
      <c r="A71" s="43" t="s">
        <v>200</v>
      </c>
      <c r="B71" s="43" t="s">
        <v>201</v>
      </c>
      <c r="C71" s="43" t="s">
        <v>202</v>
      </c>
      <c r="D71" s="43" t="s">
        <v>230</v>
      </c>
      <c r="E71" s="43" t="s">
        <v>251</v>
      </c>
      <c r="F71" s="43" t="s">
        <v>239</v>
      </c>
      <c r="G71" s="43" t="s">
        <v>234</v>
      </c>
      <c r="H71" s="43" t="s">
        <v>218</v>
      </c>
      <c r="I71" s="44">
        <v>45633</v>
      </c>
      <c r="J71" s="44">
        <v>45647</v>
      </c>
      <c r="K71" s="45">
        <v>2</v>
      </c>
      <c r="L71" s="45">
        <v>43.192999999999998</v>
      </c>
      <c r="M71" s="45">
        <v>118.28</v>
      </c>
      <c r="N71" s="45">
        <v>10</v>
      </c>
      <c r="O71" s="45">
        <v>215.965</v>
      </c>
      <c r="P71" s="62">
        <f t="shared" si="1"/>
        <v>12</v>
      </c>
    </row>
    <row r="72" spans="1:16" x14ac:dyDescent="0.25">
      <c r="A72" s="43" t="s">
        <v>200</v>
      </c>
      <c r="B72" s="43" t="s">
        <v>201</v>
      </c>
      <c r="C72" s="43" t="s">
        <v>202</v>
      </c>
      <c r="D72" s="43" t="s">
        <v>230</v>
      </c>
      <c r="E72" s="43" t="s">
        <v>252</v>
      </c>
      <c r="F72" s="43" t="s">
        <v>239</v>
      </c>
      <c r="G72" s="43" t="s">
        <v>232</v>
      </c>
      <c r="H72" s="43" t="s">
        <v>218</v>
      </c>
      <c r="I72" s="44">
        <v>45633</v>
      </c>
      <c r="J72" s="44">
        <v>45647</v>
      </c>
      <c r="K72" s="45">
        <v>7</v>
      </c>
      <c r="L72" s="45">
        <v>151.1755</v>
      </c>
      <c r="M72" s="45">
        <v>427.13</v>
      </c>
      <c r="N72" s="45">
        <v>17</v>
      </c>
      <c r="O72" s="45">
        <v>367.14049999999997</v>
      </c>
      <c r="P72" s="62">
        <f t="shared" ref="P72:P135" si="2">K72+N72</f>
        <v>24</v>
      </c>
    </row>
    <row r="73" spans="1:16" x14ac:dyDescent="0.25">
      <c r="A73" s="43" t="s">
        <v>200</v>
      </c>
      <c r="B73" s="43" t="s">
        <v>201</v>
      </c>
      <c r="C73" s="43" t="s">
        <v>202</v>
      </c>
      <c r="D73" s="43" t="s">
        <v>230</v>
      </c>
      <c r="E73" s="43" t="s">
        <v>252</v>
      </c>
      <c r="F73" s="43" t="s">
        <v>239</v>
      </c>
      <c r="G73" s="43" t="s">
        <v>233</v>
      </c>
      <c r="H73" s="43" t="s">
        <v>218</v>
      </c>
      <c r="I73" s="44">
        <v>45633</v>
      </c>
      <c r="J73" s="44">
        <v>45646</v>
      </c>
      <c r="K73" s="45">
        <v>7</v>
      </c>
      <c r="L73" s="45">
        <v>151.1755</v>
      </c>
      <c r="M73" s="45">
        <v>420.57</v>
      </c>
      <c r="N73" s="45">
        <v>17</v>
      </c>
      <c r="O73" s="45">
        <v>367.14049999999997</v>
      </c>
      <c r="P73" s="62">
        <f t="shared" si="2"/>
        <v>24</v>
      </c>
    </row>
    <row r="74" spans="1:16" x14ac:dyDescent="0.25">
      <c r="A74" s="43" t="s">
        <v>200</v>
      </c>
      <c r="B74" s="43" t="s">
        <v>201</v>
      </c>
      <c r="C74" s="43" t="s">
        <v>202</v>
      </c>
      <c r="D74" s="43" t="s">
        <v>230</v>
      </c>
      <c r="E74" s="43" t="s">
        <v>252</v>
      </c>
      <c r="F74" s="43" t="s">
        <v>239</v>
      </c>
      <c r="G74" s="43" t="s">
        <v>234</v>
      </c>
      <c r="H74" s="43" t="s">
        <v>218</v>
      </c>
      <c r="I74" s="44">
        <v>45633</v>
      </c>
      <c r="J74" s="44">
        <v>45645</v>
      </c>
      <c r="K74" s="45">
        <v>1</v>
      </c>
      <c r="L74" s="45">
        <v>21.596499999999999</v>
      </c>
      <c r="M74" s="45">
        <v>65.709999999999994</v>
      </c>
      <c r="N74" s="45">
        <v>20</v>
      </c>
      <c r="O74" s="45">
        <v>431.93</v>
      </c>
      <c r="P74" s="62">
        <f t="shared" si="2"/>
        <v>21</v>
      </c>
    </row>
    <row r="75" spans="1:16" x14ac:dyDescent="0.25">
      <c r="A75" s="43" t="s">
        <v>200</v>
      </c>
      <c r="B75" s="43" t="s">
        <v>201</v>
      </c>
      <c r="C75" s="43" t="s">
        <v>202</v>
      </c>
      <c r="D75" s="43" t="s">
        <v>230</v>
      </c>
      <c r="E75" s="43" t="s">
        <v>253</v>
      </c>
      <c r="F75" s="43" t="s">
        <v>239</v>
      </c>
      <c r="G75" s="43" t="s">
        <v>232</v>
      </c>
      <c r="H75" s="43" t="s">
        <v>218</v>
      </c>
      <c r="I75" s="44">
        <v>45633</v>
      </c>
      <c r="J75" s="44">
        <v>45647</v>
      </c>
      <c r="K75" s="45">
        <v>7</v>
      </c>
      <c r="L75" s="45">
        <v>176.47069999999999</v>
      </c>
      <c r="M75" s="45">
        <v>489.04</v>
      </c>
      <c r="N75" s="45">
        <v>15</v>
      </c>
      <c r="O75" s="45">
        <v>378.1515</v>
      </c>
      <c r="P75" s="62">
        <f t="shared" si="2"/>
        <v>22</v>
      </c>
    </row>
    <row r="76" spans="1:16" x14ac:dyDescent="0.25">
      <c r="A76" s="43" t="s">
        <v>200</v>
      </c>
      <c r="B76" s="43" t="s">
        <v>201</v>
      </c>
      <c r="C76" s="43" t="s">
        <v>202</v>
      </c>
      <c r="D76" s="43" t="s">
        <v>230</v>
      </c>
      <c r="E76" s="43" t="s">
        <v>253</v>
      </c>
      <c r="F76" s="43" t="s">
        <v>239</v>
      </c>
      <c r="G76" s="43" t="s">
        <v>233</v>
      </c>
      <c r="H76" s="43" t="s">
        <v>218</v>
      </c>
      <c r="I76" s="44">
        <v>45633</v>
      </c>
      <c r="J76" s="44">
        <v>45647</v>
      </c>
      <c r="K76" s="45">
        <v>4</v>
      </c>
      <c r="L76" s="45">
        <v>100.8404</v>
      </c>
      <c r="M76" s="45">
        <v>278.38</v>
      </c>
      <c r="N76" s="45">
        <v>14</v>
      </c>
      <c r="O76" s="45">
        <v>352.94139999999999</v>
      </c>
      <c r="P76" s="62">
        <f t="shared" si="2"/>
        <v>18</v>
      </c>
    </row>
    <row r="77" spans="1:16" x14ac:dyDescent="0.25">
      <c r="A77" s="43" t="s">
        <v>200</v>
      </c>
      <c r="B77" s="43" t="s">
        <v>201</v>
      </c>
      <c r="C77" s="43" t="s">
        <v>202</v>
      </c>
      <c r="D77" s="43" t="s">
        <v>230</v>
      </c>
      <c r="E77" s="43" t="s">
        <v>253</v>
      </c>
      <c r="F77" s="43" t="s">
        <v>239</v>
      </c>
      <c r="G77" s="43" t="s">
        <v>234</v>
      </c>
      <c r="H77" s="43" t="s">
        <v>218</v>
      </c>
      <c r="I77" s="44">
        <v>45633</v>
      </c>
      <c r="J77" s="44">
        <v>45647</v>
      </c>
      <c r="K77" s="45">
        <v>0</v>
      </c>
      <c r="L77" s="45">
        <v>0</v>
      </c>
      <c r="M77" s="45">
        <v>0</v>
      </c>
      <c r="N77" s="45">
        <v>15</v>
      </c>
      <c r="O77" s="45">
        <v>378.1515</v>
      </c>
      <c r="P77" s="62">
        <f t="shared" si="2"/>
        <v>15</v>
      </c>
    </row>
    <row r="78" spans="1:16" x14ac:dyDescent="0.25">
      <c r="A78" s="43" t="s">
        <v>200</v>
      </c>
      <c r="B78" s="43" t="s">
        <v>201</v>
      </c>
      <c r="C78" s="43" t="s">
        <v>202</v>
      </c>
      <c r="D78" s="43" t="s">
        <v>230</v>
      </c>
      <c r="E78" s="43" t="s">
        <v>254</v>
      </c>
      <c r="F78" s="43" t="s">
        <v>239</v>
      </c>
      <c r="G78" s="43" t="s">
        <v>232</v>
      </c>
      <c r="H78" s="43" t="s">
        <v>226</v>
      </c>
      <c r="I78" s="44">
        <v>45636</v>
      </c>
      <c r="J78" s="44">
        <v>45636</v>
      </c>
      <c r="K78" s="45">
        <v>0</v>
      </c>
      <c r="L78" s="45">
        <v>0</v>
      </c>
      <c r="M78" s="45">
        <v>0</v>
      </c>
      <c r="N78" s="45">
        <v>10</v>
      </c>
      <c r="O78" s="45">
        <v>180.255</v>
      </c>
      <c r="P78" s="62">
        <f t="shared" si="2"/>
        <v>10</v>
      </c>
    </row>
    <row r="79" spans="1:16" x14ac:dyDescent="0.25">
      <c r="A79" s="43" t="s">
        <v>200</v>
      </c>
      <c r="B79" s="43" t="s">
        <v>201</v>
      </c>
      <c r="C79" s="43" t="s">
        <v>202</v>
      </c>
      <c r="D79" s="43" t="s">
        <v>230</v>
      </c>
      <c r="E79" s="43" t="s">
        <v>254</v>
      </c>
      <c r="F79" s="43" t="s">
        <v>239</v>
      </c>
      <c r="G79" s="43" t="s">
        <v>233</v>
      </c>
      <c r="H79" s="43" t="s">
        <v>226</v>
      </c>
      <c r="I79" s="44">
        <v>45636</v>
      </c>
      <c r="J79" s="44">
        <v>45636</v>
      </c>
      <c r="K79" s="45">
        <v>0</v>
      </c>
      <c r="L79" s="45">
        <v>0</v>
      </c>
      <c r="M79" s="45">
        <v>0</v>
      </c>
      <c r="N79" s="45">
        <v>10</v>
      </c>
      <c r="O79" s="45">
        <v>180.255</v>
      </c>
      <c r="P79" s="62">
        <f t="shared" si="2"/>
        <v>10</v>
      </c>
    </row>
    <row r="80" spans="1:16" x14ac:dyDescent="0.25">
      <c r="A80" s="43" t="s">
        <v>200</v>
      </c>
      <c r="B80" s="43" t="s">
        <v>201</v>
      </c>
      <c r="C80" s="43" t="s">
        <v>202</v>
      </c>
      <c r="D80" s="43" t="s">
        <v>230</v>
      </c>
      <c r="E80" s="43" t="s">
        <v>254</v>
      </c>
      <c r="F80" s="43" t="s">
        <v>239</v>
      </c>
      <c r="G80" s="43" t="s">
        <v>234</v>
      </c>
      <c r="H80" s="43" t="s">
        <v>226</v>
      </c>
      <c r="I80" s="44">
        <v>45636</v>
      </c>
      <c r="J80" s="44">
        <v>45645</v>
      </c>
      <c r="K80" s="45">
        <v>0</v>
      </c>
      <c r="L80" s="45">
        <v>0</v>
      </c>
      <c r="M80" s="45">
        <v>0</v>
      </c>
      <c r="N80" s="45">
        <v>10</v>
      </c>
      <c r="O80" s="45">
        <v>180.255</v>
      </c>
      <c r="P80" s="62">
        <f t="shared" si="2"/>
        <v>10</v>
      </c>
    </row>
    <row r="81" spans="1:16" x14ac:dyDescent="0.25">
      <c r="A81" s="43" t="s">
        <v>200</v>
      </c>
      <c r="B81" s="43" t="s">
        <v>201</v>
      </c>
      <c r="C81" s="43" t="s">
        <v>202</v>
      </c>
      <c r="D81" s="43" t="s">
        <v>230</v>
      </c>
      <c r="E81" s="43" t="s">
        <v>255</v>
      </c>
      <c r="F81" s="43" t="s">
        <v>239</v>
      </c>
      <c r="G81" s="43" t="s">
        <v>232</v>
      </c>
      <c r="H81" s="43" t="s">
        <v>226</v>
      </c>
      <c r="I81" s="44">
        <v>45636</v>
      </c>
      <c r="J81" s="44">
        <v>45636</v>
      </c>
      <c r="K81" s="45">
        <v>0</v>
      </c>
      <c r="L81" s="45">
        <v>0</v>
      </c>
      <c r="M81" s="45">
        <v>0</v>
      </c>
      <c r="N81" s="45">
        <v>10</v>
      </c>
      <c r="O81" s="45">
        <v>180.255</v>
      </c>
      <c r="P81" s="62">
        <f t="shared" si="2"/>
        <v>10</v>
      </c>
    </row>
    <row r="82" spans="1:16" x14ac:dyDescent="0.25">
      <c r="A82" s="43" t="s">
        <v>200</v>
      </c>
      <c r="B82" s="43" t="s">
        <v>201</v>
      </c>
      <c r="C82" s="43" t="s">
        <v>202</v>
      </c>
      <c r="D82" s="43" t="s">
        <v>230</v>
      </c>
      <c r="E82" s="43" t="s">
        <v>255</v>
      </c>
      <c r="F82" s="43" t="s">
        <v>239</v>
      </c>
      <c r="G82" s="43" t="s">
        <v>233</v>
      </c>
      <c r="H82" s="43" t="s">
        <v>226</v>
      </c>
      <c r="I82" s="44">
        <v>45636</v>
      </c>
      <c r="J82" s="44">
        <v>45644</v>
      </c>
      <c r="K82" s="45">
        <v>0</v>
      </c>
      <c r="L82" s="45">
        <v>0</v>
      </c>
      <c r="M82" s="45">
        <v>0</v>
      </c>
      <c r="N82" s="45">
        <v>10</v>
      </c>
      <c r="O82" s="45">
        <v>180.255</v>
      </c>
      <c r="P82" s="62">
        <f t="shared" si="2"/>
        <v>10</v>
      </c>
    </row>
    <row r="83" spans="1:16" x14ac:dyDescent="0.25">
      <c r="A83" s="43" t="s">
        <v>200</v>
      </c>
      <c r="B83" s="43" t="s">
        <v>201</v>
      </c>
      <c r="C83" s="43" t="s">
        <v>202</v>
      </c>
      <c r="D83" s="43" t="s">
        <v>230</v>
      </c>
      <c r="E83" s="43" t="s">
        <v>255</v>
      </c>
      <c r="F83" s="43" t="s">
        <v>239</v>
      </c>
      <c r="G83" s="43" t="s">
        <v>234</v>
      </c>
      <c r="H83" s="43" t="s">
        <v>226</v>
      </c>
      <c r="I83" s="44">
        <v>45636</v>
      </c>
      <c r="J83" s="44">
        <v>45636</v>
      </c>
      <c r="K83" s="45">
        <v>0</v>
      </c>
      <c r="L83" s="45">
        <v>0</v>
      </c>
      <c r="M83" s="45">
        <v>0</v>
      </c>
      <c r="N83" s="45">
        <v>10</v>
      </c>
      <c r="O83" s="45">
        <v>180.255</v>
      </c>
      <c r="P83" s="62">
        <f t="shared" si="2"/>
        <v>10</v>
      </c>
    </row>
    <row r="84" spans="1:16" x14ac:dyDescent="0.25">
      <c r="A84" s="43" t="s">
        <v>200</v>
      </c>
      <c r="B84" s="43" t="s">
        <v>201</v>
      </c>
      <c r="C84" s="43" t="s">
        <v>202</v>
      </c>
      <c r="D84" s="43" t="s">
        <v>230</v>
      </c>
      <c r="E84" s="43" t="s">
        <v>256</v>
      </c>
      <c r="F84" s="43" t="s">
        <v>239</v>
      </c>
      <c r="G84" s="43" t="s">
        <v>232</v>
      </c>
      <c r="H84" s="43" t="s">
        <v>226</v>
      </c>
      <c r="I84" s="44">
        <v>45636</v>
      </c>
      <c r="J84" s="44">
        <v>45636</v>
      </c>
      <c r="K84" s="45">
        <v>0</v>
      </c>
      <c r="L84" s="45">
        <v>0</v>
      </c>
      <c r="M84" s="45">
        <v>0</v>
      </c>
      <c r="N84" s="45">
        <v>10</v>
      </c>
      <c r="O84" s="45">
        <v>180.255</v>
      </c>
      <c r="P84" s="62">
        <f t="shared" si="2"/>
        <v>10</v>
      </c>
    </row>
    <row r="85" spans="1:16" x14ac:dyDescent="0.25">
      <c r="A85" s="43" t="s">
        <v>200</v>
      </c>
      <c r="B85" s="43" t="s">
        <v>201</v>
      </c>
      <c r="C85" s="43" t="s">
        <v>202</v>
      </c>
      <c r="D85" s="43" t="s">
        <v>230</v>
      </c>
      <c r="E85" s="43" t="s">
        <v>256</v>
      </c>
      <c r="F85" s="43" t="s">
        <v>239</v>
      </c>
      <c r="G85" s="43" t="s">
        <v>233</v>
      </c>
      <c r="H85" s="43" t="s">
        <v>226</v>
      </c>
      <c r="I85" s="44">
        <v>45636</v>
      </c>
      <c r="J85" s="44">
        <v>45636</v>
      </c>
      <c r="K85" s="45">
        <v>0</v>
      </c>
      <c r="L85" s="45">
        <v>0</v>
      </c>
      <c r="M85" s="45">
        <v>0</v>
      </c>
      <c r="N85" s="45">
        <v>10</v>
      </c>
      <c r="O85" s="45">
        <v>180.255</v>
      </c>
      <c r="P85" s="62">
        <f t="shared" si="2"/>
        <v>10</v>
      </c>
    </row>
    <row r="86" spans="1:16" x14ac:dyDescent="0.25">
      <c r="A86" s="43" t="s">
        <v>200</v>
      </c>
      <c r="B86" s="43" t="s">
        <v>201</v>
      </c>
      <c r="C86" s="43" t="s">
        <v>202</v>
      </c>
      <c r="D86" s="43" t="s">
        <v>230</v>
      </c>
      <c r="E86" s="43" t="s">
        <v>256</v>
      </c>
      <c r="F86" s="43" t="s">
        <v>239</v>
      </c>
      <c r="G86" s="43" t="s">
        <v>234</v>
      </c>
      <c r="H86" s="43" t="s">
        <v>226</v>
      </c>
      <c r="I86" s="44">
        <v>45636</v>
      </c>
      <c r="J86" s="44">
        <v>45636</v>
      </c>
      <c r="K86" s="45">
        <v>0</v>
      </c>
      <c r="L86" s="45">
        <v>0</v>
      </c>
      <c r="M86" s="45">
        <v>0</v>
      </c>
      <c r="N86" s="45">
        <v>10</v>
      </c>
      <c r="O86" s="45">
        <v>180.255</v>
      </c>
      <c r="P86" s="62">
        <f t="shared" si="2"/>
        <v>10</v>
      </c>
    </row>
    <row r="87" spans="1:16" x14ac:dyDescent="0.25">
      <c r="A87" s="43" t="s">
        <v>200</v>
      </c>
      <c r="B87" s="43" t="s">
        <v>201</v>
      </c>
      <c r="C87" s="43" t="s">
        <v>202</v>
      </c>
      <c r="D87" s="43" t="s">
        <v>257</v>
      </c>
      <c r="E87" s="43" t="s">
        <v>258</v>
      </c>
      <c r="F87" s="43" t="s">
        <v>228</v>
      </c>
      <c r="G87" s="43" t="s">
        <v>232</v>
      </c>
      <c r="H87" s="43" t="s">
        <v>207</v>
      </c>
      <c r="I87" s="44">
        <v>45432</v>
      </c>
      <c r="J87" s="44">
        <v>45647</v>
      </c>
      <c r="K87" s="45">
        <v>9</v>
      </c>
      <c r="L87" s="45">
        <v>315.76830000000001</v>
      </c>
      <c r="M87" s="45">
        <v>861.62</v>
      </c>
      <c r="N87" s="45">
        <v>5</v>
      </c>
      <c r="O87" s="45">
        <v>177.8</v>
      </c>
      <c r="P87" s="62">
        <f t="shared" si="2"/>
        <v>14</v>
      </c>
    </row>
    <row r="88" spans="1:16" x14ac:dyDescent="0.25">
      <c r="A88" s="43" t="s">
        <v>200</v>
      </c>
      <c r="B88" s="43" t="s">
        <v>201</v>
      </c>
      <c r="C88" s="43" t="s">
        <v>202</v>
      </c>
      <c r="D88" s="43" t="s">
        <v>257</v>
      </c>
      <c r="E88" s="43" t="s">
        <v>258</v>
      </c>
      <c r="F88" s="43" t="s">
        <v>228</v>
      </c>
      <c r="G88" s="43" t="s">
        <v>233</v>
      </c>
      <c r="H88" s="43" t="s">
        <v>207</v>
      </c>
      <c r="I88" s="44">
        <v>45432</v>
      </c>
      <c r="J88" s="44">
        <v>45625</v>
      </c>
      <c r="K88" s="45">
        <v>11</v>
      </c>
      <c r="L88" s="45">
        <v>385.41309999999999</v>
      </c>
      <c r="M88" s="45">
        <v>1006.97</v>
      </c>
      <c r="N88" s="45">
        <v>0</v>
      </c>
      <c r="O88" s="45">
        <v>0</v>
      </c>
      <c r="P88" s="62">
        <f t="shared" si="2"/>
        <v>11</v>
      </c>
    </row>
    <row r="89" spans="1:16" x14ac:dyDescent="0.25">
      <c r="A89" s="43" t="s">
        <v>200</v>
      </c>
      <c r="B89" s="43" t="s">
        <v>201</v>
      </c>
      <c r="C89" s="43" t="s">
        <v>202</v>
      </c>
      <c r="D89" s="43" t="s">
        <v>257</v>
      </c>
      <c r="E89" s="43" t="s">
        <v>258</v>
      </c>
      <c r="F89" s="43" t="s">
        <v>228</v>
      </c>
      <c r="G89" s="43" t="s">
        <v>234</v>
      </c>
      <c r="H89" s="43" t="s">
        <v>207</v>
      </c>
      <c r="I89" s="44">
        <v>45432</v>
      </c>
      <c r="J89" s="44">
        <v>45623</v>
      </c>
      <c r="K89" s="45">
        <v>9</v>
      </c>
      <c r="L89" s="45">
        <v>313.3965</v>
      </c>
      <c r="M89" s="45">
        <v>840.87</v>
      </c>
      <c r="N89" s="45">
        <v>0</v>
      </c>
      <c r="O89" s="45">
        <v>0</v>
      </c>
      <c r="P89" s="62">
        <f t="shared" si="2"/>
        <v>9</v>
      </c>
    </row>
    <row r="90" spans="1:16" x14ac:dyDescent="0.25">
      <c r="A90" s="43" t="s">
        <v>200</v>
      </c>
      <c r="B90" s="43" t="s">
        <v>201</v>
      </c>
      <c r="C90" s="43" t="s">
        <v>202</v>
      </c>
      <c r="D90" s="43" t="s">
        <v>257</v>
      </c>
      <c r="E90" s="43" t="s">
        <v>258</v>
      </c>
      <c r="F90" s="43" t="s">
        <v>228</v>
      </c>
      <c r="G90" s="43" t="s">
        <v>259</v>
      </c>
      <c r="H90" s="43" t="s">
        <v>207</v>
      </c>
      <c r="I90" s="44">
        <v>45432</v>
      </c>
      <c r="J90" s="44">
        <v>45639</v>
      </c>
      <c r="K90" s="45">
        <v>13</v>
      </c>
      <c r="L90" s="45">
        <v>459.03519999999997</v>
      </c>
      <c r="M90" s="45">
        <v>1245.71</v>
      </c>
      <c r="N90" s="45">
        <v>5</v>
      </c>
      <c r="O90" s="45">
        <v>179.49549999999999</v>
      </c>
      <c r="P90" s="62">
        <f t="shared" si="2"/>
        <v>18</v>
      </c>
    </row>
    <row r="91" spans="1:16" x14ac:dyDescent="0.25">
      <c r="A91" s="43" t="s">
        <v>200</v>
      </c>
      <c r="B91" s="43" t="s">
        <v>201</v>
      </c>
      <c r="C91" s="43" t="s">
        <v>202</v>
      </c>
      <c r="D91" s="43" t="s">
        <v>257</v>
      </c>
      <c r="E91" s="43" t="s">
        <v>260</v>
      </c>
      <c r="F91" s="43" t="s">
        <v>228</v>
      </c>
      <c r="G91" s="43" t="s">
        <v>232</v>
      </c>
      <c r="H91" s="43" t="s">
        <v>207</v>
      </c>
      <c r="I91" s="44">
        <v>45593</v>
      </c>
      <c r="J91" s="44">
        <v>45593</v>
      </c>
      <c r="K91" s="45">
        <v>1</v>
      </c>
      <c r="L91" s="45">
        <v>34.268999999999998</v>
      </c>
      <c r="M91" s="45">
        <v>103.81</v>
      </c>
      <c r="N91" s="45">
        <v>1</v>
      </c>
      <c r="O91" s="45">
        <v>34.268999999999998</v>
      </c>
      <c r="P91" s="62">
        <f t="shared" si="2"/>
        <v>2</v>
      </c>
    </row>
    <row r="92" spans="1:16" x14ac:dyDescent="0.25">
      <c r="A92" s="43" t="s">
        <v>200</v>
      </c>
      <c r="B92" s="43" t="s">
        <v>201</v>
      </c>
      <c r="C92" s="43" t="s">
        <v>202</v>
      </c>
      <c r="D92" s="43" t="s">
        <v>257</v>
      </c>
      <c r="E92" s="43" t="s">
        <v>260</v>
      </c>
      <c r="F92" s="43" t="s">
        <v>228</v>
      </c>
      <c r="G92" s="43" t="s">
        <v>233</v>
      </c>
      <c r="H92" s="43" t="s">
        <v>207</v>
      </c>
      <c r="I92" s="44">
        <v>45576</v>
      </c>
      <c r="J92" s="44">
        <v>45593</v>
      </c>
      <c r="K92" s="45">
        <v>2</v>
      </c>
      <c r="L92" s="45">
        <v>68.537999999999997</v>
      </c>
      <c r="M92" s="45">
        <v>166.1</v>
      </c>
      <c r="N92" s="45">
        <v>0</v>
      </c>
      <c r="O92" s="45">
        <v>0</v>
      </c>
      <c r="P92" s="62">
        <f t="shared" si="2"/>
        <v>2</v>
      </c>
    </row>
    <row r="93" spans="1:16" x14ac:dyDescent="0.25">
      <c r="A93" s="43" t="s">
        <v>200</v>
      </c>
      <c r="B93" s="43" t="s">
        <v>201</v>
      </c>
      <c r="C93" s="43" t="s">
        <v>202</v>
      </c>
      <c r="D93" s="43" t="s">
        <v>257</v>
      </c>
      <c r="E93" s="43" t="s">
        <v>260</v>
      </c>
      <c r="F93" s="43" t="s">
        <v>228</v>
      </c>
      <c r="G93" s="43" t="s">
        <v>234</v>
      </c>
      <c r="H93" s="43" t="s">
        <v>207</v>
      </c>
      <c r="I93" s="44">
        <v>45576</v>
      </c>
      <c r="J93" s="44">
        <v>45593</v>
      </c>
      <c r="K93" s="45">
        <v>2</v>
      </c>
      <c r="L93" s="45">
        <v>68.537999999999997</v>
      </c>
      <c r="M93" s="45">
        <v>186.86</v>
      </c>
      <c r="N93" s="45">
        <v>0</v>
      </c>
      <c r="O93" s="45">
        <v>0</v>
      </c>
      <c r="P93" s="62">
        <f t="shared" si="2"/>
        <v>2</v>
      </c>
    </row>
    <row r="94" spans="1:16" x14ac:dyDescent="0.25">
      <c r="A94" s="43" t="s">
        <v>200</v>
      </c>
      <c r="B94" s="43" t="s">
        <v>201</v>
      </c>
      <c r="C94" s="43" t="s">
        <v>202</v>
      </c>
      <c r="D94" s="43" t="s">
        <v>257</v>
      </c>
      <c r="E94" s="43" t="s">
        <v>260</v>
      </c>
      <c r="F94" s="43" t="s">
        <v>228</v>
      </c>
      <c r="G94" s="43" t="s">
        <v>259</v>
      </c>
      <c r="H94" s="43" t="s">
        <v>207</v>
      </c>
      <c r="I94" s="44">
        <v>45593</v>
      </c>
      <c r="J94" s="44">
        <v>45637</v>
      </c>
      <c r="K94" s="45">
        <v>4</v>
      </c>
      <c r="L94" s="45">
        <v>140.63999999999999</v>
      </c>
      <c r="M94" s="45">
        <v>373.72</v>
      </c>
      <c r="N94" s="45">
        <v>2</v>
      </c>
      <c r="O94" s="45">
        <v>72.102000000000004</v>
      </c>
      <c r="P94" s="62">
        <f t="shared" si="2"/>
        <v>6</v>
      </c>
    </row>
    <row r="95" spans="1:16" x14ac:dyDescent="0.25">
      <c r="A95" s="43" t="s">
        <v>200</v>
      </c>
      <c r="B95" s="43" t="s">
        <v>201</v>
      </c>
      <c r="C95" s="43" t="s">
        <v>202</v>
      </c>
      <c r="D95" s="43" t="s">
        <v>257</v>
      </c>
      <c r="E95" s="43" t="s">
        <v>261</v>
      </c>
      <c r="F95" s="43" t="s">
        <v>262</v>
      </c>
      <c r="G95" s="43" t="s">
        <v>263</v>
      </c>
      <c r="H95" s="43" t="s">
        <v>226</v>
      </c>
      <c r="I95" s="44">
        <v>45591</v>
      </c>
      <c r="J95" s="44">
        <v>45626</v>
      </c>
      <c r="K95" s="45">
        <v>0</v>
      </c>
      <c r="L95" s="45">
        <v>0</v>
      </c>
      <c r="M95" s="45">
        <v>0</v>
      </c>
      <c r="N95" s="45">
        <v>8</v>
      </c>
      <c r="O95" s="45">
        <v>280.05759999999998</v>
      </c>
      <c r="P95" s="62">
        <f t="shared" si="2"/>
        <v>8</v>
      </c>
    </row>
    <row r="96" spans="1:16" x14ac:dyDescent="0.25">
      <c r="A96" s="43" t="s">
        <v>200</v>
      </c>
      <c r="B96" s="43" t="s">
        <v>201</v>
      </c>
      <c r="C96" s="43" t="s">
        <v>202</v>
      </c>
      <c r="D96" s="43" t="s">
        <v>257</v>
      </c>
      <c r="E96" s="43" t="s">
        <v>261</v>
      </c>
      <c r="F96" s="43" t="s">
        <v>262</v>
      </c>
      <c r="G96" s="43" t="s">
        <v>264</v>
      </c>
      <c r="H96" s="43" t="s">
        <v>226</v>
      </c>
      <c r="I96" s="44">
        <v>45591</v>
      </c>
      <c r="J96" s="44">
        <v>45635</v>
      </c>
      <c r="K96" s="45">
        <v>0</v>
      </c>
      <c r="L96" s="45">
        <v>0</v>
      </c>
      <c r="M96" s="45">
        <v>0</v>
      </c>
      <c r="N96" s="45">
        <v>8</v>
      </c>
      <c r="O96" s="45">
        <v>282.70240000000001</v>
      </c>
      <c r="P96" s="62">
        <f t="shared" si="2"/>
        <v>8</v>
      </c>
    </row>
    <row r="97" spans="1:16" x14ac:dyDescent="0.25">
      <c r="A97" s="43" t="s">
        <v>200</v>
      </c>
      <c r="B97" s="43" t="s">
        <v>201</v>
      </c>
      <c r="C97" s="43" t="s">
        <v>265</v>
      </c>
      <c r="D97" s="43" t="s">
        <v>220</v>
      </c>
      <c r="E97" s="43" t="s">
        <v>266</v>
      </c>
      <c r="F97" s="43" t="s">
        <v>215</v>
      </c>
      <c r="G97" s="43" t="s">
        <v>263</v>
      </c>
      <c r="H97" s="43" t="s">
        <v>207</v>
      </c>
      <c r="I97" s="44">
        <v>45591</v>
      </c>
      <c r="J97" s="44">
        <v>45645</v>
      </c>
      <c r="K97" s="45">
        <v>4</v>
      </c>
      <c r="L97" s="45">
        <v>134.0044</v>
      </c>
      <c r="M97" s="45">
        <v>442.29</v>
      </c>
      <c r="N97" s="45">
        <v>6</v>
      </c>
      <c r="O97" s="45">
        <v>201.00659999999999</v>
      </c>
      <c r="P97" s="62">
        <f t="shared" si="2"/>
        <v>10</v>
      </c>
    </row>
    <row r="98" spans="1:16" x14ac:dyDescent="0.25">
      <c r="A98" s="43" t="s">
        <v>200</v>
      </c>
      <c r="B98" s="43" t="s">
        <v>201</v>
      </c>
      <c r="C98" s="43" t="s">
        <v>265</v>
      </c>
      <c r="D98" s="43" t="s">
        <v>220</v>
      </c>
      <c r="E98" s="43" t="s">
        <v>266</v>
      </c>
      <c r="F98" s="43" t="s">
        <v>215</v>
      </c>
      <c r="G98" s="43" t="s">
        <v>264</v>
      </c>
      <c r="H98" s="43" t="s">
        <v>207</v>
      </c>
      <c r="I98" s="44">
        <v>45591</v>
      </c>
      <c r="J98" s="44">
        <v>45643</v>
      </c>
      <c r="K98" s="45">
        <v>5</v>
      </c>
      <c r="L98" s="45">
        <v>167.50550000000001</v>
      </c>
      <c r="M98" s="45">
        <v>565.14</v>
      </c>
      <c r="N98" s="45">
        <v>5</v>
      </c>
      <c r="O98" s="45">
        <v>167.50550000000001</v>
      </c>
      <c r="P98" s="62">
        <f t="shared" si="2"/>
        <v>10</v>
      </c>
    </row>
    <row r="99" spans="1:16" x14ac:dyDescent="0.25">
      <c r="A99" s="43" t="s">
        <v>200</v>
      </c>
      <c r="B99" s="43" t="s">
        <v>201</v>
      </c>
      <c r="C99" s="43" t="s">
        <v>265</v>
      </c>
      <c r="D99" s="43" t="s">
        <v>220</v>
      </c>
      <c r="E99" s="43" t="s">
        <v>267</v>
      </c>
      <c r="F99" s="43" t="s">
        <v>215</v>
      </c>
      <c r="G99" s="43" t="s">
        <v>263</v>
      </c>
      <c r="H99" s="43" t="s">
        <v>218</v>
      </c>
      <c r="I99" s="44">
        <v>45638</v>
      </c>
      <c r="J99" s="44">
        <v>45647</v>
      </c>
      <c r="K99" s="45">
        <v>0</v>
      </c>
      <c r="L99" s="45">
        <v>0</v>
      </c>
      <c r="M99" s="45">
        <v>0</v>
      </c>
      <c r="N99" s="45">
        <v>10</v>
      </c>
      <c r="O99" s="45">
        <v>427.95699999999999</v>
      </c>
      <c r="P99" s="62">
        <f t="shared" si="2"/>
        <v>10</v>
      </c>
    </row>
    <row r="100" spans="1:16" x14ac:dyDescent="0.25">
      <c r="A100" s="43" t="s">
        <v>200</v>
      </c>
      <c r="B100" s="43" t="s">
        <v>201</v>
      </c>
      <c r="C100" s="43" t="s">
        <v>265</v>
      </c>
      <c r="D100" s="43" t="s">
        <v>220</v>
      </c>
      <c r="E100" s="43" t="s">
        <v>267</v>
      </c>
      <c r="F100" s="43" t="s">
        <v>215</v>
      </c>
      <c r="G100" s="43" t="s">
        <v>264</v>
      </c>
      <c r="H100" s="43" t="s">
        <v>218</v>
      </c>
      <c r="I100" s="44">
        <v>45638</v>
      </c>
      <c r="J100" s="44">
        <v>45638</v>
      </c>
      <c r="K100" s="45">
        <v>0</v>
      </c>
      <c r="L100" s="45">
        <v>0</v>
      </c>
      <c r="M100" s="45">
        <v>0</v>
      </c>
      <c r="N100" s="45">
        <v>10</v>
      </c>
      <c r="O100" s="45">
        <v>427.95699999999999</v>
      </c>
      <c r="P100" s="62">
        <f t="shared" si="2"/>
        <v>10</v>
      </c>
    </row>
    <row r="101" spans="1:16" x14ac:dyDescent="0.25">
      <c r="A101" s="43" t="s">
        <v>200</v>
      </c>
      <c r="B101" s="43" t="s">
        <v>201</v>
      </c>
      <c r="C101" s="43" t="s">
        <v>265</v>
      </c>
      <c r="D101" s="43" t="s">
        <v>220</v>
      </c>
      <c r="E101" s="43" t="s">
        <v>268</v>
      </c>
      <c r="F101" s="43" t="s">
        <v>215</v>
      </c>
      <c r="G101" s="43" t="s">
        <v>213</v>
      </c>
      <c r="H101" s="43" t="s">
        <v>207</v>
      </c>
      <c r="I101" s="44">
        <v>45638</v>
      </c>
      <c r="J101" s="44">
        <v>45638</v>
      </c>
      <c r="K101" s="45">
        <v>0</v>
      </c>
      <c r="L101" s="45">
        <v>0</v>
      </c>
      <c r="M101" s="45">
        <v>0</v>
      </c>
      <c r="N101" s="45">
        <v>10</v>
      </c>
      <c r="O101" s="45">
        <v>428.36200000000002</v>
      </c>
      <c r="P101" s="62">
        <f t="shared" si="2"/>
        <v>10</v>
      </c>
    </row>
    <row r="102" spans="1:16" x14ac:dyDescent="0.25">
      <c r="A102" s="43" t="s">
        <v>200</v>
      </c>
      <c r="B102" s="43" t="s">
        <v>201</v>
      </c>
      <c r="C102" s="43" t="s">
        <v>265</v>
      </c>
      <c r="D102" s="43" t="s">
        <v>220</v>
      </c>
      <c r="E102" s="43" t="s">
        <v>269</v>
      </c>
      <c r="F102" s="43" t="s">
        <v>215</v>
      </c>
      <c r="G102" s="43" t="s">
        <v>213</v>
      </c>
      <c r="H102" s="43" t="s">
        <v>218</v>
      </c>
      <c r="I102" s="44">
        <v>45590</v>
      </c>
      <c r="J102" s="44">
        <v>45622</v>
      </c>
      <c r="K102" s="45">
        <v>3</v>
      </c>
      <c r="L102" s="45">
        <v>128.3871</v>
      </c>
      <c r="M102" s="45">
        <v>357.44</v>
      </c>
      <c r="N102" s="45">
        <v>12</v>
      </c>
      <c r="O102" s="45">
        <v>513.54840000000002</v>
      </c>
      <c r="P102" s="62">
        <f t="shared" si="2"/>
        <v>15</v>
      </c>
    </row>
    <row r="103" spans="1:16" x14ac:dyDescent="0.25">
      <c r="A103" s="43" t="s">
        <v>200</v>
      </c>
      <c r="B103" s="43" t="s">
        <v>201</v>
      </c>
      <c r="C103" s="43" t="s">
        <v>265</v>
      </c>
      <c r="D103" s="43" t="s">
        <v>220</v>
      </c>
      <c r="E103" s="43" t="s">
        <v>270</v>
      </c>
      <c r="F103" s="43" t="s">
        <v>215</v>
      </c>
      <c r="G103" s="43" t="s">
        <v>213</v>
      </c>
      <c r="H103" s="43" t="s">
        <v>207</v>
      </c>
      <c r="I103" s="44">
        <v>45638</v>
      </c>
      <c r="J103" s="44">
        <v>45638</v>
      </c>
      <c r="K103" s="45">
        <v>0</v>
      </c>
      <c r="L103" s="45">
        <v>0</v>
      </c>
      <c r="M103" s="45">
        <v>0</v>
      </c>
      <c r="N103" s="45">
        <v>10</v>
      </c>
      <c r="O103" s="45">
        <v>428.36200000000002</v>
      </c>
      <c r="P103" s="62">
        <f t="shared" si="2"/>
        <v>10</v>
      </c>
    </row>
    <row r="104" spans="1:16" x14ac:dyDescent="0.25">
      <c r="A104" s="43" t="s">
        <v>200</v>
      </c>
      <c r="B104" s="43" t="s">
        <v>201</v>
      </c>
      <c r="C104" s="43" t="s">
        <v>265</v>
      </c>
      <c r="D104" s="43" t="s">
        <v>220</v>
      </c>
      <c r="E104" s="43" t="s">
        <v>271</v>
      </c>
      <c r="F104" s="43" t="s">
        <v>215</v>
      </c>
      <c r="G104" s="43" t="s">
        <v>213</v>
      </c>
      <c r="H104" s="43" t="s">
        <v>218</v>
      </c>
      <c r="I104" s="44">
        <v>45633</v>
      </c>
      <c r="J104" s="44">
        <v>45646</v>
      </c>
      <c r="K104" s="45">
        <v>0</v>
      </c>
      <c r="L104" s="45">
        <v>0</v>
      </c>
      <c r="M104" s="45">
        <v>0</v>
      </c>
      <c r="N104" s="45">
        <v>12</v>
      </c>
      <c r="O104" s="45">
        <v>205.614</v>
      </c>
      <c r="P104" s="62">
        <f t="shared" si="2"/>
        <v>12</v>
      </c>
    </row>
    <row r="105" spans="1:16" x14ac:dyDescent="0.25">
      <c r="A105" s="43" t="s">
        <v>200</v>
      </c>
      <c r="B105" s="43" t="s">
        <v>272</v>
      </c>
      <c r="C105" s="43" t="s">
        <v>202</v>
      </c>
      <c r="D105" s="43" t="s">
        <v>272</v>
      </c>
      <c r="E105" s="43" t="s">
        <v>273</v>
      </c>
      <c r="F105" s="43" t="s">
        <v>274</v>
      </c>
      <c r="G105" s="43" t="s">
        <v>213</v>
      </c>
      <c r="H105" s="43" t="s">
        <v>207</v>
      </c>
      <c r="I105" s="44">
        <v>45591</v>
      </c>
      <c r="J105" s="44">
        <v>45645</v>
      </c>
      <c r="K105" s="45">
        <v>17</v>
      </c>
      <c r="L105" s="45">
        <v>735.96640000000002</v>
      </c>
      <c r="M105" s="45">
        <v>1945.98</v>
      </c>
      <c r="N105" s="45">
        <v>7</v>
      </c>
      <c r="O105" s="45">
        <v>311.45310000000001</v>
      </c>
      <c r="P105" s="62">
        <f t="shared" si="2"/>
        <v>24</v>
      </c>
    </row>
    <row r="106" spans="1:16" x14ac:dyDescent="0.25">
      <c r="A106" s="43" t="s">
        <v>200</v>
      </c>
      <c r="B106" s="43" t="s">
        <v>272</v>
      </c>
      <c r="C106" s="43" t="s">
        <v>202</v>
      </c>
      <c r="D106" s="43" t="s">
        <v>272</v>
      </c>
      <c r="E106" s="43" t="s">
        <v>275</v>
      </c>
      <c r="F106" s="43" t="s">
        <v>274</v>
      </c>
      <c r="G106" s="43" t="s">
        <v>213</v>
      </c>
      <c r="H106" s="43" t="s">
        <v>207</v>
      </c>
      <c r="I106" s="44">
        <v>45591</v>
      </c>
      <c r="J106" s="44">
        <v>45591</v>
      </c>
      <c r="K106" s="45">
        <v>6</v>
      </c>
      <c r="L106" s="45">
        <v>256.77420000000001</v>
      </c>
      <c r="M106" s="45">
        <v>714.84</v>
      </c>
      <c r="N106" s="45">
        <v>0</v>
      </c>
      <c r="O106" s="45">
        <v>0</v>
      </c>
      <c r="P106" s="62">
        <f t="shared" si="2"/>
        <v>6</v>
      </c>
    </row>
    <row r="107" spans="1:16" x14ac:dyDescent="0.25">
      <c r="A107" s="43" t="s">
        <v>200</v>
      </c>
      <c r="B107" s="43" t="s">
        <v>272</v>
      </c>
      <c r="C107" s="43" t="s">
        <v>202</v>
      </c>
      <c r="D107" s="43" t="s">
        <v>272</v>
      </c>
      <c r="E107" s="43" t="s">
        <v>276</v>
      </c>
      <c r="F107" s="43" t="s">
        <v>274</v>
      </c>
      <c r="G107" s="43" t="s">
        <v>213</v>
      </c>
      <c r="H107" s="43" t="s">
        <v>207</v>
      </c>
      <c r="I107" s="44">
        <v>45593</v>
      </c>
      <c r="J107" s="44">
        <v>45593</v>
      </c>
      <c r="K107" s="45">
        <v>0</v>
      </c>
      <c r="L107" s="45">
        <v>0</v>
      </c>
      <c r="M107" s="45">
        <v>0</v>
      </c>
      <c r="N107" s="45">
        <v>6</v>
      </c>
      <c r="O107" s="45">
        <v>564.95280000000002</v>
      </c>
      <c r="P107" s="62">
        <f t="shared" si="2"/>
        <v>6</v>
      </c>
    </row>
    <row r="108" spans="1:16" x14ac:dyDescent="0.25">
      <c r="A108" s="43" t="s">
        <v>200</v>
      </c>
      <c r="B108" s="43" t="s">
        <v>272</v>
      </c>
      <c r="C108" s="43" t="s">
        <v>202</v>
      </c>
      <c r="D108" s="43" t="s">
        <v>272</v>
      </c>
      <c r="E108" s="43" t="s">
        <v>277</v>
      </c>
      <c r="F108" s="43" t="s">
        <v>278</v>
      </c>
      <c r="G108" s="43" t="s">
        <v>213</v>
      </c>
      <c r="H108" s="43" t="s">
        <v>207</v>
      </c>
      <c r="I108" s="44">
        <v>45633</v>
      </c>
      <c r="J108" s="44">
        <v>45645</v>
      </c>
      <c r="K108" s="45">
        <v>0</v>
      </c>
      <c r="L108" s="45">
        <v>0</v>
      </c>
      <c r="M108" s="45">
        <v>0</v>
      </c>
      <c r="N108" s="45">
        <v>6</v>
      </c>
      <c r="O108" s="45">
        <v>270.38159999999999</v>
      </c>
      <c r="P108" s="62">
        <f t="shared" si="2"/>
        <v>6</v>
      </c>
    </row>
    <row r="109" spans="1:16" x14ac:dyDescent="0.25">
      <c r="A109" s="43" t="s">
        <v>200</v>
      </c>
      <c r="B109" s="43" t="s">
        <v>272</v>
      </c>
      <c r="C109" s="43" t="s">
        <v>202</v>
      </c>
      <c r="D109" s="43" t="s">
        <v>272</v>
      </c>
      <c r="E109" s="43" t="s">
        <v>279</v>
      </c>
      <c r="F109" s="43" t="s">
        <v>278</v>
      </c>
      <c r="G109" s="43" t="s">
        <v>213</v>
      </c>
      <c r="H109" s="43" t="s">
        <v>207</v>
      </c>
      <c r="I109" s="44">
        <v>45633</v>
      </c>
      <c r="J109" s="44">
        <v>45633</v>
      </c>
      <c r="K109" s="45">
        <v>0</v>
      </c>
      <c r="L109" s="45">
        <v>0</v>
      </c>
      <c r="M109" s="45">
        <v>0</v>
      </c>
      <c r="N109" s="45">
        <v>4</v>
      </c>
      <c r="O109" s="45">
        <v>180.25479999999999</v>
      </c>
      <c r="P109" s="62">
        <f t="shared" si="2"/>
        <v>4</v>
      </c>
    </row>
    <row r="110" spans="1:16" x14ac:dyDescent="0.25">
      <c r="A110" s="43" t="s">
        <v>200</v>
      </c>
      <c r="B110" s="43" t="s">
        <v>272</v>
      </c>
      <c r="C110" s="43" t="s">
        <v>202</v>
      </c>
      <c r="D110" s="43" t="s">
        <v>272</v>
      </c>
      <c r="E110" s="43" t="s">
        <v>280</v>
      </c>
      <c r="F110" s="43" t="s">
        <v>274</v>
      </c>
      <c r="G110" s="43" t="s">
        <v>213</v>
      </c>
      <c r="H110" s="43" t="s">
        <v>207</v>
      </c>
      <c r="I110" s="44">
        <v>45576</v>
      </c>
      <c r="J110" s="44">
        <v>45647</v>
      </c>
      <c r="K110" s="45">
        <v>44</v>
      </c>
      <c r="L110" s="45">
        <v>2709.2134000000001</v>
      </c>
      <c r="M110" s="45">
        <v>7145.42</v>
      </c>
      <c r="N110" s="45">
        <v>6</v>
      </c>
      <c r="O110" s="45">
        <v>375.47160000000002</v>
      </c>
      <c r="P110" s="62">
        <f t="shared" si="2"/>
        <v>50</v>
      </c>
    </row>
    <row r="111" spans="1:16" x14ac:dyDescent="0.25">
      <c r="A111" s="43" t="s">
        <v>200</v>
      </c>
      <c r="B111" s="43" t="s">
        <v>272</v>
      </c>
      <c r="C111" s="43" t="s">
        <v>202</v>
      </c>
      <c r="D111" s="43" t="s">
        <v>272</v>
      </c>
      <c r="E111" s="43" t="s">
        <v>281</v>
      </c>
      <c r="F111" s="43" t="s">
        <v>274</v>
      </c>
      <c r="G111" s="43" t="s">
        <v>213</v>
      </c>
      <c r="H111" s="43" t="s">
        <v>207</v>
      </c>
      <c r="I111" s="44">
        <v>45591</v>
      </c>
      <c r="J111" s="44">
        <v>45591</v>
      </c>
      <c r="K111" s="45">
        <v>6</v>
      </c>
      <c r="L111" s="45">
        <v>461.90280000000001</v>
      </c>
      <c r="M111" s="45">
        <v>1274.68</v>
      </c>
      <c r="N111" s="45">
        <v>0</v>
      </c>
      <c r="O111" s="45">
        <v>0</v>
      </c>
      <c r="P111" s="62">
        <f t="shared" si="2"/>
        <v>6</v>
      </c>
    </row>
    <row r="112" spans="1:16" x14ac:dyDescent="0.25">
      <c r="A112" s="43" t="s">
        <v>200</v>
      </c>
      <c r="B112" s="43" t="s">
        <v>272</v>
      </c>
      <c r="C112" s="43" t="s">
        <v>202</v>
      </c>
      <c r="D112" s="43" t="s">
        <v>272</v>
      </c>
      <c r="E112" s="43" t="s">
        <v>282</v>
      </c>
      <c r="F112" s="43" t="s">
        <v>274</v>
      </c>
      <c r="G112" s="43" t="s">
        <v>213</v>
      </c>
      <c r="H112" s="43" t="s">
        <v>207</v>
      </c>
      <c r="I112" s="44">
        <v>45593</v>
      </c>
      <c r="J112" s="44">
        <v>45593</v>
      </c>
      <c r="K112" s="45">
        <v>3</v>
      </c>
      <c r="L112" s="45">
        <v>230.95140000000001</v>
      </c>
      <c r="M112" s="45">
        <v>614.48</v>
      </c>
      <c r="N112" s="45">
        <v>0</v>
      </c>
      <c r="O112" s="45">
        <v>0</v>
      </c>
      <c r="P112" s="62">
        <f t="shared" si="2"/>
        <v>3</v>
      </c>
    </row>
    <row r="113" spans="1:16" x14ac:dyDescent="0.25">
      <c r="A113" s="43" t="s">
        <v>200</v>
      </c>
      <c r="B113" s="43" t="s">
        <v>272</v>
      </c>
      <c r="C113" s="43" t="s">
        <v>202</v>
      </c>
      <c r="D113" s="43" t="s">
        <v>272</v>
      </c>
      <c r="E113" s="43" t="s">
        <v>283</v>
      </c>
      <c r="F113" s="43" t="s">
        <v>222</v>
      </c>
      <c r="G113" s="43" t="s">
        <v>213</v>
      </c>
      <c r="H113" s="43" t="s">
        <v>207</v>
      </c>
      <c r="I113" s="44">
        <v>45638</v>
      </c>
      <c r="J113" s="44">
        <v>45638</v>
      </c>
      <c r="K113" s="45">
        <v>2</v>
      </c>
      <c r="L113" s="45">
        <v>90.127200000000002</v>
      </c>
      <c r="M113" s="45">
        <v>233.43</v>
      </c>
      <c r="N113" s="45">
        <v>6</v>
      </c>
      <c r="O113" s="45">
        <v>270.38159999999999</v>
      </c>
      <c r="P113" s="62">
        <f t="shared" si="2"/>
        <v>8</v>
      </c>
    </row>
    <row r="114" spans="1:16" x14ac:dyDescent="0.25">
      <c r="A114" s="43" t="s">
        <v>200</v>
      </c>
      <c r="B114" s="43" t="s">
        <v>272</v>
      </c>
      <c r="C114" s="43" t="s">
        <v>202</v>
      </c>
      <c r="D114" s="43" t="s">
        <v>272</v>
      </c>
      <c r="E114" s="43" t="s">
        <v>284</v>
      </c>
      <c r="F114" s="43" t="s">
        <v>222</v>
      </c>
      <c r="G114" s="43" t="s">
        <v>213</v>
      </c>
      <c r="H114" s="43" t="s">
        <v>226</v>
      </c>
      <c r="I114" s="44">
        <v>45638</v>
      </c>
      <c r="J114" s="44">
        <v>45644</v>
      </c>
      <c r="K114" s="45">
        <v>0</v>
      </c>
      <c r="L114" s="45">
        <v>0</v>
      </c>
      <c r="M114" s="45">
        <v>0</v>
      </c>
      <c r="N114" s="45">
        <v>8</v>
      </c>
      <c r="O114" s="45">
        <v>215.9648</v>
      </c>
      <c r="P114" s="62">
        <f t="shared" si="2"/>
        <v>8</v>
      </c>
    </row>
    <row r="115" spans="1:16" x14ac:dyDescent="0.25">
      <c r="A115" s="43" t="s">
        <v>200</v>
      </c>
      <c r="B115" s="43" t="s">
        <v>272</v>
      </c>
      <c r="C115" s="43" t="s">
        <v>202</v>
      </c>
      <c r="D115" s="43" t="s">
        <v>272</v>
      </c>
      <c r="E115" s="43" t="s">
        <v>285</v>
      </c>
      <c r="F115" s="43" t="s">
        <v>286</v>
      </c>
      <c r="G115" s="43" t="s">
        <v>213</v>
      </c>
      <c r="H115" s="43" t="s">
        <v>207</v>
      </c>
      <c r="I115" s="44">
        <v>45591</v>
      </c>
      <c r="J115" s="44">
        <v>45644</v>
      </c>
      <c r="K115" s="45">
        <v>19</v>
      </c>
      <c r="L115" s="45">
        <v>1156.1458</v>
      </c>
      <c r="M115" s="45">
        <v>3078</v>
      </c>
      <c r="N115" s="45">
        <v>8</v>
      </c>
      <c r="O115" s="45">
        <v>498.25040000000001</v>
      </c>
      <c r="P115" s="62">
        <f t="shared" si="2"/>
        <v>27</v>
      </c>
    </row>
    <row r="116" spans="1:16" x14ac:dyDescent="0.25">
      <c r="A116" s="43" t="s">
        <v>200</v>
      </c>
      <c r="B116" s="43" t="s">
        <v>272</v>
      </c>
      <c r="C116" s="43" t="s">
        <v>202</v>
      </c>
      <c r="D116" s="43" t="s">
        <v>272</v>
      </c>
      <c r="E116" s="43" t="s">
        <v>287</v>
      </c>
      <c r="F116" s="43" t="s">
        <v>286</v>
      </c>
      <c r="G116" s="43" t="s">
        <v>213</v>
      </c>
      <c r="H116" s="43" t="s">
        <v>218</v>
      </c>
      <c r="I116" s="44">
        <v>45591</v>
      </c>
      <c r="J116" s="44">
        <v>45646</v>
      </c>
      <c r="K116" s="45">
        <v>10</v>
      </c>
      <c r="L116" s="45">
        <v>612.77779999999996</v>
      </c>
      <c r="M116" s="45">
        <v>1656</v>
      </c>
      <c r="N116" s="45">
        <v>7</v>
      </c>
      <c r="O116" s="45">
        <v>436.49130000000002</v>
      </c>
      <c r="P116" s="62">
        <f t="shared" si="2"/>
        <v>17</v>
      </c>
    </row>
    <row r="117" spans="1:16" x14ac:dyDescent="0.25">
      <c r="A117" s="43" t="s">
        <v>200</v>
      </c>
      <c r="B117" s="43" t="s">
        <v>272</v>
      </c>
      <c r="C117" s="43" t="s">
        <v>202</v>
      </c>
      <c r="D117" s="43" t="s">
        <v>272</v>
      </c>
      <c r="E117" s="43" t="s">
        <v>288</v>
      </c>
      <c r="F117" s="43" t="s">
        <v>289</v>
      </c>
      <c r="G117" s="43" t="s">
        <v>213</v>
      </c>
      <c r="H117" s="43" t="s">
        <v>207</v>
      </c>
      <c r="I117" s="44">
        <v>45590</v>
      </c>
      <c r="J117" s="44">
        <v>45632</v>
      </c>
      <c r="K117" s="45">
        <v>8</v>
      </c>
      <c r="L117" s="45">
        <v>824.75540000000001</v>
      </c>
      <c r="M117" s="45">
        <v>2256</v>
      </c>
      <c r="N117" s="45">
        <v>7</v>
      </c>
      <c r="O117" s="45">
        <v>736.27049999999997</v>
      </c>
      <c r="P117" s="62">
        <f t="shared" si="2"/>
        <v>15</v>
      </c>
    </row>
    <row r="118" spans="1:16" x14ac:dyDescent="0.25">
      <c r="A118" s="43" t="s">
        <v>200</v>
      </c>
      <c r="B118" s="43" t="s">
        <v>272</v>
      </c>
      <c r="C118" s="43" t="s">
        <v>202</v>
      </c>
      <c r="D118" s="43" t="s">
        <v>272</v>
      </c>
      <c r="E118" s="43" t="s">
        <v>290</v>
      </c>
      <c r="F118" s="43" t="s">
        <v>289</v>
      </c>
      <c r="G118" s="43" t="s">
        <v>213</v>
      </c>
      <c r="H118" s="43" t="s">
        <v>218</v>
      </c>
      <c r="I118" s="44">
        <v>45591</v>
      </c>
      <c r="J118" s="44">
        <v>45630</v>
      </c>
      <c r="K118" s="45">
        <v>2</v>
      </c>
      <c r="L118" s="45">
        <v>206.05269999999999</v>
      </c>
      <c r="M118" s="45">
        <v>564</v>
      </c>
      <c r="N118" s="45">
        <v>7</v>
      </c>
      <c r="O118" s="45">
        <v>728.42840000000001</v>
      </c>
      <c r="P118" s="62">
        <f t="shared" si="2"/>
        <v>9</v>
      </c>
    </row>
    <row r="119" spans="1:16" x14ac:dyDescent="0.25">
      <c r="A119" s="43" t="s">
        <v>200</v>
      </c>
      <c r="B119" s="43" t="s">
        <v>291</v>
      </c>
      <c r="C119" s="43" t="s">
        <v>292</v>
      </c>
      <c r="D119" s="43" t="s">
        <v>293</v>
      </c>
      <c r="E119" s="43" t="s">
        <v>294</v>
      </c>
      <c r="F119" s="43" t="s">
        <v>295</v>
      </c>
      <c r="G119" s="43" t="s">
        <v>232</v>
      </c>
      <c r="H119" s="43" t="s">
        <v>207</v>
      </c>
      <c r="I119" s="44">
        <v>45638</v>
      </c>
      <c r="J119" s="44">
        <v>45638</v>
      </c>
      <c r="K119" s="45">
        <v>0</v>
      </c>
      <c r="L119" s="45">
        <v>0</v>
      </c>
      <c r="M119" s="45">
        <v>0</v>
      </c>
      <c r="N119" s="45">
        <v>6</v>
      </c>
      <c r="O119" s="45">
        <v>259.15800000000002</v>
      </c>
      <c r="P119" s="62">
        <f t="shared" si="2"/>
        <v>6</v>
      </c>
    </row>
    <row r="120" spans="1:16" x14ac:dyDescent="0.25">
      <c r="A120" s="43" t="s">
        <v>200</v>
      </c>
      <c r="B120" s="43" t="s">
        <v>291</v>
      </c>
      <c r="C120" s="43" t="s">
        <v>292</v>
      </c>
      <c r="D120" s="43" t="s">
        <v>293</v>
      </c>
      <c r="E120" s="43" t="s">
        <v>294</v>
      </c>
      <c r="F120" s="43" t="s">
        <v>295</v>
      </c>
      <c r="G120" s="43" t="s">
        <v>233</v>
      </c>
      <c r="H120" s="43" t="s">
        <v>207</v>
      </c>
      <c r="I120" s="44">
        <v>45638</v>
      </c>
      <c r="J120" s="44">
        <v>45638</v>
      </c>
      <c r="K120" s="45">
        <v>0</v>
      </c>
      <c r="L120" s="45">
        <v>0</v>
      </c>
      <c r="M120" s="45">
        <v>0</v>
      </c>
      <c r="N120" s="45">
        <v>7</v>
      </c>
      <c r="O120" s="45">
        <v>302.351</v>
      </c>
      <c r="P120" s="62">
        <f t="shared" si="2"/>
        <v>7</v>
      </c>
    </row>
    <row r="121" spans="1:16" x14ac:dyDescent="0.25">
      <c r="A121" s="43" t="s">
        <v>200</v>
      </c>
      <c r="B121" s="43" t="s">
        <v>291</v>
      </c>
      <c r="C121" s="43" t="s">
        <v>292</v>
      </c>
      <c r="D121" s="43" t="s">
        <v>293</v>
      </c>
      <c r="E121" s="43" t="s">
        <v>294</v>
      </c>
      <c r="F121" s="43" t="s">
        <v>295</v>
      </c>
      <c r="G121" s="43" t="s">
        <v>234</v>
      </c>
      <c r="H121" s="43" t="s">
        <v>207</v>
      </c>
      <c r="I121" s="44">
        <v>45638</v>
      </c>
      <c r="J121" s="44">
        <v>45638</v>
      </c>
      <c r="K121" s="45">
        <v>0</v>
      </c>
      <c r="L121" s="45">
        <v>0</v>
      </c>
      <c r="M121" s="45">
        <v>0</v>
      </c>
      <c r="N121" s="45">
        <v>5</v>
      </c>
      <c r="O121" s="45">
        <v>215.965</v>
      </c>
      <c r="P121" s="62">
        <f t="shared" si="2"/>
        <v>5</v>
      </c>
    </row>
    <row r="122" spans="1:16" x14ac:dyDescent="0.25">
      <c r="A122" s="43" t="s">
        <v>200</v>
      </c>
      <c r="B122" s="43" t="s">
        <v>291</v>
      </c>
      <c r="C122" s="43" t="s">
        <v>292</v>
      </c>
      <c r="D122" s="43" t="s">
        <v>293</v>
      </c>
      <c r="E122" s="43" t="s">
        <v>294</v>
      </c>
      <c r="F122" s="43" t="s">
        <v>295</v>
      </c>
      <c r="G122" s="43" t="s">
        <v>296</v>
      </c>
      <c r="H122" s="43" t="s">
        <v>207</v>
      </c>
      <c r="I122" s="44">
        <v>45638</v>
      </c>
      <c r="J122" s="44">
        <v>45638</v>
      </c>
      <c r="K122" s="45">
        <v>0</v>
      </c>
      <c r="L122" s="45">
        <v>0</v>
      </c>
      <c r="M122" s="45">
        <v>0</v>
      </c>
      <c r="N122" s="45">
        <v>3</v>
      </c>
      <c r="O122" s="45">
        <v>129.57929999999999</v>
      </c>
      <c r="P122" s="62">
        <f t="shared" si="2"/>
        <v>3</v>
      </c>
    </row>
    <row r="123" spans="1:16" x14ac:dyDescent="0.25">
      <c r="A123" s="43" t="s">
        <v>200</v>
      </c>
      <c r="B123" s="43" t="s">
        <v>291</v>
      </c>
      <c r="C123" s="43" t="s">
        <v>292</v>
      </c>
      <c r="D123" s="43" t="s">
        <v>293</v>
      </c>
      <c r="E123" s="43" t="s">
        <v>297</v>
      </c>
      <c r="F123" s="43" t="s">
        <v>295</v>
      </c>
      <c r="G123" s="43" t="s">
        <v>233</v>
      </c>
      <c r="H123" s="43" t="s">
        <v>218</v>
      </c>
      <c r="I123" s="44">
        <v>45640</v>
      </c>
      <c r="J123" s="44">
        <v>45640</v>
      </c>
      <c r="K123" s="45">
        <v>0</v>
      </c>
      <c r="L123" s="45">
        <v>0</v>
      </c>
      <c r="M123" s="45">
        <v>0</v>
      </c>
      <c r="N123" s="45">
        <v>4</v>
      </c>
      <c r="O123" s="45">
        <v>172.7724</v>
      </c>
      <c r="P123" s="62">
        <f t="shared" si="2"/>
        <v>4</v>
      </c>
    </row>
    <row r="124" spans="1:16" x14ac:dyDescent="0.25">
      <c r="A124" s="43" t="s">
        <v>200</v>
      </c>
      <c r="B124" s="43" t="s">
        <v>291</v>
      </c>
      <c r="C124" s="43" t="s">
        <v>292</v>
      </c>
      <c r="D124" s="43" t="s">
        <v>293</v>
      </c>
      <c r="E124" s="43" t="s">
        <v>297</v>
      </c>
      <c r="F124" s="43" t="s">
        <v>295</v>
      </c>
      <c r="G124" s="43" t="s">
        <v>234</v>
      </c>
      <c r="H124" s="43" t="s">
        <v>218</v>
      </c>
      <c r="I124" s="44">
        <v>45640</v>
      </c>
      <c r="J124" s="44">
        <v>45640</v>
      </c>
      <c r="K124" s="45">
        <v>0</v>
      </c>
      <c r="L124" s="45">
        <v>0</v>
      </c>
      <c r="M124" s="45">
        <v>0</v>
      </c>
      <c r="N124" s="45">
        <v>4</v>
      </c>
      <c r="O124" s="45">
        <v>172.77199999999999</v>
      </c>
      <c r="P124" s="62">
        <f t="shared" si="2"/>
        <v>4</v>
      </c>
    </row>
    <row r="125" spans="1:16" x14ac:dyDescent="0.25">
      <c r="A125" s="43" t="s">
        <v>200</v>
      </c>
      <c r="B125" s="43" t="s">
        <v>291</v>
      </c>
      <c r="C125" s="43" t="s">
        <v>292</v>
      </c>
      <c r="D125" s="43" t="s">
        <v>293</v>
      </c>
      <c r="E125" s="43" t="s">
        <v>297</v>
      </c>
      <c r="F125" s="43" t="s">
        <v>295</v>
      </c>
      <c r="G125" s="43" t="s">
        <v>296</v>
      </c>
      <c r="H125" s="43" t="s">
        <v>218</v>
      </c>
      <c r="I125" s="44">
        <v>45640</v>
      </c>
      <c r="J125" s="44">
        <v>45640</v>
      </c>
      <c r="K125" s="45">
        <v>0</v>
      </c>
      <c r="L125" s="45">
        <v>0</v>
      </c>
      <c r="M125" s="45">
        <v>0</v>
      </c>
      <c r="N125" s="45">
        <v>3</v>
      </c>
      <c r="O125" s="45">
        <v>129.57900000000001</v>
      </c>
      <c r="P125" s="62">
        <f t="shared" si="2"/>
        <v>3</v>
      </c>
    </row>
    <row r="126" spans="1:16" x14ac:dyDescent="0.25">
      <c r="A126" s="43" t="s">
        <v>200</v>
      </c>
      <c r="B126" s="43" t="s">
        <v>291</v>
      </c>
      <c r="C126" s="43" t="s">
        <v>292</v>
      </c>
      <c r="D126" s="43" t="s">
        <v>293</v>
      </c>
      <c r="E126" s="43" t="s">
        <v>298</v>
      </c>
      <c r="F126" s="43" t="s">
        <v>295</v>
      </c>
      <c r="G126" s="43" t="s">
        <v>232</v>
      </c>
      <c r="H126" s="43" t="s">
        <v>207</v>
      </c>
      <c r="I126" s="44">
        <v>45633</v>
      </c>
      <c r="J126" s="44">
        <v>45643</v>
      </c>
      <c r="K126" s="45">
        <v>8</v>
      </c>
      <c r="L126" s="45">
        <v>345.54399999999998</v>
      </c>
      <c r="M126" s="45">
        <v>933.71</v>
      </c>
      <c r="N126" s="45">
        <v>3</v>
      </c>
      <c r="O126" s="45">
        <v>129.57900000000001</v>
      </c>
      <c r="P126" s="62">
        <f t="shared" si="2"/>
        <v>11</v>
      </c>
    </row>
    <row r="127" spans="1:16" x14ac:dyDescent="0.25">
      <c r="A127" s="43" t="s">
        <v>200</v>
      </c>
      <c r="B127" s="43" t="s">
        <v>291</v>
      </c>
      <c r="C127" s="43" t="s">
        <v>292</v>
      </c>
      <c r="D127" s="43" t="s">
        <v>293</v>
      </c>
      <c r="E127" s="43" t="s">
        <v>298</v>
      </c>
      <c r="F127" s="43" t="s">
        <v>295</v>
      </c>
      <c r="G127" s="43" t="s">
        <v>233</v>
      </c>
      <c r="H127" s="43" t="s">
        <v>207</v>
      </c>
      <c r="I127" s="44">
        <v>45633</v>
      </c>
      <c r="J127" s="44">
        <v>45643</v>
      </c>
      <c r="K127" s="45">
        <v>8</v>
      </c>
      <c r="L127" s="45">
        <v>345.54480000000001</v>
      </c>
      <c r="M127" s="45">
        <v>909.14</v>
      </c>
      <c r="N127" s="45">
        <v>5</v>
      </c>
      <c r="O127" s="45">
        <v>215.96549999999999</v>
      </c>
      <c r="P127" s="62">
        <f t="shared" si="2"/>
        <v>13</v>
      </c>
    </row>
    <row r="128" spans="1:16" x14ac:dyDescent="0.25">
      <c r="A128" s="43" t="s">
        <v>200</v>
      </c>
      <c r="B128" s="43" t="s">
        <v>291</v>
      </c>
      <c r="C128" s="43" t="s">
        <v>292</v>
      </c>
      <c r="D128" s="43" t="s">
        <v>293</v>
      </c>
      <c r="E128" s="43" t="s">
        <v>298</v>
      </c>
      <c r="F128" s="43" t="s">
        <v>295</v>
      </c>
      <c r="G128" s="43" t="s">
        <v>234</v>
      </c>
      <c r="H128" s="43" t="s">
        <v>207</v>
      </c>
      <c r="I128" s="44">
        <v>45633</v>
      </c>
      <c r="J128" s="44">
        <v>45645</v>
      </c>
      <c r="K128" s="45">
        <v>6</v>
      </c>
      <c r="L128" s="45">
        <v>259.15800000000002</v>
      </c>
      <c r="M128" s="45">
        <v>688</v>
      </c>
      <c r="N128" s="45">
        <v>4</v>
      </c>
      <c r="O128" s="45">
        <v>172.77199999999999</v>
      </c>
      <c r="P128" s="62">
        <f t="shared" si="2"/>
        <v>10</v>
      </c>
    </row>
    <row r="129" spans="1:16" x14ac:dyDescent="0.25">
      <c r="A129" s="43" t="s">
        <v>200</v>
      </c>
      <c r="B129" s="43" t="s">
        <v>291</v>
      </c>
      <c r="C129" s="43" t="s">
        <v>292</v>
      </c>
      <c r="D129" s="43" t="s">
        <v>293</v>
      </c>
      <c r="E129" s="43" t="s">
        <v>298</v>
      </c>
      <c r="F129" s="43" t="s">
        <v>295</v>
      </c>
      <c r="G129" s="43" t="s">
        <v>296</v>
      </c>
      <c r="H129" s="43" t="s">
        <v>207</v>
      </c>
      <c r="I129" s="44">
        <v>45633</v>
      </c>
      <c r="J129" s="44">
        <v>45643</v>
      </c>
      <c r="K129" s="45">
        <v>3</v>
      </c>
      <c r="L129" s="45">
        <v>129.57929999999999</v>
      </c>
      <c r="M129" s="45">
        <v>344</v>
      </c>
      <c r="N129" s="45">
        <v>3</v>
      </c>
      <c r="O129" s="45">
        <v>129.57929999999999</v>
      </c>
      <c r="P129" s="62">
        <f t="shared" si="2"/>
        <v>6</v>
      </c>
    </row>
    <row r="130" spans="1:16" x14ac:dyDescent="0.25">
      <c r="A130" s="43" t="s">
        <v>200</v>
      </c>
      <c r="B130" s="43" t="s">
        <v>291</v>
      </c>
      <c r="C130" s="43" t="s">
        <v>292</v>
      </c>
      <c r="D130" s="43" t="s">
        <v>293</v>
      </c>
      <c r="E130" s="43" t="s">
        <v>299</v>
      </c>
      <c r="F130" s="43" t="s">
        <v>295</v>
      </c>
      <c r="G130" s="43" t="s">
        <v>232</v>
      </c>
      <c r="H130" s="43" t="s">
        <v>207</v>
      </c>
      <c r="I130" s="44">
        <v>45633</v>
      </c>
      <c r="J130" s="44">
        <v>45639</v>
      </c>
      <c r="K130" s="45">
        <v>1</v>
      </c>
      <c r="L130" s="45">
        <v>43.192999999999998</v>
      </c>
      <c r="M130" s="45">
        <v>122.86</v>
      </c>
      <c r="N130" s="45">
        <v>6</v>
      </c>
      <c r="O130" s="45">
        <v>259.15800000000002</v>
      </c>
      <c r="P130" s="62">
        <f t="shared" si="2"/>
        <v>7</v>
      </c>
    </row>
    <row r="131" spans="1:16" x14ac:dyDescent="0.25">
      <c r="A131" s="43" t="s">
        <v>200</v>
      </c>
      <c r="B131" s="43" t="s">
        <v>291</v>
      </c>
      <c r="C131" s="43" t="s">
        <v>292</v>
      </c>
      <c r="D131" s="43" t="s">
        <v>293</v>
      </c>
      <c r="E131" s="43" t="s">
        <v>299</v>
      </c>
      <c r="F131" s="43" t="s">
        <v>295</v>
      </c>
      <c r="G131" s="43" t="s">
        <v>233</v>
      </c>
      <c r="H131" s="43" t="s">
        <v>207</v>
      </c>
      <c r="I131" s="44">
        <v>45633</v>
      </c>
      <c r="J131" s="44">
        <v>45647</v>
      </c>
      <c r="K131" s="45">
        <v>2</v>
      </c>
      <c r="L131" s="45">
        <v>86.385999999999996</v>
      </c>
      <c r="M131" s="45">
        <v>233.43</v>
      </c>
      <c r="N131" s="45">
        <v>6</v>
      </c>
      <c r="O131" s="45">
        <v>259.15800000000002</v>
      </c>
      <c r="P131" s="62">
        <f t="shared" si="2"/>
        <v>8</v>
      </c>
    </row>
    <row r="132" spans="1:16" x14ac:dyDescent="0.25">
      <c r="A132" s="43" t="s">
        <v>200</v>
      </c>
      <c r="B132" s="43" t="s">
        <v>291</v>
      </c>
      <c r="C132" s="43" t="s">
        <v>292</v>
      </c>
      <c r="D132" s="43" t="s">
        <v>293</v>
      </c>
      <c r="E132" s="43" t="s">
        <v>299</v>
      </c>
      <c r="F132" s="43" t="s">
        <v>295</v>
      </c>
      <c r="G132" s="43" t="s">
        <v>234</v>
      </c>
      <c r="H132" s="43" t="s">
        <v>207</v>
      </c>
      <c r="I132" s="44">
        <v>45633</v>
      </c>
      <c r="J132" s="44">
        <v>45642</v>
      </c>
      <c r="K132" s="45">
        <v>0</v>
      </c>
      <c r="L132" s="45">
        <v>0</v>
      </c>
      <c r="M132" s="45">
        <v>0</v>
      </c>
      <c r="N132" s="45">
        <v>6</v>
      </c>
      <c r="O132" s="45">
        <v>259.15800000000002</v>
      </c>
      <c r="P132" s="62">
        <f t="shared" si="2"/>
        <v>6</v>
      </c>
    </row>
    <row r="133" spans="1:16" x14ac:dyDescent="0.25">
      <c r="A133" s="43" t="s">
        <v>200</v>
      </c>
      <c r="B133" s="43" t="s">
        <v>291</v>
      </c>
      <c r="C133" s="43" t="s">
        <v>292</v>
      </c>
      <c r="D133" s="43" t="s">
        <v>293</v>
      </c>
      <c r="E133" s="43" t="s">
        <v>299</v>
      </c>
      <c r="F133" s="43" t="s">
        <v>295</v>
      </c>
      <c r="G133" s="43" t="s">
        <v>296</v>
      </c>
      <c r="H133" s="43" t="s">
        <v>207</v>
      </c>
      <c r="I133" s="44">
        <v>45633</v>
      </c>
      <c r="J133" s="44">
        <v>45642</v>
      </c>
      <c r="K133" s="45">
        <v>2</v>
      </c>
      <c r="L133" s="45">
        <v>86.386200000000002</v>
      </c>
      <c r="M133" s="45">
        <v>221.14</v>
      </c>
      <c r="N133" s="45">
        <v>3</v>
      </c>
      <c r="O133" s="45">
        <v>129.57929999999999</v>
      </c>
      <c r="P133" s="62">
        <f t="shared" si="2"/>
        <v>5</v>
      </c>
    </row>
    <row r="134" spans="1:16" x14ac:dyDescent="0.25">
      <c r="A134" s="43" t="s">
        <v>200</v>
      </c>
      <c r="B134" s="43" t="s">
        <v>291</v>
      </c>
      <c r="C134" s="43" t="s">
        <v>292</v>
      </c>
      <c r="D134" s="43" t="s">
        <v>293</v>
      </c>
      <c r="E134" s="43" t="s">
        <v>300</v>
      </c>
      <c r="F134" s="43" t="s">
        <v>295</v>
      </c>
      <c r="G134" s="43" t="s">
        <v>232</v>
      </c>
      <c r="H134" s="43" t="s">
        <v>218</v>
      </c>
      <c r="I134" s="44">
        <v>45638</v>
      </c>
      <c r="J134" s="44">
        <v>45638</v>
      </c>
      <c r="K134" s="45">
        <v>0</v>
      </c>
      <c r="L134" s="45">
        <v>0</v>
      </c>
      <c r="M134" s="45">
        <v>0</v>
      </c>
      <c r="N134" s="45">
        <v>6</v>
      </c>
      <c r="O134" s="45">
        <v>259.15800000000002</v>
      </c>
      <c r="P134" s="62">
        <f t="shared" si="2"/>
        <v>6</v>
      </c>
    </row>
    <row r="135" spans="1:16" x14ac:dyDescent="0.25">
      <c r="A135" s="43" t="s">
        <v>200</v>
      </c>
      <c r="B135" s="43" t="s">
        <v>291</v>
      </c>
      <c r="C135" s="43" t="s">
        <v>292</v>
      </c>
      <c r="D135" s="43" t="s">
        <v>293</v>
      </c>
      <c r="E135" s="43" t="s">
        <v>300</v>
      </c>
      <c r="F135" s="43" t="s">
        <v>295</v>
      </c>
      <c r="G135" s="43" t="s">
        <v>233</v>
      </c>
      <c r="H135" s="43" t="s">
        <v>218</v>
      </c>
      <c r="I135" s="44">
        <v>45638</v>
      </c>
      <c r="J135" s="44">
        <v>45647</v>
      </c>
      <c r="K135" s="45">
        <v>0</v>
      </c>
      <c r="L135" s="45">
        <v>0</v>
      </c>
      <c r="M135" s="45">
        <v>0</v>
      </c>
      <c r="N135" s="45">
        <v>7</v>
      </c>
      <c r="O135" s="45">
        <v>302.35169999999999</v>
      </c>
      <c r="P135" s="62">
        <f t="shared" si="2"/>
        <v>7</v>
      </c>
    </row>
    <row r="136" spans="1:16" x14ac:dyDescent="0.25">
      <c r="A136" s="43" t="s">
        <v>200</v>
      </c>
      <c r="B136" s="43" t="s">
        <v>291</v>
      </c>
      <c r="C136" s="43" t="s">
        <v>292</v>
      </c>
      <c r="D136" s="43" t="s">
        <v>293</v>
      </c>
      <c r="E136" s="43" t="s">
        <v>300</v>
      </c>
      <c r="F136" s="43" t="s">
        <v>295</v>
      </c>
      <c r="G136" s="43" t="s">
        <v>234</v>
      </c>
      <c r="H136" s="43" t="s">
        <v>218</v>
      </c>
      <c r="I136" s="44">
        <v>45638</v>
      </c>
      <c r="J136" s="44">
        <v>45643</v>
      </c>
      <c r="K136" s="45">
        <v>0</v>
      </c>
      <c r="L136" s="45">
        <v>0</v>
      </c>
      <c r="M136" s="45">
        <v>0</v>
      </c>
      <c r="N136" s="45">
        <v>5</v>
      </c>
      <c r="O136" s="45">
        <v>215.965</v>
      </c>
      <c r="P136" s="62">
        <f t="shared" ref="P136:P199" si="3">K136+N136</f>
        <v>5</v>
      </c>
    </row>
    <row r="137" spans="1:16" x14ac:dyDescent="0.25">
      <c r="A137" s="43" t="s">
        <v>200</v>
      </c>
      <c r="B137" s="43" t="s">
        <v>291</v>
      </c>
      <c r="C137" s="43" t="s">
        <v>292</v>
      </c>
      <c r="D137" s="43" t="s">
        <v>293</v>
      </c>
      <c r="E137" s="43" t="s">
        <v>300</v>
      </c>
      <c r="F137" s="43" t="s">
        <v>295</v>
      </c>
      <c r="G137" s="43" t="s">
        <v>296</v>
      </c>
      <c r="H137" s="43" t="s">
        <v>218</v>
      </c>
      <c r="I137" s="44">
        <v>45638</v>
      </c>
      <c r="J137" s="44">
        <v>45638</v>
      </c>
      <c r="K137" s="45">
        <v>0</v>
      </c>
      <c r="L137" s="45">
        <v>0</v>
      </c>
      <c r="M137" s="45">
        <v>0</v>
      </c>
      <c r="N137" s="45">
        <v>3</v>
      </c>
      <c r="O137" s="45">
        <v>129.57900000000001</v>
      </c>
      <c r="P137" s="62">
        <f t="shared" si="3"/>
        <v>3</v>
      </c>
    </row>
    <row r="138" spans="1:16" x14ac:dyDescent="0.25">
      <c r="A138" s="43" t="s">
        <v>200</v>
      </c>
      <c r="B138" s="43" t="s">
        <v>291</v>
      </c>
      <c r="C138" s="43" t="s">
        <v>292</v>
      </c>
      <c r="D138" s="43" t="s">
        <v>293</v>
      </c>
      <c r="E138" s="43" t="s">
        <v>301</v>
      </c>
      <c r="F138" s="43" t="s">
        <v>295</v>
      </c>
      <c r="G138" s="43" t="s">
        <v>232</v>
      </c>
      <c r="H138" s="43" t="s">
        <v>218</v>
      </c>
      <c r="I138" s="44">
        <v>45640</v>
      </c>
      <c r="J138" s="44">
        <v>45640</v>
      </c>
      <c r="K138" s="45">
        <v>0</v>
      </c>
      <c r="L138" s="45">
        <v>0</v>
      </c>
      <c r="M138" s="45">
        <v>0</v>
      </c>
      <c r="N138" s="45">
        <v>1</v>
      </c>
      <c r="O138" s="45">
        <v>43.193100000000001</v>
      </c>
      <c r="P138" s="62">
        <f t="shared" si="3"/>
        <v>1</v>
      </c>
    </row>
    <row r="139" spans="1:16" x14ac:dyDescent="0.25">
      <c r="A139" s="43" t="s">
        <v>200</v>
      </c>
      <c r="B139" s="43" t="s">
        <v>291</v>
      </c>
      <c r="C139" s="43" t="s">
        <v>292</v>
      </c>
      <c r="D139" s="43" t="s">
        <v>293</v>
      </c>
      <c r="E139" s="43" t="s">
        <v>301</v>
      </c>
      <c r="F139" s="43" t="s">
        <v>295</v>
      </c>
      <c r="G139" s="43" t="s">
        <v>233</v>
      </c>
      <c r="H139" s="43" t="s">
        <v>218</v>
      </c>
      <c r="I139" s="44">
        <v>45638</v>
      </c>
      <c r="J139" s="44">
        <v>45645</v>
      </c>
      <c r="K139" s="45">
        <v>0</v>
      </c>
      <c r="L139" s="45">
        <v>0</v>
      </c>
      <c r="M139" s="45">
        <v>0</v>
      </c>
      <c r="N139" s="45">
        <v>7</v>
      </c>
      <c r="O139" s="45">
        <v>302.35169999999999</v>
      </c>
      <c r="P139" s="62">
        <f t="shared" si="3"/>
        <v>7</v>
      </c>
    </row>
    <row r="140" spans="1:16" x14ac:dyDescent="0.25">
      <c r="A140" s="43" t="s">
        <v>200</v>
      </c>
      <c r="B140" s="43" t="s">
        <v>291</v>
      </c>
      <c r="C140" s="43" t="s">
        <v>292</v>
      </c>
      <c r="D140" s="43" t="s">
        <v>293</v>
      </c>
      <c r="E140" s="43" t="s">
        <v>301</v>
      </c>
      <c r="F140" s="43" t="s">
        <v>295</v>
      </c>
      <c r="G140" s="43" t="s">
        <v>234</v>
      </c>
      <c r="H140" s="43" t="s">
        <v>218</v>
      </c>
      <c r="I140" s="44">
        <v>45638</v>
      </c>
      <c r="J140" s="44">
        <v>45645</v>
      </c>
      <c r="K140" s="45">
        <v>0</v>
      </c>
      <c r="L140" s="45">
        <v>0</v>
      </c>
      <c r="M140" s="45">
        <v>0</v>
      </c>
      <c r="N140" s="45">
        <v>4</v>
      </c>
      <c r="O140" s="45">
        <v>172.7724</v>
      </c>
      <c r="P140" s="62">
        <f t="shared" si="3"/>
        <v>4</v>
      </c>
    </row>
    <row r="141" spans="1:16" x14ac:dyDescent="0.25">
      <c r="A141" s="43" t="s">
        <v>200</v>
      </c>
      <c r="B141" s="43" t="s">
        <v>291</v>
      </c>
      <c r="C141" s="43" t="s">
        <v>292</v>
      </c>
      <c r="D141" s="43" t="s">
        <v>293</v>
      </c>
      <c r="E141" s="43" t="s">
        <v>301</v>
      </c>
      <c r="F141" s="43" t="s">
        <v>295</v>
      </c>
      <c r="G141" s="43" t="s">
        <v>296</v>
      </c>
      <c r="H141" s="43" t="s">
        <v>218</v>
      </c>
      <c r="I141" s="44">
        <v>45638</v>
      </c>
      <c r="J141" s="44">
        <v>45638</v>
      </c>
      <c r="K141" s="45">
        <v>0</v>
      </c>
      <c r="L141" s="45">
        <v>0</v>
      </c>
      <c r="M141" s="45">
        <v>0</v>
      </c>
      <c r="N141" s="45">
        <v>3</v>
      </c>
      <c r="O141" s="45">
        <v>129.57900000000001</v>
      </c>
      <c r="P141" s="62">
        <f t="shared" si="3"/>
        <v>3</v>
      </c>
    </row>
    <row r="142" spans="1:16" x14ac:dyDescent="0.25">
      <c r="A142" s="43" t="s">
        <v>200</v>
      </c>
      <c r="B142" s="43" t="s">
        <v>291</v>
      </c>
      <c r="C142" s="43" t="s">
        <v>292</v>
      </c>
      <c r="D142" s="43" t="s">
        <v>293</v>
      </c>
      <c r="E142" s="43" t="s">
        <v>302</v>
      </c>
      <c r="F142" s="43" t="s">
        <v>295</v>
      </c>
      <c r="G142" s="43" t="s">
        <v>232</v>
      </c>
      <c r="H142" s="43" t="s">
        <v>207</v>
      </c>
      <c r="I142" s="44">
        <v>45633</v>
      </c>
      <c r="J142" s="44">
        <v>45647</v>
      </c>
      <c r="K142" s="45">
        <v>5</v>
      </c>
      <c r="L142" s="45">
        <v>215.965</v>
      </c>
      <c r="M142" s="45">
        <v>589.72</v>
      </c>
      <c r="N142" s="45">
        <v>4</v>
      </c>
      <c r="O142" s="45">
        <v>172.77199999999999</v>
      </c>
      <c r="P142" s="62">
        <f t="shared" si="3"/>
        <v>9</v>
      </c>
    </row>
    <row r="143" spans="1:16" x14ac:dyDescent="0.25">
      <c r="A143" s="43" t="s">
        <v>200</v>
      </c>
      <c r="B143" s="43" t="s">
        <v>291</v>
      </c>
      <c r="C143" s="43" t="s">
        <v>292</v>
      </c>
      <c r="D143" s="43" t="s">
        <v>293</v>
      </c>
      <c r="E143" s="43" t="s">
        <v>302</v>
      </c>
      <c r="F143" s="43" t="s">
        <v>295</v>
      </c>
      <c r="G143" s="43" t="s">
        <v>233</v>
      </c>
      <c r="H143" s="43" t="s">
        <v>207</v>
      </c>
      <c r="I143" s="44">
        <v>45633</v>
      </c>
      <c r="J143" s="44">
        <v>45647</v>
      </c>
      <c r="K143" s="45">
        <v>5</v>
      </c>
      <c r="L143" s="45">
        <v>215.965</v>
      </c>
      <c r="M143" s="45">
        <v>528.28</v>
      </c>
      <c r="N143" s="45">
        <v>5</v>
      </c>
      <c r="O143" s="45">
        <v>215.965</v>
      </c>
      <c r="P143" s="62">
        <f t="shared" si="3"/>
        <v>10</v>
      </c>
    </row>
    <row r="144" spans="1:16" x14ac:dyDescent="0.25">
      <c r="A144" s="43" t="s">
        <v>200</v>
      </c>
      <c r="B144" s="43" t="s">
        <v>291</v>
      </c>
      <c r="C144" s="43" t="s">
        <v>292</v>
      </c>
      <c r="D144" s="43" t="s">
        <v>293</v>
      </c>
      <c r="E144" s="43" t="s">
        <v>302</v>
      </c>
      <c r="F144" s="43" t="s">
        <v>295</v>
      </c>
      <c r="G144" s="43" t="s">
        <v>234</v>
      </c>
      <c r="H144" s="43" t="s">
        <v>207</v>
      </c>
      <c r="I144" s="44">
        <v>45633</v>
      </c>
      <c r="J144" s="44">
        <v>45647</v>
      </c>
      <c r="K144" s="45">
        <v>1</v>
      </c>
      <c r="L144" s="45">
        <v>43.192999999999998</v>
      </c>
      <c r="M144" s="45">
        <v>122.85</v>
      </c>
      <c r="N144" s="45">
        <v>5</v>
      </c>
      <c r="O144" s="45">
        <v>215.965</v>
      </c>
      <c r="P144" s="62">
        <f t="shared" si="3"/>
        <v>6</v>
      </c>
    </row>
    <row r="145" spans="1:16" x14ac:dyDescent="0.25">
      <c r="A145" s="43" t="s">
        <v>200</v>
      </c>
      <c r="B145" s="43" t="s">
        <v>291</v>
      </c>
      <c r="C145" s="43" t="s">
        <v>292</v>
      </c>
      <c r="D145" s="43" t="s">
        <v>293</v>
      </c>
      <c r="E145" s="43" t="s">
        <v>302</v>
      </c>
      <c r="F145" s="43" t="s">
        <v>295</v>
      </c>
      <c r="G145" s="43" t="s">
        <v>259</v>
      </c>
      <c r="H145" s="43" t="s">
        <v>207</v>
      </c>
      <c r="I145" s="44">
        <v>45633</v>
      </c>
      <c r="J145" s="44">
        <v>45638</v>
      </c>
      <c r="K145" s="45">
        <v>2</v>
      </c>
      <c r="L145" s="45">
        <v>86.385999999999996</v>
      </c>
      <c r="M145" s="45">
        <v>233.43</v>
      </c>
      <c r="N145" s="45">
        <v>2</v>
      </c>
      <c r="O145" s="45">
        <v>86.385999999999996</v>
      </c>
      <c r="P145" s="62">
        <f t="shared" si="3"/>
        <v>4</v>
      </c>
    </row>
    <row r="146" spans="1:16" x14ac:dyDescent="0.25">
      <c r="A146" s="43" t="s">
        <v>200</v>
      </c>
      <c r="B146" s="43" t="s">
        <v>291</v>
      </c>
      <c r="C146" s="43" t="s">
        <v>292</v>
      </c>
      <c r="D146" s="43" t="s">
        <v>293</v>
      </c>
      <c r="E146" s="43" t="s">
        <v>302</v>
      </c>
      <c r="F146" s="43" t="s">
        <v>295</v>
      </c>
      <c r="G146" s="43" t="s">
        <v>296</v>
      </c>
      <c r="H146" s="43" t="s">
        <v>207</v>
      </c>
      <c r="I146" s="44">
        <v>45633</v>
      </c>
      <c r="J146" s="44">
        <v>45647</v>
      </c>
      <c r="K146" s="45">
        <v>0</v>
      </c>
      <c r="L146" s="45">
        <v>0</v>
      </c>
      <c r="M146" s="45">
        <v>0</v>
      </c>
      <c r="N146" s="45">
        <v>3</v>
      </c>
      <c r="O146" s="45">
        <v>129.57900000000001</v>
      </c>
      <c r="P146" s="62">
        <f t="shared" si="3"/>
        <v>3</v>
      </c>
    </row>
    <row r="147" spans="1:16" x14ac:dyDescent="0.25">
      <c r="A147" s="43" t="s">
        <v>200</v>
      </c>
      <c r="B147" s="43" t="s">
        <v>291</v>
      </c>
      <c r="C147" s="43" t="s">
        <v>292</v>
      </c>
      <c r="D147" s="43" t="s">
        <v>293</v>
      </c>
      <c r="E147" s="43" t="s">
        <v>303</v>
      </c>
      <c r="F147" s="43" t="s">
        <v>304</v>
      </c>
      <c r="G147" s="43" t="s">
        <v>232</v>
      </c>
      <c r="H147" s="43" t="s">
        <v>207</v>
      </c>
      <c r="I147" s="44">
        <v>45591</v>
      </c>
      <c r="J147" s="44">
        <v>45647</v>
      </c>
      <c r="K147" s="45">
        <v>18</v>
      </c>
      <c r="L147" s="45">
        <v>641.34050000000002</v>
      </c>
      <c r="M147" s="45">
        <v>1870</v>
      </c>
      <c r="N147" s="45">
        <v>7</v>
      </c>
      <c r="O147" s="45">
        <v>258.08370000000002</v>
      </c>
      <c r="P147" s="62">
        <f t="shared" si="3"/>
        <v>25</v>
      </c>
    </row>
    <row r="148" spans="1:16" x14ac:dyDescent="0.25">
      <c r="A148" s="43" t="s">
        <v>200</v>
      </c>
      <c r="B148" s="43" t="s">
        <v>291</v>
      </c>
      <c r="C148" s="43" t="s">
        <v>292</v>
      </c>
      <c r="D148" s="43" t="s">
        <v>293</v>
      </c>
      <c r="E148" s="43" t="s">
        <v>303</v>
      </c>
      <c r="F148" s="43" t="s">
        <v>304</v>
      </c>
      <c r="G148" s="43" t="s">
        <v>233</v>
      </c>
      <c r="H148" s="43" t="s">
        <v>207</v>
      </c>
      <c r="I148" s="44">
        <v>45591</v>
      </c>
      <c r="J148" s="44">
        <v>45647</v>
      </c>
      <c r="K148" s="45">
        <v>21</v>
      </c>
      <c r="L148" s="45">
        <v>755.94569999999999</v>
      </c>
      <c r="M148" s="45">
        <v>2164.66</v>
      </c>
      <c r="N148" s="45">
        <v>14</v>
      </c>
      <c r="O148" s="45">
        <v>520.48919999999998</v>
      </c>
      <c r="P148" s="62">
        <f t="shared" si="3"/>
        <v>35</v>
      </c>
    </row>
    <row r="149" spans="1:16" x14ac:dyDescent="0.25">
      <c r="A149" s="43" t="s">
        <v>200</v>
      </c>
      <c r="B149" s="43" t="s">
        <v>291</v>
      </c>
      <c r="C149" s="43" t="s">
        <v>292</v>
      </c>
      <c r="D149" s="43" t="s">
        <v>293</v>
      </c>
      <c r="E149" s="43" t="s">
        <v>303</v>
      </c>
      <c r="F149" s="43" t="s">
        <v>304</v>
      </c>
      <c r="G149" s="43" t="s">
        <v>234</v>
      </c>
      <c r="H149" s="43" t="s">
        <v>207</v>
      </c>
      <c r="I149" s="44">
        <v>45591</v>
      </c>
      <c r="J149" s="44">
        <v>45647</v>
      </c>
      <c r="K149" s="45">
        <v>19</v>
      </c>
      <c r="L149" s="45">
        <v>677.51559999999995</v>
      </c>
      <c r="M149" s="45">
        <v>1937.99</v>
      </c>
      <c r="N149" s="45">
        <v>10</v>
      </c>
      <c r="O149" s="45">
        <v>366.98899999999998</v>
      </c>
      <c r="P149" s="62">
        <f t="shared" si="3"/>
        <v>29</v>
      </c>
    </row>
    <row r="150" spans="1:16" x14ac:dyDescent="0.25">
      <c r="A150" s="43" t="s">
        <v>200</v>
      </c>
      <c r="B150" s="43" t="s">
        <v>291</v>
      </c>
      <c r="C150" s="43" t="s">
        <v>292</v>
      </c>
      <c r="D150" s="43" t="s">
        <v>293</v>
      </c>
      <c r="E150" s="43" t="s">
        <v>303</v>
      </c>
      <c r="F150" s="43" t="s">
        <v>304</v>
      </c>
      <c r="G150" s="43" t="s">
        <v>259</v>
      </c>
      <c r="H150" s="43" t="s">
        <v>207</v>
      </c>
      <c r="I150" s="44">
        <v>45593</v>
      </c>
      <c r="J150" s="44">
        <v>45647</v>
      </c>
      <c r="K150" s="45">
        <v>11</v>
      </c>
      <c r="L150" s="45">
        <v>413.56950000000001</v>
      </c>
      <c r="M150" s="45">
        <v>1099.33</v>
      </c>
      <c r="N150" s="45">
        <v>3</v>
      </c>
      <c r="O150" s="45">
        <v>113.2503</v>
      </c>
      <c r="P150" s="62">
        <f t="shared" si="3"/>
        <v>14</v>
      </c>
    </row>
    <row r="151" spans="1:16" x14ac:dyDescent="0.25">
      <c r="A151" s="43" t="s">
        <v>200</v>
      </c>
      <c r="B151" s="43" t="s">
        <v>291</v>
      </c>
      <c r="C151" s="43" t="s">
        <v>292</v>
      </c>
      <c r="D151" s="43" t="s">
        <v>293</v>
      </c>
      <c r="E151" s="43" t="s">
        <v>303</v>
      </c>
      <c r="F151" s="43" t="s">
        <v>304</v>
      </c>
      <c r="G151" s="43" t="s">
        <v>296</v>
      </c>
      <c r="H151" s="43" t="s">
        <v>207</v>
      </c>
      <c r="I151" s="44">
        <v>45593</v>
      </c>
      <c r="J151" s="44">
        <v>45647</v>
      </c>
      <c r="K151" s="45">
        <v>11</v>
      </c>
      <c r="L151" s="45">
        <v>387.79239999999999</v>
      </c>
      <c r="M151" s="45">
        <v>1144.6600000000001</v>
      </c>
      <c r="N151" s="45">
        <v>3</v>
      </c>
      <c r="O151" s="45">
        <v>109.1901</v>
      </c>
      <c r="P151" s="62">
        <f t="shared" si="3"/>
        <v>14</v>
      </c>
    </row>
    <row r="152" spans="1:16" x14ac:dyDescent="0.25">
      <c r="A152" s="43" t="s">
        <v>200</v>
      </c>
      <c r="B152" s="43" t="s">
        <v>291</v>
      </c>
      <c r="C152" s="43" t="s">
        <v>292</v>
      </c>
      <c r="D152" s="43" t="s">
        <v>293</v>
      </c>
      <c r="E152" s="43" t="s">
        <v>305</v>
      </c>
      <c r="F152" s="43" t="s">
        <v>304</v>
      </c>
      <c r="G152" s="43" t="s">
        <v>232</v>
      </c>
      <c r="H152" s="43" t="s">
        <v>207</v>
      </c>
      <c r="I152" s="44">
        <v>45605</v>
      </c>
      <c r="J152" s="44">
        <v>45636</v>
      </c>
      <c r="K152" s="45">
        <v>6</v>
      </c>
      <c r="L152" s="45">
        <v>206.75649999999999</v>
      </c>
      <c r="M152" s="45">
        <v>623.33000000000004</v>
      </c>
      <c r="N152" s="45">
        <v>7</v>
      </c>
      <c r="O152" s="45">
        <v>245.33320000000001</v>
      </c>
      <c r="P152" s="62">
        <f t="shared" si="3"/>
        <v>13</v>
      </c>
    </row>
    <row r="153" spans="1:16" x14ac:dyDescent="0.25">
      <c r="A153" s="43" t="s">
        <v>200</v>
      </c>
      <c r="B153" s="43" t="s">
        <v>291</v>
      </c>
      <c r="C153" s="43" t="s">
        <v>292</v>
      </c>
      <c r="D153" s="43" t="s">
        <v>293</v>
      </c>
      <c r="E153" s="43" t="s">
        <v>305</v>
      </c>
      <c r="F153" s="43" t="s">
        <v>304</v>
      </c>
      <c r="G153" s="43" t="s">
        <v>233</v>
      </c>
      <c r="H153" s="43" t="s">
        <v>207</v>
      </c>
      <c r="I153" s="44">
        <v>45605</v>
      </c>
      <c r="J153" s="44">
        <v>45622</v>
      </c>
      <c r="K153" s="45">
        <v>3</v>
      </c>
      <c r="L153" s="45">
        <v>103.19410000000001</v>
      </c>
      <c r="M153" s="45">
        <v>283.33</v>
      </c>
      <c r="N153" s="45">
        <v>7</v>
      </c>
      <c r="O153" s="45">
        <v>244.43090000000001</v>
      </c>
      <c r="P153" s="62">
        <f t="shared" si="3"/>
        <v>10</v>
      </c>
    </row>
    <row r="154" spans="1:16" x14ac:dyDescent="0.25">
      <c r="A154" s="43" t="s">
        <v>200</v>
      </c>
      <c r="B154" s="43" t="s">
        <v>291</v>
      </c>
      <c r="C154" s="43" t="s">
        <v>292</v>
      </c>
      <c r="D154" s="43" t="s">
        <v>293</v>
      </c>
      <c r="E154" s="43" t="s">
        <v>305</v>
      </c>
      <c r="F154" s="43" t="s">
        <v>304</v>
      </c>
      <c r="G154" s="43" t="s">
        <v>234</v>
      </c>
      <c r="H154" s="43" t="s">
        <v>207</v>
      </c>
      <c r="I154" s="44">
        <v>45605</v>
      </c>
      <c r="J154" s="44">
        <v>45625</v>
      </c>
      <c r="K154" s="45">
        <v>2</v>
      </c>
      <c r="L154" s="45">
        <v>68.618799999999993</v>
      </c>
      <c r="M154" s="45">
        <v>204</v>
      </c>
      <c r="N154" s="45">
        <v>11</v>
      </c>
      <c r="O154" s="45">
        <v>379.91140000000001</v>
      </c>
      <c r="P154" s="62">
        <f t="shared" si="3"/>
        <v>13</v>
      </c>
    </row>
    <row r="155" spans="1:16" x14ac:dyDescent="0.25">
      <c r="A155" s="43" t="s">
        <v>200</v>
      </c>
      <c r="B155" s="43" t="s">
        <v>291</v>
      </c>
      <c r="C155" s="43" t="s">
        <v>292</v>
      </c>
      <c r="D155" s="43" t="s">
        <v>293</v>
      </c>
      <c r="E155" s="43" t="s">
        <v>305</v>
      </c>
      <c r="F155" s="43" t="s">
        <v>304</v>
      </c>
      <c r="G155" s="43" t="s">
        <v>259</v>
      </c>
      <c r="H155" s="43" t="s">
        <v>207</v>
      </c>
      <c r="I155" s="44">
        <v>45605</v>
      </c>
      <c r="J155" s="44">
        <v>45636</v>
      </c>
      <c r="K155" s="45">
        <v>2</v>
      </c>
      <c r="L155" s="45">
        <v>68.654799999999994</v>
      </c>
      <c r="M155" s="45">
        <v>204</v>
      </c>
      <c r="N155" s="45">
        <v>9</v>
      </c>
      <c r="O155" s="45">
        <v>311.41890000000001</v>
      </c>
      <c r="P155" s="62">
        <f t="shared" si="3"/>
        <v>11</v>
      </c>
    </row>
    <row r="156" spans="1:16" x14ac:dyDescent="0.25">
      <c r="A156" s="43" t="s">
        <v>200</v>
      </c>
      <c r="B156" s="43" t="s">
        <v>291</v>
      </c>
      <c r="C156" s="43" t="s">
        <v>292</v>
      </c>
      <c r="D156" s="43" t="s">
        <v>293</v>
      </c>
      <c r="E156" s="43" t="s">
        <v>305</v>
      </c>
      <c r="F156" s="43" t="s">
        <v>304</v>
      </c>
      <c r="G156" s="43" t="s">
        <v>296</v>
      </c>
      <c r="H156" s="43" t="s">
        <v>207</v>
      </c>
      <c r="I156" s="44">
        <v>45605</v>
      </c>
      <c r="J156" s="44">
        <v>45636</v>
      </c>
      <c r="K156" s="45">
        <v>3</v>
      </c>
      <c r="L156" s="45">
        <v>103.2017</v>
      </c>
      <c r="M156" s="45">
        <v>306</v>
      </c>
      <c r="N156" s="45">
        <v>10</v>
      </c>
      <c r="O156" s="45">
        <v>347.10899999999998</v>
      </c>
      <c r="P156" s="62">
        <f t="shared" si="3"/>
        <v>13</v>
      </c>
    </row>
    <row r="157" spans="1:16" x14ac:dyDescent="0.25">
      <c r="A157" s="43" t="s">
        <v>200</v>
      </c>
      <c r="B157" s="43" t="s">
        <v>291</v>
      </c>
      <c r="C157" s="43" t="s">
        <v>292</v>
      </c>
      <c r="D157" s="43" t="s">
        <v>293</v>
      </c>
      <c r="E157" s="43" t="s">
        <v>306</v>
      </c>
      <c r="F157" s="43" t="s">
        <v>304</v>
      </c>
      <c r="G157" s="43" t="s">
        <v>232</v>
      </c>
      <c r="H157" s="43" t="s">
        <v>218</v>
      </c>
      <c r="I157" s="44">
        <v>45593</v>
      </c>
      <c r="J157" s="44">
        <v>45643</v>
      </c>
      <c r="K157" s="45">
        <v>9</v>
      </c>
      <c r="L157" s="45">
        <v>315.63780000000003</v>
      </c>
      <c r="M157" s="45">
        <v>929.34</v>
      </c>
      <c r="N157" s="45">
        <v>5</v>
      </c>
      <c r="O157" s="45">
        <v>178.39400000000001</v>
      </c>
      <c r="P157" s="62">
        <f t="shared" si="3"/>
        <v>14</v>
      </c>
    </row>
    <row r="158" spans="1:16" x14ac:dyDescent="0.25">
      <c r="A158" s="43" t="s">
        <v>200</v>
      </c>
      <c r="B158" s="43" t="s">
        <v>291</v>
      </c>
      <c r="C158" s="43" t="s">
        <v>292</v>
      </c>
      <c r="D158" s="43" t="s">
        <v>293</v>
      </c>
      <c r="E158" s="43" t="s">
        <v>306</v>
      </c>
      <c r="F158" s="43" t="s">
        <v>304</v>
      </c>
      <c r="G158" s="43" t="s">
        <v>233</v>
      </c>
      <c r="H158" s="43" t="s">
        <v>218</v>
      </c>
      <c r="I158" s="44">
        <v>45593</v>
      </c>
      <c r="J158" s="44">
        <v>45643</v>
      </c>
      <c r="K158" s="45">
        <v>21</v>
      </c>
      <c r="L158" s="45">
        <v>744.14520000000005</v>
      </c>
      <c r="M158" s="45">
        <v>2164.67</v>
      </c>
      <c r="N158" s="45">
        <v>5</v>
      </c>
      <c r="O158" s="45">
        <v>179.613</v>
      </c>
      <c r="P158" s="62">
        <f t="shared" si="3"/>
        <v>26</v>
      </c>
    </row>
    <row r="159" spans="1:16" x14ac:dyDescent="0.25">
      <c r="A159" s="43" t="s">
        <v>200</v>
      </c>
      <c r="B159" s="43" t="s">
        <v>291</v>
      </c>
      <c r="C159" s="43" t="s">
        <v>292</v>
      </c>
      <c r="D159" s="43" t="s">
        <v>293</v>
      </c>
      <c r="E159" s="43" t="s">
        <v>306</v>
      </c>
      <c r="F159" s="43" t="s">
        <v>304</v>
      </c>
      <c r="G159" s="43" t="s">
        <v>234</v>
      </c>
      <c r="H159" s="43" t="s">
        <v>218</v>
      </c>
      <c r="I159" s="44">
        <v>45593</v>
      </c>
      <c r="J159" s="44">
        <v>45640</v>
      </c>
      <c r="K159" s="45">
        <v>10</v>
      </c>
      <c r="L159" s="45">
        <v>352.27800000000002</v>
      </c>
      <c r="M159" s="45">
        <v>1031.33</v>
      </c>
      <c r="N159" s="45">
        <v>5</v>
      </c>
      <c r="O159" s="45">
        <v>178.9485</v>
      </c>
      <c r="P159" s="62">
        <f t="shared" si="3"/>
        <v>15</v>
      </c>
    </row>
    <row r="160" spans="1:16" x14ac:dyDescent="0.25">
      <c r="A160" s="43" t="s">
        <v>200</v>
      </c>
      <c r="B160" s="43" t="s">
        <v>291</v>
      </c>
      <c r="C160" s="43" t="s">
        <v>292</v>
      </c>
      <c r="D160" s="43" t="s">
        <v>293</v>
      </c>
      <c r="E160" s="43" t="s">
        <v>306</v>
      </c>
      <c r="F160" s="43" t="s">
        <v>304</v>
      </c>
      <c r="G160" s="43" t="s">
        <v>259</v>
      </c>
      <c r="H160" s="43" t="s">
        <v>218</v>
      </c>
      <c r="I160" s="44">
        <v>45593</v>
      </c>
      <c r="J160" s="44">
        <v>45642</v>
      </c>
      <c r="K160" s="45">
        <v>6</v>
      </c>
      <c r="L160" s="45">
        <v>210.7107</v>
      </c>
      <c r="M160" s="45">
        <v>623.33000000000004</v>
      </c>
      <c r="N160" s="45">
        <v>3</v>
      </c>
      <c r="O160" s="45">
        <v>108.0252</v>
      </c>
      <c r="P160" s="62">
        <f t="shared" si="3"/>
        <v>9</v>
      </c>
    </row>
    <row r="161" spans="1:16" x14ac:dyDescent="0.25">
      <c r="A161" s="43" t="s">
        <v>200</v>
      </c>
      <c r="B161" s="43" t="s">
        <v>291</v>
      </c>
      <c r="C161" s="43" t="s">
        <v>292</v>
      </c>
      <c r="D161" s="43" t="s">
        <v>293</v>
      </c>
      <c r="E161" s="43" t="s">
        <v>306</v>
      </c>
      <c r="F161" s="43" t="s">
        <v>304</v>
      </c>
      <c r="G161" s="43" t="s">
        <v>296</v>
      </c>
      <c r="H161" s="43" t="s">
        <v>218</v>
      </c>
      <c r="I161" s="44">
        <v>45593</v>
      </c>
      <c r="J161" s="44">
        <v>45643</v>
      </c>
      <c r="K161" s="45">
        <v>5</v>
      </c>
      <c r="L161" s="45">
        <v>175.22970000000001</v>
      </c>
      <c r="M161" s="45">
        <v>521.33000000000004</v>
      </c>
      <c r="N161" s="45">
        <v>2</v>
      </c>
      <c r="O161" s="45">
        <v>71.489400000000003</v>
      </c>
      <c r="P161" s="62">
        <f t="shared" si="3"/>
        <v>7</v>
      </c>
    </row>
    <row r="162" spans="1:16" x14ac:dyDescent="0.25">
      <c r="A162" s="43" t="s">
        <v>200</v>
      </c>
      <c r="B162" s="43" t="s">
        <v>291</v>
      </c>
      <c r="C162" s="43" t="s">
        <v>292</v>
      </c>
      <c r="D162" s="43" t="s">
        <v>293</v>
      </c>
      <c r="E162" s="43" t="s">
        <v>307</v>
      </c>
      <c r="F162" s="43" t="s">
        <v>304</v>
      </c>
      <c r="G162" s="43" t="s">
        <v>232</v>
      </c>
      <c r="H162" s="43" t="s">
        <v>207</v>
      </c>
      <c r="I162" s="44">
        <v>45593</v>
      </c>
      <c r="J162" s="44">
        <v>45646</v>
      </c>
      <c r="K162" s="45">
        <v>15</v>
      </c>
      <c r="L162" s="45">
        <v>532.98950000000002</v>
      </c>
      <c r="M162" s="45">
        <v>1552.67</v>
      </c>
      <c r="N162" s="45">
        <v>6</v>
      </c>
      <c r="O162" s="45">
        <v>220.0386</v>
      </c>
      <c r="P162" s="62">
        <f t="shared" si="3"/>
        <v>21</v>
      </c>
    </row>
    <row r="163" spans="1:16" x14ac:dyDescent="0.25">
      <c r="A163" s="43" t="s">
        <v>200</v>
      </c>
      <c r="B163" s="43" t="s">
        <v>291</v>
      </c>
      <c r="C163" s="43" t="s">
        <v>292</v>
      </c>
      <c r="D163" s="43" t="s">
        <v>293</v>
      </c>
      <c r="E163" s="43" t="s">
        <v>307</v>
      </c>
      <c r="F163" s="43" t="s">
        <v>304</v>
      </c>
      <c r="G163" s="43" t="s">
        <v>233</v>
      </c>
      <c r="H163" s="43" t="s">
        <v>207</v>
      </c>
      <c r="I163" s="44">
        <v>45593</v>
      </c>
      <c r="J163" s="44">
        <v>45647</v>
      </c>
      <c r="K163" s="45">
        <v>18</v>
      </c>
      <c r="L163" s="45">
        <v>638.23609999999996</v>
      </c>
      <c r="M163" s="45">
        <v>1881.32</v>
      </c>
      <c r="N163" s="45">
        <v>6</v>
      </c>
      <c r="O163" s="45">
        <v>218.2578</v>
      </c>
      <c r="P163" s="62">
        <f t="shared" si="3"/>
        <v>24</v>
      </c>
    </row>
    <row r="164" spans="1:16" x14ac:dyDescent="0.25">
      <c r="A164" s="43" t="s">
        <v>200</v>
      </c>
      <c r="B164" s="43" t="s">
        <v>291</v>
      </c>
      <c r="C164" s="43" t="s">
        <v>292</v>
      </c>
      <c r="D164" s="43" t="s">
        <v>293</v>
      </c>
      <c r="E164" s="43" t="s">
        <v>307</v>
      </c>
      <c r="F164" s="43" t="s">
        <v>304</v>
      </c>
      <c r="G164" s="43" t="s">
        <v>234</v>
      </c>
      <c r="H164" s="43" t="s">
        <v>207</v>
      </c>
      <c r="I164" s="44">
        <v>45593</v>
      </c>
      <c r="J164" s="44">
        <v>45647</v>
      </c>
      <c r="K164" s="45">
        <v>15</v>
      </c>
      <c r="L164" s="45">
        <v>525.89869999999996</v>
      </c>
      <c r="M164" s="45">
        <v>1530</v>
      </c>
      <c r="N164" s="45">
        <v>4</v>
      </c>
      <c r="O164" s="45">
        <v>145.238</v>
      </c>
      <c r="P164" s="62">
        <f t="shared" si="3"/>
        <v>19</v>
      </c>
    </row>
    <row r="165" spans="1:16" x14ac:dyDescent="0.25">
      <c r="A165" s="43" t="s">
        <v>200</v>
      </c>
      <c r="B165" s="43" t="s">
        <v>291</v>
      </c>
      <c r="C165" s="43" t="s">
        <v>292</v>
      </c>
      <c r="D165" s="43" t="s">
        <v>293</v>
      </c>
      <c r="E165" s="43" t="s">
        <v>307</v>
      </c>
      <c r="F165" s="43" t="s">
        <v>304</v>
      </c>
      <c r="G165" s="43" t="s">
        <v>259</v>
      </c>
      <c r="H165" s="43" t="s">
        <v>207</v>
      </c>
      <c r="I165" s="44">
        <v>45593</v>
      </c>
      <c r="J165" s="44">
        <v>45643</v>
      </c>
      <c r="K165" s="45">
        <v>7</v>
      </c>
      <c r="L165" s="45">
        <v>244.15880000000001</v>
      </c>
      <c r="M165" s="45">
        <v>714</v>
      </c>
      <c r="N165" s="45">
        <v>2</v>
      </c>
      <c r="O165" s="45">
        <v>70.721199999999996</v>
      </c>
      <c r="P165" s="62">
        <f t="shared" si="3"/>
        <v>9</v>
      </c>
    </row>
    <row r="166" spans="1:16" x14ac:dyDescent="0.25">
      <c r="A166" s="43" t="s">
        <v>200</v>
      </c>
      <c r="B166" s="43" t="s">
        <v>291</v>
      </c>
      <c r="C166" s="43" t="s">
        <v>292</v>
      </c>
      <c r="D166" s="43" t="s">
        <v>293</v>
      </c>
      <c r="E166" s="43" t="s">
        <v>307</v>
      </c>
      <c r="F166" s="43" t="s">
        <v>304</v>
      </c>
      <c r="G166" s="43" t="s">
        <v>296</v>
      </c>
      <c r="H166" s="43" t="s">
        <v>207</v>
      </c>
      <c r="I166" s="44">
        <v>45593</v>
      </c>
      <c r="J166" s="44">
        <v>45644</v>
      </c>
      <c r="K166" s="45">
        <v>9</v>
      </c>
      <c r="L166" s="45">
        <v>310.6275</v>
      </c>
      <c r="M166" s="45">
        <v>918</v>
      </c>
      <c r="N166" s="45">
        <v>3</v>
      </c>
      <c r="O166" s="45">
        <v>107.2341</v>
      </c>
      <c r="P166" s="62">
        <f t="shared" si="3"/>
        <v>12</v>
      </c>
    </row>
    <row r="167" spans="1:16" x14ac:dyDescent="0.25">
      <c r="A167" s="43" t="s">
        <v>200</v>
      </c>
      <c r="B167" s="43" t="s">
        <v>291</v>
      </c>
      <c r="C167" s="43" t="s">
        <v>292</v>
      </c>
      <c r="D167" s="43" t="s">
        <v>293</v>
      </c>
      <c r="E167" s="43" t="s">
        <v>308</v>
      </c>
      <c r="F167" s="43" t="s">
        <v>309</v>
      </c>
      <c r="G167" s="43" t="s">
        <v>232</v>
      </c>
      <c r="H167" s="43" t="s">
        <v>218</v>
      </c>
      <c r="I167" s="44">
        <v>45591</v>
      </c>
      <c r="J167" s="44">
        <v>45630</v>
      </c>
      <c r="K167" s="45">
        <v>4</v>
      </c>
      <c r="L167" s="45">
        <v>276.59710000000001</v>
      </c>
      <c r="M167" s="45">
        <v>750.86</v>
      </c>
      <c r="N167" s="45">
        <v>0</v>
      </c>
      <c r="O167" s="45">
        <v>0</v>
      </c>
      <c r="P167" s="62">
        <f t="shared" si="3"/>
        <v>4</v>
      </c>
    </row>
    <row r="168" spans="1:16" x14ac:dyDescent="0.25">
      <c r="A168" s="43" t="s">
        <v>200</v>
      </c>
      <c r="B168" s="43" t="s">
        <v>291</v>
      </c>
      <c r="C168" s="43" t="s">
        <v>292</v>
      </c>
      <c r="D168" s="43" t="s">
        <v>293</v>
      </c>
      <c r="E168" s="43" t="s">
        <v>308</v>
      </c>
      <c r="F168" s="43" t="s">
        <v>309</v>
      </c>
      <c r="G168" s="43" t="s">
        <v>233</v>
      </c>
      <c r="H168" s="43" t="s">
        <v>218</v>
      </c>
      <c r="I168" s="44">
        <v>45591</v>
      </c>
      <c r="J168" s="44">
        <v>45631</v>
      </c>
      <c r="K168" s="45">
        <v>13</v>
      </c>
      <c r="L168" s="45">
        <v>914.19820000000004</v>
      </c>
      <c r="M168" s="45">
        <v>2440.2800000000002</v>
      </c>
      <c r="N168" s="45">
        <v>0</v>
      </c>
      <c r="O168" s="45">
        <v>0</v>
      </c>
      <c r="P168" s="62">
        <f t="shared" si="3"/>
        <v>13</v>
      </c>
    </row>
    <row r="169" spans="1:16" x14ac:dyDescent="0.25">
      <c r="A169" s="43" t="s">
        <v>200</v>
      </c>
      <c r="B169" s="43" t="s">
        <v>291</v>
      </c>
      <c r="C169" s="43" t="s">
        <v>292</v>
      </c>
      <c r="D169" s="43" t="s">
        <v>293</v>
      </c>
      <c r="E169" s="43" t="s">
        <v>308</v>
      </c>
      <c r="F169" s="43" t="s">
        <v>309</v>
      </c>
      <c r="G169" s="43" t="s">
        <v>234</v>
      </c>
      <c r="H169" s="43" t="s">
        <v>218</v>
      </c>
      <c r="I169" s="44">
        <v>45591</v>
      </c>
      <c r="J169" s="44">
        <v>45631</v>
      </c>
      <c r="K169" s="45">
        <v>10</v>
      </c>
      <c r="L169" s="45">
        <v>704.33870000000002</v>
      </c>
      <c r="M169" s="45">
        <v>1877.14</v>
      </c>
      <c r="N169" s="45">
        <v>0</v>
      </c>
      <c r="O169" s="45">
        <v>0</v>
      </c>
      <c r="P169" s="62">
        <f t="shared" si="3"/>
        <v>10</v>
      </c>
    </row>
    <row r="170" spans="1:16" x14ac:dyDescent="0.25">
      <c r="A170" s="43" t="s">
        <v>200</v>
      </c>
      <c r="B170" s="43" t="s">
        <v>291</v>
      </c>
      <c r="C170" s="43" t="s">
        <v>292</v>
      </c>
      <c r="D170" s="43" t="s">
        <v>293</v>
      </c>
      <c r="E170" s="43" t="s">
        <v>308</v>
      </c>
      <c r="F170" s="43" t="s">
        <v>309</v>
      </c>
      <c r="G170" s="43" t="s">
        <v>259</v>
      </c>
      <c r="H170" s="43" t="s">
        <v>218</v>
      </c>
      <c r="I170" s="44">
        <v>45591</v>
      </c>
      <c r="J170" s="44">
        <v>45591</v>
      </c>
      <c r="K170" s="45">
        <v>2</v>
      </c>
      <c r="L170" s="45">
        <v>136.91419999999999</v>
      </c>
      <c r="M170" s="45">
        <v>375.42</v>
      </c>
      <c r="N170" s="45">
        <v>0</v>
      </c>
      <c r="O170" s="45">
        <v>0</v>
      </c>
      <c r="P170" s="62">
        <f t="shared" si="3"/>
        <v>2</v>
      </c>
    </row>
    <row r="171" spans="1:16" x14ac:dyDescent="0.25">
      <c r="A171" s="43" t="s">
        <v>200</v>
      </c>
      <c r="B171" s="43" t="s">
        <v>291</v>
      </c>
      <c r="C171" s="43" t="s">
        <v>292</v>
      </c>
      <c r="D171" s="43" t="s">
        <v>293</v>
      </c>
      <c r="E171" s="43" t="s">
        <v>308</v>
      </c>
      <c r="F171" s="43" t="s">
        <v>309</v>
      </c>
      <c r="G171" s="43" t="s">
        <v>296</v>
      </c>
      <c r="H171" s="43" t="s">
        <v>218</v>
      </c>
      <c r="I171" s="44">
        <v>45591</v>
      </c>
      <c r="J171" s="44">
        <v>45630</v>
      </c>
      <c r="K171" s="45">
        <v>8</v>
      </c>
      <c r="L171" s="45">
        <v>565.9248</v>
      </c>
      <c r="M171" s="45">
        <v>1501.72</v>
      </c>
      <c r="N171" s="45">
        <v>0</v>
      </c>
      <c r="O171" s="45">
        <v>0</v>
      </c>
      <c r="P171" s="62">
        <f t="shared" si="3"/>
        <v>8</v>
      </c>
    </row>
    <row r="172" spans="1:16" x14ac:dyDescent="0.25">
      <c r="A172" s="43" t="s">
        <v>200</v>
      </c>
      <c r="B172" s="43" t="s">
        <v>291</v>
      </c>
      <c r="C172" s="43" t="s">
        <v>292</v>
      </c>
      <c r="D172" s="43" t="s">
        <v>293</v>
      </c>
      <c r="E172" s="43" t="s">
        <v>310</v>
      </c>
      <c r="F172" s="43" t="s">
        <v>309</v>
      </c>
      <c r="G172" s="43" t="s">
        <v>232</v>
      </c>
      <c r="H172" s="43" t="s">
        <v>218</v>
      </c>
      <c r="I172" s="44">
        <v>45591</v>
      </c>
      <c r="J172" s="44">
        <v>45630</v>
      </c>
      <c r="K172" s="45">
        <v>9</v>
      </c>
      <c r="L172" s="45">
        <v>626.79309999999998</v>
      </c>
      <c r="M172" s="45">
        <v>1731.15</v>
      </c>
      <c r="N172" s="45">
        <v>0</v>
      </c>
      <c r="O172" s="45">
        <v>0</v>
      </c>
      <c r="P172" s="62">
        <f t="shared" si="3"/>
        <v>9</v>
      </c>
    </row>
    <row r="173" spans="1:16" x14ac:dyDescent="0.25">
      <c r="A173" s="43" t="s">
        <v>200</v>
      </c>
      <c r="B173" s="43" t="s">
        <v>291</v>
      </c>
      <c r="C173" s="43" t="s">
        <v>292</v>
      </c>
      <c r="D173" s="43" t="s">
        <v>293</v>
      </c>
      <c r="E173" s="43" t="s">
        <v>310</v>
      </c>
      <c r="F173" s="43" t="s">
        <v>309</v>
      </c>
      <c r="G173" s="43" t="s">
        <v>233</v>
      </c>
      <c r="H173" s="43" t="s">
        <v>218</v>
      </c>
      <c r="I173" s="44">
        <v>45591</v>
      </c>
      <c r="J173" s="44">
        <v>45630</v>
      </c>
      <c r="K173" s="45">
        <v>10</v>
      </c>
      <c r="L173" s="45">
        <v>697.29459999999995</v>
      </c>
      <c r="M173" s="45">
        <v>1877.13</v>
      </c>
      <c r="N173" s="45">
        <v>0</v>
      </c>
      <c r="O173" s="45">
        <v>0</v>
      </c>
      <c r="P173" s="62">
        <f t="shared" si="3"/>
        <v>10</v>
      </c>
    </row>
    <row r="174" spans="1:16" x14ac:dyDescent="0.25">
      <c r="A174" s="43" t="s">
        <v>200</v>
      </c>
      <c r="B174" s="43" t="s">
        <v>291</v>
      </c>
      <c r="C174" s="43" t="s">
        <v>292</v>
      </c>
      <c r="D174" s="43" t="s">
        <v>293</v>
      </c>
      <c r="E174" s="43" t="s">
        <v>310</v>
      </c>
      <c r="F174" s="43" t="s">
        <v>309</v>
      </c>
      <c r="G174" s="43" t="s">
        <v>234</v>
      </c>
      <c r="H174" s="43" t="s">
        <v>218</v>
      </c>
      <c r="I174" s="44">
        <v>45591</v>
      </c>
      <c r="J174" s="44">
        <v>45630</v>
      </c>
      <c r="K174" s="45">
        <v>5</v>
      </c>
      <c r="L174" s="45">
        <v>347.75360000000001</v>
      </c>
      <c r="M174" s="45">
        <v>938.56</v>
      </c>
      <c r="N174" s="45">
        <v>0</v>
      </c>
      <c r="O174" s="45">
        <v>0</v>
      </c>
      <c r="P174" s="62">
        <f t="shared" si="3"/>
        <v>5</v>
      </c>
    </row>
    <row r="175" spans="1:16" x14ac:dyDescent="0.25">
      <c r="A175" s="43" t="s">
        <v>200</v>
      </c>
      <c r="B175" s="43" t="s">
        <v>291</v>
      </c>
      <c r="C175" s="43" t="s">
        <v>292</v>
      </c>
      <c r="D175" s="43" t="s">
        <v>293</v>
      </c>
      <c r="E175" s="43" t="s">
        <v>310</v>
      </c>
      <c r="F175" s="43" t="s">
        <v>309</v>
      </c>
      <c r="G175" s="43" t="s">
        <v>259</v>
      </c>
      <c r="H175" s="43" t="s">
        <v>218</v>
      </c>
      <c r="I175" s="44">
        <v>45591</v>
      </c>
      <c r="J175" s="44">
        <v>45591</v>
      </c>
      <c r="K175" s="45">
        <v>2</v>
      </c>
      <c r="L175" s="45">
        <v>136.91419999999999</v>
      </c>
      <c r="M175" s="45">
        <v>375.42</v>
      </c>
      <c r="N175" s="45">
        <v>0</v>
      </c>
      <c r="O175" s="45">
        <v>0</v>
      </c>
      <c r="P175" s="62">
        <f t="shared" si="3"/>
        <v>2</v>
      </c>
    </row>
    <row r="176" spans="1:16" x14ac:dyDescent="0.25">
      <c r="A176" s="43" t="s">
        <v>200</v>
      </c>
      <c r="B176" s="43" t="s">
        <v>291</v>
      </c>
      <c r="C176" s="43" t="s">
        <v>292</v>
      </c>
      <c r="D176" s="43" t="s">
        <v>293</v>
      </c>
      <c r="E176" s="43" t="s">
        <v>310</v>
      </c>
      <c r="F176" s="43" t="s">
        <v>309</v>
      </c>
      <c r="G176" s="43" t="s">
        <v>296</v>
      </c>
      <c r="H176" s="43" t="s">
        <v>218</v>
      </c>
      <c r="I176" s="44">
        <v>45591</v>
      </c>
      <c r="J176" s="44">
        <v>45626</v>
      </c>
      <c r="K176" s="45">
        <v>3</v>
      </c>
      <c r="L176" s="45">
        <v>208.53559999999999</v>
      </c>
      <c r="M176" s="45">
        <v>583.99</v>
      </c>
      <c r="N176" s="45">
        <v>0</v>
      </c>
      <c r="O176" s="45">
        <v>0</v>
      </c>
      <c r="P176" s="62">
        <f t="shared" si="3"/>
        <v>3</v>
      </c>
    </row>
    <row r="177" spans="1:16" x14ac:dyDescent="0.25">
      <c r="A177" s="43" t="s">
        <v>200</v>
      </c>
      <c r="B177" s="43" t="s">
        <v>291</v>
      </c>
      <c r="C177" s="43" t="s">
        <v>292</v>
      </c>
      <c r="D177" s="43" t="s">
        <v>293</v>
      </c>
      <c r="E177" s="43" t="s">
        <v>311</v>
      </c>
      <c r="F177" s="43" t="s">
        <v>312</v>
      </c>
      <c r="G177" s="43" t="s">
        <v>232</v>
      </c>
      <c r="H177" s="43" t="s">
        <v>207</v>
      </c>
      <c r="I177" s="44">
        <v>45590</v>
      </c>
      <c r="J177" s="44">
        <v>45638</v>
      </c>
      <c r="K177" s="45">
        <v>25</v>
      </c>
      <c r="L177" s="45">
        <v>1678.6149</v>
      </c>
      <c r="M177" s="45">
        <v>4302.1499999999996</v>
      </c>
      <c r="N177" s="45">
        <v>4</v>
      </c>
      <c r="O177" s="45">
        <v>274.78519999999997</v>
      </c>
      <c r="P177" s="62">
        <f t="shared" si="3"/>
        <v>29</v>
      </c>
    </row>
    <row r="178" spans="1:16" x14ac:dyDescent="0.25">
      <c r="A178" s="43" t="s">
        <v>200</v>
      </c>
      <c r="B178" s="43" t="s">
        <v>291</v>
      </c>
      <c r="C178" s="43" t="s">
        <v>292</v>
      </c>
      <c r="D178" s="43" t="s">
        <v>293</v>
      </c>
      <c r="E178" s="43" t="s">
        <v>311</v>
      </c>
      <c r="F178" s="43" t="s">
        <v>312</v>
      </c>
      <c r="G178" s="43" t="s">
        <v>233</v>
      </c>
      <c r="H178" s="43" t="s">
        <v>207</v>
      </c>
      <c r="I178" s="44">
        <v>45590</v>
      </c>
      <c r="J178" s="44">
        <v>45638</v>
      </c>
      <c r="K178" s="45">
        <v>36</v>
      </c>
      <c r="L178" s="45">
        <v>2387.5376999999999</v>
      </c>
      <c r="M178" s="45">
        <v>6121.59</v>
      </c>
      <c r="N178" s="45">
        <v>11</v>
      </c>
      <c r="O178" s="45">
        <v>749.64890000000003</v>
      </c>
      <c r="P178" s="62">
        <f t="shared" si="3"/>
        <v>47</v>
      </c>
    </row>
    <row r="179" spans="1:16" x14ac:dyDescent="0.25">
      <c r="A179" s="43" t="s">
        <v>200</v>
      </c>
      <c r="B179" s="43" t="s">
        <v>291</v>
      </c>
      <c r="C179" s="43" t="s">
        <v>292</v>
      </c>
      <c r="D179" s="43" t="s">
        <v>293</v>
      </c>
      <c r="E179" s="43" t="s">
        <v>311</v>
      </c>
      <c r="F179" s="43" t="s">
        <v>312</v>
      </c>
      <c r="G179" s="43" t="s">
        <v>234</v>
      </c>
      <c r="H179" s="43" t="s">
        <v>207</v>
      </c>
      <c r="I179" s="44">
        <v>45590</v>
      </c>
      <c r="J179" s="44">
        <v>45591</v>
      </c>
      <c r="K179" s="45">
        <v>5</v>
      </c>
      <c r="L179" s="45">
        <v>328.46449999999999</v>
      </c>
      <c r="M179" s="45">
        <v>852.85</v>
      </c>
      <c r="N179" s="45">
        <v>0</v>
      </c>
      <c r="O179" s="45">
        <v>0</v>
      </c>
      <c r="P179" s="62">
        <f t="shared" si="3"/>
        <v>5</v>
      </c>
    </row>
    <row r="180" spans="1:16" x14ac:dyDescent="0.25">
      <c r="A180" s="43" t="s">
        <v>200</v>
      </c>
      <c r="B180" s="43" t="s">
        <v>291</v>
      </c>
      <c r="C180" s="43" t="s">
        <v>292</v>
      </c>
      <c r="D180" s="43" t="s">
        <v>293</v>
      </c>
      <c r="E180" s="43" t="s">
        <v>311</v>
      </c>
      <c r="F180" s="43" t="s">
        <v>312</v>
      </c>
      <c r="G180" s="43" t="s">
        <v>259</v>
      </c>
      <c r="H180" s="43" t="s">
        <v>207</v>
      </c>
      <c r="I180" s="44">
        <v>45590</v>
      </c>
      <c r="J180" s="44">
        <v>45624</v>
      </c>
      <c r="K180" s="45">
        <v>9</v>
      </c>
      <c r="L180" s="45">
        <v>601.48410000000001</v>
      </c>
      <c r="M180" s="45">
        <v>1535.14</v>
      </c>
      <c r="N180" s="45">
        <v>0</v>
      </c>
      <c r="O180" s="45">
        <v>0</v>
      </c>
      <c r="P180" s="62">
        <f t="shared" si="3"/>
        <v>9</v>
      </c>
    </row>
    <row r="181" spans="1:16" x14ac:dyDescent="0.25">
      <c r="A181" s="43" t="s">
        <v>200</v>
      </c>
      <c r="B181" s="43" t="s">
        <v>291</v>
      </c>
      <c r="C181" s="43" t="s">
        <v>292</v>
      </c>
      <c r="D181" s="43" t="s">
        <v>293</v>
      </c>
      <c r="E181" s="43" t="s">
        <v>311</v>
      </c>
      <c r="F181" s="43" t="s">
        <v>312</v>
      </c>
      <c r="G181" s="43" t="s">
        <v>296</v>
      </c>
      <c r="H181" s="43" t="s">
        <v>207</v>
      </c>
      <c r="I181" s="44">
        <v>45590</v>
      </c>
      <c r="J181" s="44">
        <v>45624</v>
      </c>
      <c r="K181" s="45">
        <v>3</v>
      </c>
      <c r="L181" s="45">
        <v>198.2174</v>
      </c>
      <c r="M181" s="45">
        <v>511.71</v>
      </c>
      <c r="N181" s="45">
        <v>0</v>
      </c>
      <c r="O181" s="45">
        <v>0</v>
      </c>
      <c r="P181" s="62">
        <f t="shared" si="3"/>
        <v>3</v>
      </c>
    </row>
    <row r="182" spans="1:16" x14ac:dyDescent="0.25">
      <c r="A182" s="43" t="s">
        <v>200</v>
      </c>
      <c r="B182" s="43" t="s">
        <v>291</v>
      </c>
      <c r="C182" s="43" t="s">
        <v>292</v>
      </c>
      <c r="D182" s="43" t="s">
        <v>293</v>
      </c>
      <c r="E182" s="43" t="s">
        <v>313</v>
      </c>
      <c r="F182" s="43" t="s">
        <v>312</v>
      </c>
      <c r="G182" s="43" t="s">
        <v>232</v>
      </c>
      <c r="H182" s="43" t="s">
        <v>207</v>
      </c>
      <c r="I182" s="44">
        <v>45590</v>
      </c>
      <c r="J182" s="44">
        <v>45639</v>
      </c>
      <c r="K182" s="45">
        <v>6</v>
      </c>
      <c r="L182" s="45">
        <v>398.42910000000001</v>
      </c>
      <c r="M182" s="45">
        <v>1023.34</v>
      </c>
      <c r="N182" s="45">
        <v>7</v>
      </c>
      <c r="O182" s="45">
        <v>476.07490000000001</v>
      </c>
      <c r="P182" s="62">
        <f t="shared" si="3"/>
        <v>13</v>
      </c>
    </row>
    <row r="183" spans="1:16" x14ac:dyDescent="0.25">
      <c r="A183" s="43" t="s">
        <v>200</v>
      </c>
      <c r="B183" s="43" t="s">
        <v>291</v>
      </c>
      <c r="C183" s="43" t="s">
        <v>292</v>
      </c>
      <c r="D183" s="43" t="s">
        <v>293</v>
      </c>
      <c r="E183" s="43" t="s">
        <v>313</v>
      </c>
      <c r="F183" s="43" t="s">
        <v>312</v>
      </c>
      <c r="G183" s="43" t="s">
        <v>233</v>
      </c>
      <c r="H183" s="43" t="s">
        <v>207</v>
      </c>
      <c r="I183" s="44">
        <v>45590</v>
      </c>
      <c r="J183" s="44">
        <v>45645</v>
      </c>
      <c r="K183" s="45">
        <v>11</v>
      </c>
      <c r="L183" s="45">
        <v>732.81119999999999</v>
      </c>
      <c r="M183" s="45">
        <v>1876.26</v>
      </c>
      <c r="N183" s="45">
        <v>6</v>
      </c>
      <c r="O183" s="45">
        <v>407.88</v>
      </c>
      <c r="P183" s="62">
        <f t="shared" si="3"/>
        <v>17</v>
      </c>
    </row>
    <row r="184" spans="1:16" x14ac:dyDescent="0.25">
      <c r="A184" s="43" t="s">
        <v>200</v>
      </c>
      <c r="B184" s="43" t="s">
        <v>291</v>
      </c>
      <c r="C184" s="43" t="s">
        <v>292</v>
      </c>
      <c r="D184" s="43" t="s">
        <v>293</v>
      </c>
      <c r="E184" s="43" t="s">
        <v>313</v>
      </c>
      <c r="F184" s="43" t="s">
        <v>312</v>
      </c>
      <c r="G184" s="43" t="s">
        <v>234</v>
      </c>
      <c r="H184" s="43" t="s">
        <v>207</v>
      </c>
      <c r="I184" s="44">
        <v>45590</v>
      </c>
      <c r="J184" s="44">
        <v>45631</v>
      </c>
      <c r="K184" s="45">
        <v>15</v>
      </c>
      <c r="L184" s="45">
        <v>1006.897</v>
      </c>
      <c r="M184" s="45">
        <v>2615.44</v>
      </c>
      <c r="N184" s="45">
        <v>2</v>
      </c>
      <c r="O184" s="45">
        <v>137.21039999999999</v>
      </c>
      <c r="P184" s="62">
        <f t="shared" si="3"/>
        <v>17</v>
      </c>
    </row>
    <row r="185" spans="1:16" x14ac:dyDescent="0.25">
      <c r="A185" s="43" t="s">
        <v>200</v>
      </c>
      <c r="B185" s="43" t="s">
        <v>291</v>
      </c>
      <c r="C185" s="43" t="s">
        <v>292</v>
      </c>
      <c r="D185" s="43" t="s">
        <v>293</v>
      </c>
      <c r="E185" s="43" t="s">
        <v>313</v>
      </c>
      <c r="F185" s="43" t="s">
        <v>312</v>
      </c>
      <c r="G185" s="43" t="s">
        <v>259</v>
      </c>
      <c r="H185" s="43" t="s">
        <v>207</v>
      </c>
      <c r="I185" s="44">
        <v>45590</v>
      </c>
      <c r="J185" s="44">
        <v>45638</v>
      </c>
      <c r="K185" s="45">
        <v>5</v>
      </c>
      <c r="L185" s="45">
        <v>331.50099999999998</v>
      </c>
      <c r="M185" s="45">
        <v>871.81</v>
      </c>
      <c r="N185" s="45">
        <v>3</v>
      </c>
      <c r="O185" s="45">
        <v>204.29040000000001</v>
      </c>
      <c r="P185" s="62">
        <f t="shared" si="3"/>
        <v>8</v>
      </c>
    </row>
    <row r="186" spans="1:16" x14ac:dyDescent="0.25">
      <c r="A186" s="43" t="s">
        <v>200</v>
      </c>
      <c r="B186" s="43" t="s">
        <v>291</v>
      </c>
      <c r="C186" s="43" t="s">
        <v>292</v>
      </c>
      <c r="D186" s="43" t="s">
        <v>293</v>
      </c>
      <c r="E186" s="43" t="s">
        <v>313</v>
      </c>
      <c r="F186" s="43" t="s">
        <v>312</v>
      </c>
      <c r="G186" s="43" t="s">
        <v>296</v>
      </c>
      <c r="H186" s="43" t="s">
        <v>207</v>
      </c>
      <c r="I186" s="44">
        <v>45590</v>
      </c>
      <c r="J186" s="44">
        <v>45590</v>
      </c>
      <c r="K186" s="45">
        <v>3</v>
      </c>
      <c r="L186" s="45">
        <v>197.0787</v>
      </c>
      <c r="M186" s="45">
        <v>530.66</v>
      </c>
      <c r="N186" s="45">
        <v>0</v>
      </c>
      <c r="O186" s="45">
        <v>0</v>
      </c>
      <c r="P186" s="62">
        <f t="shared" si="3"/>
        <v>3</v>
      </c>
    </row>
    <row r="187" spans="1:16" x14ac:dyDescent="0.25">
      <c r="A187" s="43" t="s">
        <v>200</v>
      </c>
      <c r="B187" s="43" t="s">
        <v>291</v>
      </c>
      <c r="C187" s="43" t="s">
        <v>292</v>
      </c>
      <c r="D187" s="43" t="s">
        <v>293</v>
      </c>
      <c r="E187" s="43" t="s">
        <v>314</v>
      </c>
      <c r="F187" s="43" t="s">
        <v>312</v>
      </c>
      <c r="G187" s="43" t="s">
        <v>232</v>
      </c>
      <c r="H187" s="43" t="s">
        <v>207</v>
      </c>
      <c r="I187" s="44">
        <v>45591</v>
      </c>
      <c r="J187" s="44">
        <v>45608</v>
      </c>
      <c r="K187" s="45">
        <v>1</v>
      </c>
      <c r="L187" s="45">
        <v>78.010199999999998</v>
      </c>
      <c r="M187" s="45">
        <v>213.43</v>
      </c>
      <c r="N187" s="45">
        <v>1</v>
      </c>
      <c r="O187" s="45">
        <v>78.010199999999998</v>
      </c>
      <c r="P187" s="62">
        <f t="shared" si="3"/>
        <v>2</v>
      </c>
    </row>
    <row r="188" spans="1:16" x14ac:dyDescent="0.25">
      <c r="A188" s="43" t="s">
        <v>200</v>
      </c>
      <c r="B188" s="43" t="s">
        <v>291</v>
      </c>
      <c r="C188" s="43" t="s">
        <v>292</v>
      </c>
      <c r="D188" s="43" t="s">
        <v>293</v>
      </c>
      <c r="E188" s="43" t="s">
        <v>314</v>
      </c>
      <c r="F188" s="43" t="s">
        <v>312</v>
      </c>
      <c r="G188" s="43" t="s">
        <v>233</v>
      </c>
      <c r="H188" s="43" t="s">
        <v>207</v>
      </c>
      <c r="I188" s="44">
        <v>45591</v>
      </c>
      <c r="J188" s="44">
        <v>45605</v>
      </c>
      <c r="K188" s="45">
        <v>3</v>
      </c>
      <c r="L188" s="45">
        <v>234.03059999999999</v>
      </c>
      <c r="M188" s="45">
        <v>640.29</v>
      </c>
      <c r="N188" s="45">
        <v>0</v>
      </c>
      <c r="O188" s="45">
        <v>0</v>
      </c>
      <c r="P188" s="62">
        <f t="shared" si="3"/>
        <v>3</v>
      </c>
    </row>
    <row r="189" spans="1:16" x14ac:dyDescent="0.25">
      <c r="A189" s="43" t="s">
        <v>200</v>
      </c>
      <c r="B189" s="43" t="s">
        <v>291</v>
      </c>
      <c r="C189" s="43" t="s">
        <v>292</v>
      </c>
      <c r="D189" s="43" t="s">
        <v>293</v>
      </c>
      <c r="E189" s="43" t="s">
        <v>314</v>
      </c>
      <c r="F189" s="43" t="s">
        <v>312</v>
      </c>
      <c r="G189" s="43" t="s">
        <v>234</v>
      </c>
      <c r="H189" s="43" t="s">
        <v>207</v>
      </c>
      <c r="I189" s="44">
        <v>45591</v>
      </c>
      <c r="J189" s="44">
        <v>45605</v>
      </c>
      <c r="K189" s="45">
        <v>3</v>
      </c>
      <c r="L189" s="45">
        <v>234.03059999999999</v>
      </c>
      <c r="M189" s="45">
        <v>640.29</v>
      </c>
      <c r="N189" s="45">
        <v>0</v>
      </c>
      <c r="O189" s="45">
        <v>0</v>
      </c>
      <c r="P189" s="62">
        <f t="shared" si="3"/>
        <v>3</v>
      </c>
    </row>
    <row r="190" spans="1:16" x14ac:dyDescent="0.25">
      <c r="A190" s="43" t="s">
        <v>200</v>
      </c>
      <c r="B190" s="43" t="s">
        <v>291</v>
      </c>
      <c r="C190" s="43" t="s">
        <v>292</v>
      </c>
      <c r="D190" s="43" t="s">
        <v>293</v>
      </c>
      <c r="E190" s="43" t="s">
        <v>315</v>
      </c>
      <c r="F190" s="43" t="s">
        <v>312</v>
      </c>
      <c r="G190" s="43" t="s">
        <v>232</v>
      </c>
      <c r="H190" s="43" t="s">
        <v>207</v>
      </c>
      <c r="I190" s="44">
        <v>45432</v>
      </c>
      <c r="J190" s="44">
        <v>45625</v>
      </c>
      <c r="K190" s="45">
        <v>37</v>
      </c>
      <c r="L190" s="45">
        <v>3230.5630999999998</v>
      </c>
      <c r="M190" s="45">
        <v>7944.32</v>
      </c>
      <c r="N190" s="45">
        <v>0</v>
      </c>
      <c r="O190" s="45">
        <v>0</v>
      </c>
      <c r="P190" s="62">
        <f t="shared" si="3"/>
        <v>37</v>
      </c>
    </row>
    <row r="191" spans="1:16" x14ac:dyDescent="0.25">
      <c r="A191" s="43" t="s">
        <v>200</v>
      </c>
      <c r="B191" s="43" t="s">
        <v>291</v>
      </c>
      <c r="C191" s="43" t="s">
        <v>292</v>
      </c>
      <c r="D191" s="43" t="s">
        <v>293</v>
      </c>
      <c r="E191" s="43" t="s">
        <v>315</v>
      </c>
      <c r="F191" s="43" t="s">
        <v>312</v>
      </c>
      <c r="G191" s="43" t="s">
        <v>233</v>
      </c>
      <c r="H191" s="43" t="s">
        <v>207</v>
      </c>
      <c r="I191" s="44">
        <v>45432</v>
      </c>
      <c r="J191" s="44">
        <v>45621</v>
      </c>
      <c r="K191" s="45">
        <v>40</v>
      </c>
      <c r="L191" s="45">
        <v>3468.6278000000002</v>
      </c>
      <c r="M191" s="45">
        <v>8406.7000000000007</v>
      </c>
      <c r="N191" s="45">
        <v>0</v>
      </c>
      <c r="O191" s="45">
        <v>0</v>
      </c>
      <c r="P191" s="62">
        <f t="shared" si="3"/>
        <v>40</v>
      </c>
    </row>
    <row r="192" spans="1:16" x14ac:dyDescent="0.25">
      <c r="A192" s="43" t="s">
        <v>200</v>
      </c>
      <c r="B192" s="43" t="s">
        <v>291</v>
      </c>
      <c r="C192" s="43" t="s">
        <v>292</v>
      </c>
      <c r="D192" s="43" t="s">
        <v>293</v>
      </c>
      <c r="E192" s="43" t="s">
        <v>315</v>
      </c>
      <c r="F192" s="43" t="s">
        <v>312</v>
      </c>
      <c r="G192" s="43" t="s">
        <v>234</v>
      </c>
      <c r="H192" s="43" t="s">
        <v>207</v>
      </c>
      <c r="I192" s="44">
        <v>45432</v>
      </c>
      <c r="J192" s="44">
        <v>45615</v>
      </c>
      <c r="K192" s="45">
        <v>25</v>
      </c>
      <c r="L192" s="45">
        <v>2155.5475000000001</v>
      </c>
      <c r="M192" s="45">
        <v>5335.74</v>
      </c>
      <c r="N192" s="45">
        <v>0</v>
      </c>
      <c r="O192" s="45">
        <v>0</v>
      </c>
      <c r="P192" s="62">
        <f t="shared" si="3"/>
        <v>25</v>
      </c>
    </row>
    <row r="193" spans="1:16" x14ac:dyDescent="0.25">
      <c r="A193" s="43" t="s">
        <v>200</v>
      </c>
      <c r="B193" s="43" t="s">
        <v>291</v>
      </c>
      <c r="C193" s="43" t="s">
        <v>292</v>
      </c>
      <c r="D193" s="43" t="s">
        <v>293</v>
      </c>
      <c r="E193" s="43" t="s">
        <v>315</v>
      </c>
      <c r="F193" s="43" t="s">
        <v>312</v>
      </c>
      <c r="G193" s="43" t="s">
        <v>259</v>
      </c>
      <c r="H193" s="43" t="s">
        <v>207</v>
      </c>
      <c r="I193" s="44">
        <v>45432</v>
      </c>
      <c r="J193" s="44">
        <v>45611</v>
      </c>
      <c r="K193" s="45">
        <v>11</v>
      </c>
      <c r="L193" s="45">
        <v>948.44090000000006</v>
      </c>
      <c r="M193" s="45">
        <v>2300.2800000000002</v>
      </c>
      <c r="N193" s="45">
        <v>0</v>
      </c>
      <c r="O193" s="45">
        <v>0</v>
      </c>
      <c r="P193" s="62">
        <f t="shared" si="3"/>
        <v>11</v>
      </c>
    </row>
    <row r="194" spans="1:16" x14ac:dyDescent="0.25">
      <c r="A194" s="43" t="s">
        <v>200</v>
      </c>
      <c r="B194" s="43" t="s">
        <v>291</v>
      </c>
      <c r="C194" s="43" t="s">
        <v>292</v>
      </c>
      <c r="D194" s="43" t="s">
        <v>293</v>
      </c>
      <c r="E194" s="43" t="s">
        <v>315</v>
      </c>
      <c r="F194" s="43" t="s">
        <v>312</v>
      </c>
      <c r="G194" s="43" t="s">
        <v>296</v>
      </c>
      <c r="H194" s="43" t="s">
        <v>207</v>
      </c>
      <c r="I194" s="44">
        <v>45432</v>
      </c>
      <c r="J194" s="44">
        <v>45608</v>
      </c>
      <c r="K194" s="45">
        <v>7</v>
      </c>
      <c r="L194" s="45">
        <v>603.55330000000004</v>
      </c>
      <c r="M194" s="45">
        <v>1446.58</v>
      </c>
      <c r="N194" s="45">
        <v>0</v>
      </c>
      <c r="O194" s="45">
        <v>0</v>
      </c>
      <c r="P194" s="62">
        <f t="shared" si="3"/>
        <v>7</v>
      </c>
    </row>
    <row r="195" spans="1:16" x14ac:dyDescent="0.25">
      <c r="A195" s="43" t="s">
        <v>200</v>
      </c>
      <c r="B195" s="43" t="s">
        <v>291</v>
      </c>
      <c r="C195" s="43" t="s">
        <v>292</v>
      </c>
      <c r="D195" s="43" t="s">
        <v>293</v>
      </c>
      <c r="E195" s="43" t="s">
        <v>316</v>
      </c>
      <c r="F195" s="43" t="s">
        <v>312</v>
      </c>
      <c r="G195" s="43" t="s">
        <v>232</v>
      </c>
      <c r="H195" s="43" t="s">
        <v>207</v>
      </c>
      <c r="I195" s="44">
        <v>45591</v>
      </c>
      <c r="J195" s="44">
        <v>45643</v>
      </c>
      <c r="K195" s="45">
        <v>21</v>
      </c>
      <c r="L195" s="45">
        <v>1838.0512000000001</v>
      </c>
      <c r="M195" s="45">
        <v>4576.88</v>
      </c>
      <c r="N195" s="45">
        <v>7</v>
      </c>
      <c r="O195" s="45">
        <v>625.48080000000004</v>
      </c>
      <c r="P195" s="62">
        <f t="shared" si="3"/>
        <v>28</v>
      </c>
    </row>
    <row r="196" spans="1:16" x14ac:dyDescent="0.25">
      <c r="A196" s="43" t="s">
        <v>200</v>
      </c>
      <c r="B196" s="43" t="s">
        <v>291</v>
      </c>
      <c r="C196" s="43" t="s">
        <v>292</v>
      </c>
      <c r="D196" s="43" t="s">
        <v>293</v>
      </c>
      <c r="E196" s="43" t="s">
        <v>316</v>
      </c>
      <c r="F196" s="43" t="s">
        <v>312</v>
      </c>
      <c r="G196" s="43" t="s">
        <v>233</v>
      </c>
      <c r="H196" s="43" t="s">
        <v>207</v>
      </c>
      <c r="I196" s="44">
        <v>45591</v>
      </c>
      <c r="J196" s="44">
        <v>45643</v>
      </c>
      <c r="K196" s="45">
        <v>23</v>
      </c>
      <c r="L196" s="45">
        <v>2012.0655999999999</v>
      </c>
      <c r="M196" s="45">
        <v>4980.0200000000004</v>
      </c>
      <c r="N196" s="45">
        <v>13</v>
      </c>
      <c r="O196" s="45">
        <v>1163.6599000000001</v>
      </c>
      <c r="P196" s="62">
        <f t="shared" si="3"/>
        <v>36</v>
      </c>
    </row>
    <row r="197" spans="1:16" x14ac:dyDescent="0.25">
      <c r="A197" s="43" t="s">
        <v>200</v>
      </c>
      <c r="B197" s="43" t="s">
        <v>291</v>
      </c>
      <c r="C197" s="43" t="s">
        <v>292</v>
      </c>
      <c r="D197" s="43" t="s">
        <v>293</v>
      </c>
      <c r="E197" s="43" t="s">
        <v>316</v>
      </c>
      <c r="F197" s="43" t="s">
        <v>312</v>
      </c>
      <c r="G197" s="43" t="s">
        <v>234</v>
      </c>
      <c r="H197" s="43" t="s">
        <v>207</v>
      </c>
      <c r="I197" s="44">
        <v>45591</v>
      </c>
      <c r="J197" s="44">
        <v>45625</v>
      </c>
      <c r="K197" s="45">
        <v>20</v>
      </c>
      <c r="L197" s="45">
        <v>1750.5877</v>
      </c>
      <c r="M197" s="45">
        <v>4292.3</v>
      </c>
      <c r="N197" s="45">
        <v>2</v>
      </c>
      <c r="O197" s="45">
        <v>177.6788</v>
      </c>
      <c r="P197" s="62">
        <f t="shared" si="3"/>
        <v>22</v>
      </c>
    </row>
    <row r="198" spans="1:16" x14ac:dyDescent="0.25">
      <c r="A198" s="43" t="s">
        <v>200</v>
      </c>
      <c r="B198" s="43" t="s">
        <v>291</v>
      </c>
      <c r="C198" s="43" t="s">
        <v>292</v>
      </c>
      <c r="D198" s="43" t="s">
        <v>293</v>
      </c>
      <c r="E198" s="43" t="s">
        <v>316</v>
      </c>
      <c r="F198" s="43" t="s">
        <v>312</v>
      </c>
      <c r="G198" s="43" t="s">
        <v>259</v>
      </c>
      <c r="H198" s="43" t="s">
        <v>207</v>
      </c>
      <c r="I198" s="44">
        <v>45591</v>
      </c>
      <c r="J198" s="44">
        <v>45608</v>
      </c>
      <c r="K198" s="45">
        <v>6</v>
      </c>
      <c r="L198" s="45">
        <v>517.33140000000003</v>
      </c>
      <c r="M198" s="45">
        <v>1280.58</v>
      </c>
      <c r="N198" s="45">
        <v>0</v>
      </c>
      <c r="O198" s="45">
        <v>0</v>
      </c>
      <c r="P198" s="62">
        <f t="shared" si="3"/>
        <v>6</v>
      </c>
    </row>
    <row r="199" spans="1:16" x14ac:dyDescent="0.25">
      <c r="A199" s="43" t="s">
        <v>200</v>
      </c>
      <c r="B199" s="43" t="s">
        <v>291</v>
      </c>
      <c r="C199" s="43" t="s">
        <v>292</v>
      </c>
      <c r="D199" s="43" t="s">
        <v>293</v>
      </c>
      <c r="E199" s="43" t="s">
        <v>316</v>
      </c>
      <c r="F199" s="43" t="s">
        <v>312</v>
      </c>
      <c r="G199" s="43" t="s">
        <v>296</v>
      </c>
      <c r="H199" s="43" t="s">
        <v>207</v>
      </c>
      <c r="I199" s="44">
        <v>45591</v>
      </c>
      <c r="J199" s="44">
        <v>45591</v>
      </c>
      <c r="K199" s="45">
        <v>3</v>
      </c>
      <c r="L199" s="45">
        <v>258.66570000000002</v>
      </c>
      <c r="M199" s="45">
        <v>628.38</v>
      </c>
      <c r="N199" s="45">
        <v>0</v>
      </c>
      <c r="O199" s="45">
        <v>0</v>
      </c>
      <c r="P199" s="62">
        <f t="shared" si="3"/>
        <v>3</v>
      </c>
    </row>
    <row r="200" spans="1:16" x14ac:dyDescent="0.25">
      <c r="A200" s="43" t="s">
        <v>200</v>
      </c>
      <c r="B200" s="43" t="s">
        <v>291</v>
      </c>
      <c r="C200" s="43" t="s">
        <v>292</v>
      </c>
      <c r="D200" s="43" t="s">
        <v>293</v>
      </c>
      <c r="E200" s="43" t="s">
        <v>317</v>
      </c>
      <c r="F200" s="43" t="s">
        <v>312</v>
      </c>
      <c r="G200" s="43" t="s">
        <v>232</v>
      </c>
      <c r="H200" s="43" t="s">
        <v>207</v>
      </c>
      <c r="I200" s="44">
        <v>45590</v>
      </c>
      <c r="J200" s="44">
        <v>45638</v>
      </c>
      <c r="K200" s="45">
        <v>16</v>
      </c>
      <c r="L200" s="45">
        <v>1255.1585</v>
      </c>
      <c r="M200" s="45">
        <v>3414.86</v>
      </c>
      <c r="N200" s="45">
        <v>10</v>
      </c>
      <c r="O200" s="45">
        <v>801.50699999999995</v>
      </c>
      <c r="P200" s="62">
        <f t="shared" ref="P200:P263" si="4">K200+N200</f>
        <v>26</v>
      </c>
    </row>
    <row r="201" spans="1:16" x14ac:dyDescent="0.25">
      <c r="A201" s="43" t="s">
        <v>200</v>
      </c>
      <c r="B201" s="43" t="s">
        <v>291</v>
      </c>
      <c r="C201" s="43" t="s">
        <v>292</v>
      </c>
      <c r="D201" s="43" t="s">
        <v>293</v>
      </c>
      <c r="E201" s="43" t="s">
        <v>317</v>
      </c>
      <c r="F201" s="43" t="s">
        <v>312</v>
      </c>
      <c r="G201" s="43" t="s">
        <v>233</v>
      </c>
      <c r="H201" s="43" t="s">
        <v>207</v>
      </c>
      <c r="I201" s="44">
        <v>45590</v>
      </c>
      <c r="J201" s="44">
        <v>45636</v>
      </c>
      <c r="K201" s="45">
        <v>21</v>
      </c>
      <c r="L201" s="45">
        <v>1658.4412</v>
      </c>
      <c r="M201" s="45">
        <v>4576.8599999999997</v>
      </c>
      <c r="N201" s="45">
        <v>12</v>
      </c>
      <c r="O201" s="45">
        <v>968.63040000000001</v>
      </c>
      <c r="P201" s="62">
        <f t="shared" si="4"/>
        <v>33</v>
      </c>
    </row>
    <row r="202" spans="1:16" x14ac:dyDescent="0.25">
      <c r="A202" s="43" t="s">
        <v>200</v>
      </c>
      <c r="B202" s="43" t="s">
        <v>291</v>
      </c>
      <c r="C202" s="43" t="s">
        <v>292</v>
      </c>
      <c r="D202" s="43" t="s">
        <v>293</v>
      </c>
      <c r="E202" s="43" t="s">
        <v>317</v>
      </c>
      <c r="F202" s="43" t="s">
        <v>312</v>
      </c>
      <c r="G202" s="43" t="s">
        <v>234</v>
      </c>
      <c r="H202" s="43" t="s">
        <v>207</v>
      </c>
      <c r="I202" s="44">
        <v>45591</v>
      </c>
      <c r="J202" s="44">
        <v>45608</v>
      </c>
      <c r="K202" s="45">
        <v>8</v>
      </c>
      <c r="L202" s="45">
        <v>624.08240000000001</v>
      </c>
      <c r="M202" s="45">
        <v>1707.43</v>
      </c>
      <c r="N202" s="45">
        <v>0</v>
      </c>
      <c r="O202" s="45">
        <v>0</v>
      </c>
      <c r="P202" s="62">
        <f t="shared" si="4"/>
        <v>8</v>
      </c>
    </row>
    <row r="203" spans="1:16" x14ac:dyDescent="0.25">
      <c r="A203" s="43" t="s">
        <v>200</v>
      </c>
      <c r="B203" s="43" t="s">
        <v>291</v>
      </c>
      <c r="C203" s="43" t="s">
        <v>292</v>
      </c>
      <c r="D203" s="43" t="s">
        <v>293</v>
      </c>
      <c r="E203" s="43" t="s">
        <v>317</v>
      </c>
      <c r="F203" s="43" t="s">
        <v>312</v>
      </c>
      <c r="G203" s="43" t="s">
        <v>259</v>
      </c>
      <c r="H203" s="43" t="s">
        <v>207</v>
      </c>
      <c r="I203" s="44">
        <v>45590</v>
      </c>
      <c r="J203" s="44">
        <v>45608</v>
      </c>
      <c r="K203" s="45">
        <v>7</v>
      </c>
      <c r="L203" s="45">
        <v>546.07209999999998</v>
      </c>
      <c r="M203" s="45">
        <v>1517.71</v>
      </c>
      <c r="N203" s="45">
        <v>0</v>
      </c>
      <c r="O203" s="45">
        <v>0</v>
      </c>
      <c r="P203" s="62">
        <f t="shared" si="4"/>
        <v>7</v>
      </c>
    </row>
    <row r="204" spans="1:16" x14ac:dyDescent="0.25">
      <c r="A204" s="43" t="s">
        <v>200</v>
      </c>
      <c r="B204" s="43" t="s">
        <v>291</v>
      </c>
      <c r="C204" s="43" t="s">
        <v>292</v>
      </c>
      <c r="D204" s="43" t="s">
        <v>293</v>
      </c>
      <c r="E204" s="43" t="s">
        <v>317</v>
      </c>
      <c r="F204" s="43" t="s">
        <v>312</v>
      </c>
      <c r="G204" s="43" t="s">
        <v>296</v>
      </c>
      <c r="H204" s="43" t="s">
        <v>207</v>
      </c>
      <c r="I204" s="44">
        <v>45590</v>
      </c>
      <c r="J204" s="44">
        <v>45590</v>
      </c>
      <c r="K204" s="45">
        <v>4</v>
      </c>
      <c r="L204" s="45">
        <v>312.0412</v>
      </c>
      <c r="M204" s="45">
        <v>853.72</v>
      </c>
      <c r="N204" s="45">
        <v>0</v>
      </c>
      <c r="O204" s="45">
        <v>0</v>
      </c>
      <c r="P204" s="62">
        <f t="shared" si="4"/>
        <v>4</v>
      </c>
    </row>
    <row r="205" spans="1:16" x14ac:dyDescent="0.25">
      <c r="A205" s="43" t="s">
        <v>200</v>
      </c>
      <c r="B205" s="43" t="s">
        <v>291</v>
      </c>
      <c r="C205" s="43" t="s">
        <v>292</v>
      </c>
      <c r="D205" s="43" t="s">
        <v>293</v>
      </c>
      <c r="E205" s="43" t="s">
        <v>318</v>
      </c>
      <c r="F205" s="43" t="s">
        <v>312</v>
      </c>
      <c r="G205" s="43" t="s">
        <v>232</v>
      </c>
      <c r="H205" s="43" t="s">
        <v>207</v>
      </c>
      <c r="I205" s="44">
        <v>45590</v>
      </c>
      <c r="J205" s="44">
        <v>45622</v>
      </c>
      <c r="K205" s="45">
        <v>23</v>
      </c>
      <c r="L205" s="45">
        <v>1823.7284999999999</v>
      </c>
      <c r="M205" s="45">
        <v>4908.8900000000003</v>
      </c>
      <c r="N205" s="45">
        <v>1</v>
      </c>
      <c r="O205" s="45">
        <v>80.971599999999995</v>
      </c>
      <c r="P205" s="62">
        <f t="shared" si="4"/>
        <v>24</v>
      </c>
    </row>
    <row r="206" spans="1:16" x14ac:dyDescent="0.25">
      <c r="A206" s="43" t="s">
        <v>200</v>
      </c>
      <c r="B206" s="43" t="s">
        <v>291</v>
      </c>
      <c r="C206" s="43" t="s">
        <v>292</v>
      </c>
      <c r="D206" s="43" t="s">
        <v>293</v>
      </c>
      <c r="E206" s="43" t="s">
        <v>318</v>
      </c>
      <c r="F206" s="43" t="s">
        <v>312</v>
      </c>
      <c r="G206" s="43" t="s">
        <v>233</v>
      </c>
      <c r="H206" s="43" t="s">
        <v>207</v>
      </c>
      <c r="I206" s="44">
        <v>45591</v>
      </c>
      <c r="J206" s="44">
        <v>45635</v>
      </c>
      <c r="K206" s="45">
        <v>28</v>
      </c>
      <c r="L206" s="45">
        <v>2219.0936000000002</v>
      </c>
      <c r="M206" s="45">
        <v>6023.42</v>
      </c>
      <c r="N206" s="45">
        <v>9</v>
      </c>
      <c r="O206" s="45">
        <v>728.13509999999997</v>
      </c>
      <c r="P206" s="62">
        <f t="shared" si="4"/>
        <v>37</v>
      </c>
    </row>
    <row r="207" spans="1:16" x14ac:dyDescent="0.25">
      <c r="A207" s="43" t="s">
        <v>200</v>
      </c>
      <c r="B207" s="43" t="s">
        <v>291</v>
      </c>
      <c r="C207" s="43" t="s">
        <v>292</v>
      </c>
      <c r="D207" s="43" t="s">
        <v>293</v>
      </c>
      <c r="E207" s="43" t="s">
        <v>318</v>
      </c>
      <c r="F207" s="43" t="s">
        <v>312</v>
      </c>
      <c r="G207" s="43" t="s">
        <v>234</v>
      </c>
      <c r="H207" s="43" t="s">
        <v>207</v>
      </c>
      <c r="I207" s="44">
        <v>45591</v>
      </c>
      <c r="J207" s="44">
        <v>45614</v>
      </c>
      <c r="K207" s="45">
        <v>17</v>
      </c>
      <c r="L207" s="45">
        <v>1326.1750999999999</v>
      </c>
      <c r="M207" s="45">
        <v>3663.8</v>
      </c>
      <c r="N207" s="45">
        <v>0</v>
      </c>
      <c r="O207" s="45">
        <v>0</v>
      </c>
      <c r="P207" s="62">
        <f t="shared" si="4"/>
        <v>17</v>
      </c>
    </row>
    <row r="208" spans="1:16" x14ac:dyDescent="0.25">
      <c r="A208" s="43" t="s">
        <v>200</v>
      </c>
      <c r="B208" s="43" t="s">
        <v>291</v>
      </c>
      <c r="C208" s="43" t="s">
        <v>292</v>
      </c>
      <c r="D208" s="43" t="s">
        <v>293</v>
      </c>
      <c r="E208" s="43" t="s">
        <v>318</v>
      </c>
      <c r="F208" s="43" t="s">
        <v>312</v>
      </c>
      <c r="G208" s="43" t="s">
        <v>259</v>
      </c>
      <c r="H208" s="43" t="s">
        <v>207</v>
      </c>
      <c r="I208" s="44">
        <v>45590</v>
      </c>
      <c r="J208" s="44">
        <v>45590</v>
      </c>
      <c r="K208" s="45">
        <v>4</v>
      </c>
      <c r="L208" s="45">
        <v>312.0412</v>
      </c>
      <c r="M208" s="45">
        <v>853.72</v>
      </c>
      <c r="N208" s="45">
        <v>0</v>
      </c>
      <c r="O208" s="45">
        <v>0</v>
      </c>
      <c r="P208" s="62">
        <f t="shared" si="4"/>
        <v>4</v>
      </c>
    </row>
    <row r="209" spans="1:16" x14ac:dyDescent="0.25">
      <c r="A209" s="43" t="s">
        <v>200</v>
      </c>
      <c r="B209" s="43" t="s">
        <v>291</v>
      </c>
      <c r="C209" s="43" t="s">
        <v>292</v>
      </c>
      <c r="D209" s="43" t="s">
        <v>293</v>
      </c>
      <c r="E209" s="43" t="s">
        <v>318</v>
      </c>
      <c r="F209" s="43" t="s">
        <v>312</v>
      </c>
      <c r="G209" s="43" t="s">
        <v>296</v>
      </c>
      <c r="H209" s="43" t="s">
        <v>207</v>
      </c>
      <c r="I209" s="44">
        <v>45591</v>
      </c>
      <c r="J209" s="44">
        <v>45591</v>
      </c>
      <c r="K209" s="45">
        <v>4</v>
      </c>
      <c r="L209" s="45">
        <v>312.0412</v>
      </c>
      <c r="M209" s="45">
        <v>853.72</v>
      </c>
      <c r="N209" s="45">
        <v>0</v>
      </c>
      <c r="O209" s="45">
        <v>0</v>
      </c>
      <c r="P209" s="62">
        <f t="shared" si="4"/>
        <v>4</v>
      </c>
    </row>
    <row r="210" spans="1:16" x14ac:dyDescent="0.25">
      <c r="A210" s="43" t="s">
        <v>200</v>
      </c>
      <c r="B210" s="43" t="s">
        <v>291</v>
      </c>
      <c r="C210" s="43" t="s">
        <v>292</v>
      </c>
      <c r="D210" s="43" t="s">
        <v>293</v>
      </c>
      <c r="E210" s="43" t="s">
        <v>319</v>
      </c>
      <c r="F210" s="43" t="s">
        <v>312</v>
      </c>
      <c r="G210" s="43" t="s">
        <v>232</v>
      </c>
      <c r="H210" s="43" t="s">
        <v>207</v>
      </c>
      <c r="I210" s="44">
        <v>45576</v>
      </c>
      <c r="J210" s="44">
        <v>45610</v>
      </c>
      <c r="K210" s="45">
        <v>4</v>
      </c>
      <c r="L210" s="45">
        <v>262.77159999999998</v>
      </c>
      <c r="M210" s="45">
        <v>682.29</v>
      </c>
      <c r="N210" s="45">
        <v>1</v>
      </c>
      <c r="O210" s="45">
        <v>65.692899999999995</v>
      </c>
      <c r="P210" s="62">
        <f t="shared" si="4"/>
        <v>5</v>
      </c>
    </row>
    <row r="211" spans="1:16" x14ac:dyDescent="0.25">
      <c r="A211" s="43" t="s">
        <v>200</v>
      </c>
      <c r="B211" s="43" t="s">
        <v>291</v>
      </c>
      <c r="C211" s="43" t="s">
        <v>292</v>
      </c>
      <c r="D211" s="43" t="s">
        <v>293</v>
      </c>
      <c r="E211" s="43" t="s">
        <v>319</v>
      </c>
      <c r="F211" s="43" t="s">
        <v>312</v>
      </c>
      <c r="G211" s="43" t="s">
        <v>233</v>
      </c>
      <c r="H211" s="43" t="s">
        <v>207</v>
      </c>
      <c r="I211" s="44">
        <v>45576</v>
      </c>
      <c r="J211" s="44">
        <v>45616</v>
      </c>
      <c r="K211" s="45">
        <v>15</v>
      </c>
      <c r="L211" s="45">
        <v>989.49270000000001</v>
      </c>
      <c r="M211" s="45">
        <v>2577.52</v>
      </c>
      <c r="N211" s="45">
        <v>0</v>
      </c>
      <c r="O211" s="45">
        <v>0</v>
      </c>
      <c r="P211" s="62">
        <f t="shared" si="4"/>
        <v>15</v>
      </c>
    </row>
    <row r="212" spans="1:16" x14ac:dyDescent="0.25">
      <c r="A212" s="43" t="s">
        <v>200</v>
      </c>
      <c r="B212" s="43" t="s">
        <v>291</v>
      </c>
      <c r="C212" s="43" t="s">
        <v>292</v>
      </c>
      <c r="D212" s="43" t="s">
        <v>293</v>
      </c>
      <c r="E212" s="43" t="s">
        <v>319</v>
      </c>
      <c r="F212" s="43" t="s">
        <v>312</v>
      </c>
      <c r="G212" s="43" t="s">
        <v>234</v>
      </c>
      <c r="H212" s="43" t="s">
        <v>207</v>
      </c>
      <c r="I212" s="44">
        <v>45576</v>
      </c>
      <c r="J212" s="44">
        <v>45624</v>
      </c>
      <c r="K212" s="45">
        <v>10</v>
      </c>
      <c r="L212" s="45">
        <v>674.00909999999999</v>
      </c>
      <c r="M212" s="45">
        <v>1743.62</v>
      </c>
      <c r="N212" s="45">
        <v>0</v>
      </c>
      <c r="O212" s="45">
        <v>0</v>
      </c>
      <c r="P212" s="62">
        <f t="shared" si="4"/>
        <v>10</v>
      </c>
    </row>
    <row r="213" spans="1:16" x14ac:dyDescent="0.25">
      <c r="A213" s="43" t="s">
        <v>200</v>
      </c>
      <c r="B213" s="43" t="s">
        <v>291</v>
      </c>
      <c r="C213" s="43" t="s">
        <v>292</v>
      </c>
      <c r="D213" s="43" t="s">
        <v>293</v>
      </c>
      <c r="E213" s="43" t="s">
        <v>319</v>
      </c>
      <c r="F213" s="43" t="s">
        <v>312</v>
      </c>
      <c r="G213" s="43" t="s">
        <v>296</v>
      </c>
      <c r="H213" s="43" t="s">
        <v>207</v>
      </c>
      <c r="I213" s="44">
        <v>45591</v>
      </c>
      <c r="J213" s="44">
        <v>45616</v>
      </c>
      <c r="K213" s="45">
        <v>5</v>
      </c>
      <c r="L213" s="45">
        <v>331.88049999999998</v>
      </c>
      <c r="M213" s="45">
        <v>833.91</v>
      </c>
      <c r="N213" s="45">
        <v>0</v>
      </c>
      <c r="O213" s="45">
        <v>0</v>
      </c>
      <c r="P213" s="62">
        <f t="shared" si="4"/>
        <v>5</v>
      </c>
    </row>
    <row r="214" spans="1:16" x14ac:dyDescent="0.25">
      <c r="A214" s="43" t="s">
        <v>200</v>
      </c>
      <c r="B214" s="43" t="s">
        <v>291</v>
      </c>
      <c r="C214" s="43" t="s">
        <v>292</v>
      </c>
      <c r="D214" s="43" t="s">
        <v>293</v>
      </c>
      <c r="E214" s="43" t="s">
        <v>320</v>
      </c>
      <c r="F214" s="43" t="s">
        <v>312</v>
      </c>
      <c r="G214" s="43" t="s">
        <v>232</v>
      </c>
      <c r="H214" s="43" t="s">
        <v>207</v>
      </c>
      <c r="I214" s="44">
        <v>45432</v>
      </c>
      <c r="J214" s="44">
        <v>45626</v>
      </c>
      <c r="K214" s="45">
        <v>18</v>
      </c>
      <c r="L214" s="45">
        <v>1189.6429000000001</v>
      </c>
      <c r="M214" s="45">
        <v>3089.23</v>
      </c>
      <c r="N214" s="45">
        <v>7</v>
      </c>
      <c r="O214" s="45">
        <v>476.5915</v>
      </c>
      <c r="P214" s="62">
        <f t="shared" si="4"/>
        <v>25</v>
      </c>
    </row>
    <row r="215" spans="1:16" x14ac:dyDescent="0.25">
      <c r="A215" s="43" t="s">
        <v>200</v>
      </c>
      <c r="B215" s="43" t="s">
        <v>291</v>
      </c>
      <c r="C215" s="43" t="s">
        <v>292</v>
      </c>
      <c r="D215" s="43" t="s">
        <v>293</v>
      </c>
      <c r="E215" s="43" t="s">
        <v>320</v>
      </c>
      <c r="F215" s="43" t="s">
        <v>312</v>
      </c>
      <c r="G215" s="43" t="s">
        <v>233</v>
      </c>
      <c r="H215" s="43" t="s">
        <v>207</v>
      </c>
      <c r="I215" s="44">
        <v>45432</v>
      </c>
      <c r="J215" s="44">
        <v>45622</v>
      </c>
      <c r="K215" s="45">
        <v>17</v>
      </c>
      <c r="L215" s="45">
        <v>1118.5929000000001</v>
      </c>
      <c r="M215" s="45">
        <v>2861.81</v>
      </c>
      <c r="N215" s="45">
        <v>9</v>
      </c>
      <c r="O215" s="45">
        <v>603.08730000000003</v>
      </c>
      <c r="P215" s="62">
        <f t="shared" si="4"/>
        <v>26</v>
      </c>
    </row>
    <row r="216" spans="1:16" x14ac:dyDescent="0.25">
      <c r="A216" s="43" t="s">
        <v>200</v>
      </c>
      <c r="B216" s="43" t="s">
        <v>291</v>
      </c>
      <c r="C216" s="43" t="s">
        <v>292</v>
      </c>
      <c r="D216" s="43" t="s">
        <v>293</v>
      </c>
      <c r="E216" s="43" t="s">
        <v>320</v>
      </c>
      <c r="F216" s="43" t="s">
        <v>312</v>
      </c>
      <c r="G216" s="43" t="s">
        <v>234</v>
      </c>
      <c r="H216" s="43" t="s">
        <v>207</v>
      </c>
      <c r="I216" s="44">
        <v>45432</v>
      </c>
      <c r="J216" s="44">
        <v>45615</v>
      </c>
      <c r="K216" s="45">
        <v>15</v>
      </c>
      <c r="L216" s="45">
        <v>985.39350000000002</v>
      </c>
      <c r="M216" s="45">
        <v>2539.59</v>
      </c>
      <c r="N216" s="45">
        <v>0</v>
      </c>
      <c r="O216" s="45">
        <v>0</v>
      </c>
      <c r="P216" s="62">
        <f t="shared" si="4"/>
        <v>15</v>
      </c>
    </row>
    <row r="217" spans="1:16" x14ac:dyDescent="0.25">
      <c r="A217" s="43" t="s">
        <v>200</v>
      </c>
      <c r="B217" s="43" t="s">
        <v>291</v>
      </c>
      <c r="C217" s="43" t="s">
        <v>292</v>
      </c>
      <c r="D217" s="43" t="s">
        <v>293</v>
      </c>
      <c r="E217" s="43" t="s">
        <v>320</v>
      </c>
      <c r="F217" s="43" t="s">
        <v>312</v>
      </c>
      <c r="G217" s="43" t="s">
        <v>259</v>
      </c>
      <c r="H217" s="43" t="s">
        <v>207</v>
      </c>
      <c r="I217" s="44">
        <v>45432</v>
      </c>
      <c r="J217" s="44">
        <v>45591</v>
      </c>
      <c r="K217" s="45">
        <v>1</v>
      </c>
      <c r="L217" s="45">
        <v>65.692899999999995</v>
      </c>
      <c r="M217" s="45">
        <v>170.57</v>
      </c>
      <c r="N217" s="45">
        <v>0</v>
      </c>
      <c r="O217" s="45">
        <v>0</v>
      </c>
      <c r="P217" s="62">
        <f t="shared" si="4"/>
        <v>1</v>
      </c>
    </row>
    <row r="218" spans="1:16" x14ac:dyDescent="0.25">
      <c r="A218" s="43" t="s">
        <v>200</v>
      </c>
      <c r="B218" s="43" t="s">
        <v>291</v>
      </c>
      <c r="C218" s="43" t="s">
        <v>292</v>
      </c>
      <c r="D218" s="43" t="s">
        <v>293</v>
      </c>
      <c r="E218" s="43" t="s">
        <v>320</v>
      </c>
      <c r="F218" s="43" t="s">
        <v>312</v>
      </c>
      <c r="G218" s="43" t="s">
        <v>296</v>
      </c>
      <c r="H218" s="43" t="s">
        <v>207</v>
      </c>
      <c r="I218" s="44">
        <v>45432</v>
      </c>
      <c r="J218" s="44">
        <v>45605</v>
      </c>
      <c r="K218" s="45">
        <v>3</v>
      </c>
      <c r="L218" s="45">
        <v>197.0787</v>
      </c>
      <c r="M218" s="45">
        <v>530.66</v>
      </c>
      <c r="N218" s="45">
        <v>0</v>
      </c>
      <c r="O218" s="45">
        <v>0</v>
      </c>
      <c r="P218" s="62">
        <f t="shared" si="4"/>
        <v>3</v>
      </c>
    </row>
    <row r="219" spans="1:16" x14ac:dyDescent="0.25">
      <c r="A219" s="43" t="s">
        <v>200</v>
      </c>
      <c r="B219" s="43" t="s">
        <v>291</v>
      </c>
      <c r="C219" s="43" t="s">
        <v>292</v>
      </c>
      <c r="D219" s="43" t="s">
        <v>293</v>
      </c>
      <c r="E219" s="43" t="s">
        <v>321</v>
      </c>
      <c r="F219" s="43" t="s">
        <v>312</v>
      </c>
      <c r="G219" s="43" t="s">
        <v>232</v>
      </c>
      <c r="H219" s="43" t="s">
        <v>207</v>
      </c>
      <c r="I219" s="44">
        <v>45591</v>
      </c>
      <c r="J219" s="44">
        <v>45608</v>
      </c>
      <c r="K219" s="45">
        <v>10</v>
      </c>
      <c r="L219" s="45">
        <v>862.21900000000005</v>
      </c>
      <c r="M219" s="45">
        <v>2158.0100000000002</v>
      </c>
      <c r="N219" s="45">
        <v>0</v>
      </c>
      <c r="O219" s="45">
        <v>0</v>
      </c>
      <c r="P219" s="62">
        <f t="shared" si="4"/>
        <v>10</v>
      </c>
    </row>
    <row r="220" spans="1:16" x14ac:dyDescent="0.25">
      <c r="A220" s="43" t="s">
        <v>200</v>
      </c>
      <c r="B220" s="43" t="s">
        <v>291</v>
      </c>
      <c r="C220" s="43" t="s">
        <v>292</v>
      </c>
      <c r="D220" s="43" t="s">
        <v>293</v>
      </c>
      <c r="E220" s="43" t="s">
        <v>321</v>
      </c>
      <c r="F220" s="43" t="s">
        <v>312</v>
      </c>
      <c r="G220" s="43" t="s">
        <v>233</v>
      </c>
      <c r="H220" s="43" t="s">
        <v>207</v>
      </c>
      <c r="I220" s="44">
        <v>45591</v>
      </c>
      <c r="J220" s="44">
        <v>45630</v>
      </c>
      <c r="K220" s="45">
        <v>16</v>
      </c>
      <c r="L220" s="45">
        <v>1392.1865</v>
      </c>
      <c r="M220" s="45">
        <v>3414.88</v>
      </c>
      <c r="N220" s="45">
        <v>4</v>
      </c>
      <c r="O220" s="45">
        <v>354.24</v>
      </c>
      <c r="P220" s="62">
        <f t="shared" si="4"/>
        <v>20</v>
      </c>
    </row>
    <row r="221" spans="1:16" x14ac:dyDescent="0.25">
      <c r="A221" s="43" t="s">
        <v>200</v>
      </c>
      <c r="B221" s="43" t="s">
        <v>291</v>
      </c>
      <c r="C221" s="43" t="s">
        <v>292</v>
      </c>
      <c r="D221" s="43" t="s">
        <v>293</v>
      </c>
      <c r="E221" s="43" t="s">
        <v>321</v>
      </c>
      <c r="F221" s="43" t="s">
        <v>312</v>
      </c>
      <c r="G221" s="43" t="s">
        <v>234</v>
      </c>
      <c r="H221" s="43" t="s">
        <v>207</v>
      </c>
      <c r="I221" s="44">
        <v>45591</v>
      </c>
      <c r="J221" s="44">
        <v>45605</v>
      </c>
      <c r="K221" s="45">
        <v>6</v>
      </c>
      <c r="L221" s="45">
        <v>517.33140000000003</v>
      </c>
      <c r="M221" s="45">
        <v>1280.57</v>
      </c>
      <c r="N221" s="45">
        <v>0</v>
      </c>
      <c r="O221" s="45">
        <v>0</v>
      </c>
      <c r="P221" s="62">
        <f t="shared" si="4"/>
        <v>6</v>
      </c>
    </row>
    <row r="222" spans="1:16" x14ac:dyDescent="0.25">
      <c r="A222" s="43" t="s">
        <v>200</v>
      </c>
      <c r="B222" s="43" t="s">
        <v>291</v>
      </c>
      <c r="C222" s="43" t="s">
        <v>292</v>
      </c>
      <c r="D222" s="43" t="s">
        <v>293</v>
      </c>
      <c r="E222" s="43" t="s">
        <v>321</v>
      </c>
      <c r="F222" s="43" t="s">
        <v>312</v>
      </c>
      <c r="G222" s="43" t="s">
        <v>259</v>
      </c>
      <c r="H222" s="43" t="s">
        <v>207</v>
      </c>
      <c r="I222" s="44">
        <v>45590</v>
      </c>
      <c r="J222" s="44">
        <v>45590</v>
      </c>
      <c r="K222" s="45">
        <v>1</v>
      </c>
      <c r="L222" s="45">
        <v>86.221900000000005</v>
      </c>
      <c r="M222" s="45">
        <v>237.14</v>
      </c>
      <c r="N222" s="45">
        <v>1</v>
      </c>
      <c r="O222" s="45">
        <v>86.221900000000005</v>
      </c>
      <c r="P222" s="62">
        <f t="shared" si="4"/>
        <v>2</v>
      </c>
    </row>
    <row r="223" spans="1:16" x14ac:dyDescent="0.25">
      <c r="A223" s="43" t="s">
        <v>200</v>
      </c>
      <c r="B223" s="43" t="s">
        <v>291</v>
      </c>
      <c r="C223" s="43" t="s">
        <v>292</v>
      </c>
      <c r="D223" s="43" t="s">
        <v>293</v>
      </c>
      <c r="E223" s="43" t="s">
        <v>322</v>
      </c>
      <c r="F223" s="43" t="s">
        <v>323</v>
      </c>
      <c r="G223" s="43" t="s">
        <v>232</v>
      </c>
      <c r="H223" s="43" t="s">
        <v>218</v>
      </c>
      <c r="I223" s="44">
        <v>45593</v>
      </c>
      <c r="J223" s="44">
        <v>45647</v>
      </c>
      <c r="K223" s="45">
        <v>5</v>
      </c>
      <c r="L223" s="45">
        <v>156.07300000000001</v>
      </c>
      <c r="M223" s="45">
        <v>477.53</v>
      </c>
      <c r="N223" s="45">
        <v>6</v>
      </c>
      <c r="O223" s="45">
        <v>190.6626</v>
      </c>
      <c r="P223" s="62">
        <f t="shared" si="4"/>
        <v>11</v>
      </c>
    </row>
    <row r="224" spans="1:16" x14ac:dyDescent="0.25">
      <c r="A224" s="43" t="s">
        <v>200</v>
      </c>
      <c r="B224" s="43" t="s">
        <v>291</v>
      </c>
      <c r="C224" s="43" t="s">
        <v>292</v>
      </c>
      <c r="D224" s="43" t="s">
        <v>293</v>
      </c>
      <c r="E224" s="43" t="s">
        <v>322</v>
      </c>
      <c r="F224" s="43" t="s">
        <v>323</v>
      </c>
      <c r="G224" s="43" t="s">
        <v>233</v>
      </c>
      <c r="H224" s="43" t="s">
        <v>218</v>
      </c>
      <c r="I224" s="44">
        <v>45593</v>
      </c>
      <c r="J224" s="44">
        <v>45647</v>
      </c>
      <c r="K224" s="45">
        <v>5</v>
      </c>
      <c r="L224" s="45">
        <v>155.80719999999999</v>
      </c>
      <c r="M224" s="45">
        <v>477.52</v>
      </c>
      <c r="N224" s="45">
        <v>5</v>
      </c>
      <c r="O224" s="45">
        <v>156.9325</v>
      </c>
      <c r="P224" s="62">
        <f t="shared" si="4"/>
        <v>10</v>
      </c>
    </row>
    <row r="225" spans="1:16" x14ac:dyDescent="0.25">
      <c r="A225" s="43" t="s">
        <v>200</v>
      </c>
      <c r="B225" s="43" t="s">
        <v>291</v>
      </c>
      <c r="C225" s="43" t="s">
        <v>292</v>
      </c>
      <c r="D225" s="43" t="s">
        <v>293</v>
      </c>
      <c r="E225" s="43" t="s">
        <v>322</v>
      </c>
      <c r="F225" s="43" t="s">
        <v>323</v>
      </c>
      <c r="G225" s="43" t="s">
        <v>234</v>
      </c>
      <c r="H225" s="43" t="s">
        <v>218</v>
      </c>
      <c r="I225" s="44">
        <v>45593</v>
      </c>
      <c r="J225" s="44">
        <v>45643</v>
      </c>
      <c r="K225" s="45">
        <v>5</v>
      </c>
      <c r="L225" s="45">
        <v>156.4272</v>
      </c>
      <c r="M225" s="45">
        <v>467.15</v>
      </c>
      <c r="N225" s="45">
        <v>5</v>
      </c>
      <c r="O225" s="45">
        <v>159.5145</v>
      </c>
      <c r="P225" s="62">
        <f t="shared" si="4"/>
        <v>10</v>
      </c>
    </row>
    <row r="226" spans="1:16" x14ac:dyDescent="0.25">
      <c r="A226" s="43" t="s">
        <v>200</v>
      </c>
      <c r="B226" s="43" t="s">
        <v>291</v>
      </c>
      <c r="C226" s="43" t="s">
        <v>292</v>
      </c>
      <c r="D226" s="43" t="s">
        <v>293</v>
      </c>
      <c r="E226" s="43" t="s">
        <v>322</v>
      </c>
      <c r="F226" s="43" t="s">
        <v>323</v>
      </c>
      <c r="G226" s="43" t="s">
        <v>259</v>
      </c>
      <c r="H226" s="43" t="s">
        <v>218</v>
      </c>
      <c r="I226" s="44">
        <v>45593</v>
      </c>
      <c r="J226" s="44">
        <v>45626</v>
      </c>
      <c r="K226" s="45">
        <v>6</v>
      </c>
      <c r="L226" s="45">
        <v>189.56479999999999</v>
      </c>
      <c r="M226" s="45">
        <v>560.58000000000004</v>
      </c>
      <c r="N226" s="45">
        <v>0</v>
      </c>
      <c r="O226" s="45">
        <v>0</v>
      </c>
      <c r="P226" s="62">
        <f t="shared" si="4"/>
        <v>6</v>
      </c>
    </row>
    <row r="227" spans="1:16" x14ac:dyDescent="0.25">
      <c r="A227" s="43" t="s">
        <v>200</v>
      </c>
      <c r="B227" s="43" t="s">
        <v>291</v>
      </c>
      <c r="C227" s="43" t="s">
        <v>292</v>
      </c>
      <c r="D227" s="43" t="s">
        <v>293</v>
      </c>
      <c r="E227" s="43" t="s">
        <v>322</v>
      </c>
      <c r="F227" s="43" t="s">
        <v>323</v>
      </c>
      <c r="G227" s="43" t="s">
        <v>296</v>
      </c>
      <c r="H227" s="43" t="s">
        <v>218</v>
      </c>
      <c r="I227" s="44">
        <v>45593</v>
      </c>
      <c r="J227" s="44">
        <v>45645</v>
      </c>
      <c r="K227" s="45">
        <v>3</v>
      </c>
      <c r="L227" s="45">
        <v>93.329400000000007</v>
      </c>
      <c r="M227" s="45">
        <v>290.67</v>
      </c>
      <c r="N227" s="45">
        <v>4</v>
      </c>
      <c r="O227" s="45">
        <v>128.63</v>
      </c>
      <c r="P227" s="62">
        <f t="shared" si="4"/>
        <v>7</v>
      </c>
    </row>
    <row r="228" spans="1:16" x14ac:dyDescent="0.25">
      <c r="A228" s="43" t="s">
        <v>200</v>
      </c>
      <c r="B228" s="43" t="s">
        <v>291</v>
      </c>
      <c r="C228" s="43" t="s">
        <v>292</v>
      </c>
      <c r="D228" s="43" t="s">
        <v>293</v>
      </c>
      <c r="E228" s="43" t="s">
        <v>324</v>
      </c>
      <c r="F228" s="43" t="s">
        <v>323</v>
      </c>
      <c r="G228" s="43" t="s">
        <v>232</v>
      </c>
      <c r="H228" s="43" t="s">
        <v>218</v>
      </c>
      <c r="I228" s="44">
        <v>45593</v>
      </c>
      <c r="J228" s="44">
        <v>45646</v>
      </c>
      <c r="K228" s="45">
        <v>2</v>
      </c>
      <c r="L228" s="45">
        <v>61.853900000000003</v>
      </c>
      <c r="M228" s="45">
        <v>186.86</v>
      </c>
      <c r="N228" s="45">
        <v>6</v>
      </c>
      <c r="O228" s="45">
        <v>187.6968</v>
      </c>
      <c r="P228" s="62">
        <f t="shared" si="4"/>
        <v>8</v>
      </c>
    </row>
    <row r="229" spans="1:16" x14ac:dyDescent="0.25">
      <c r="A229" s="43" t="s">
        <v>200</v>
      </c>
      <c r="B229" s="43" t="s">
        <v>291</v>
      </c>
      <c r="C229" s="43" t="s">
        <v>292</v>
      </c>
      <c r="D229" s="43" t="s">
        <v>293</v>
      </c>
      <c r="E229" s="43" t="s">
        <v>324</v>
      </c>
      <c r="F229" s="43" t="s">
        <v>323</v>
      </c>
      <c r="G229" s="43" t="s">
        <v>233</v>
      </c>
      <c r="H229" s="43" t="s">
        <v>218</v>
      </c>
      <c r="I229" s="44">
        <v>45593</v>
      </c>
      <c r="J229" s="44">
        <v>45646</v>
      </c>
      <c r="K229" s="45">
        <v>9</v>
      </c>
      <c r="L229" s="45">
        <v>282.9907</v>
      </c>
      <c r="M229" s="45">
        <v>861.62</v>
      </c>
      <c r="N229" s="45">
        <v>5</v>
      </c>
      <c r="O229" s="45">
        <v>159.32849999999999</v>
      </c>
      <c r="P229" s="62">
        <f t="shared" si="4"/>
        <v>14</v>
      </c>
    </row>
    <row r="230" spans="1:16" x14ac:dyDescent="0.25">
      <c r="A230" s="43" t="s">
        <v>200</v>
      </c>
      <c r="B230" s="43" t="s">
        <v>291</v>
      </c>
      <c r="C230" s="43" t="s">
        <v>292</v>
      </c>
      <c r="D230" s="43" t="s">
        <v>293</v>
      </c>
      <c r="E230" s="43" t="s">
        <v>324</v>
      </c>
      <c r="F230" s="43" t="s">
        <v>323</v>
      </c>
      <c r="G230" s="43" t="s">
        <v>234</v>
      </c>
      <c r="H230" s="43" t="s">
        <v>218</v>
      </c>
      <c r="I230" s="44">
        <v>45593</v>
      </c>
      <c r="J230" s="44">
        <v>45645</v>
      </c>
      <c r="K230" s="45">
        <v>2</v>
      </c>
      <c r="L230" s="45">
        <v>61.907299999999999</v>
      </c>
      <c r="M230" s="45">
        <v>186.86</v>
      </c>
      <c r="N230" s="45">
        <v>5</v>
      </c>
      <c r="O230" s="45">
        <v>156.85</v>
      </c>
      <c r="P230" s="62">
        <f t="shared" si="4"/>
        <v>7</v>
      </c>
    </row>
    <row r="231" spans="1:16" x14ac:dyDescent="0.25">
      <c r="A231" s="43" t="s">
        <v>200</v>
      </c>
      <c r="B231" s="43" t="s">
        <v>291</v>
      </c>
      <c r="C231" s="43" t="s">
        <v>292</v>
      </c>
      <c r="D231" s="43" t="s">
        <v>293</v>
      </c>
      <c r="E231" s="43" t="s">
        <v>324</v>
      </c>
      <c r="F231" s="43" t="s">
        <v>323</v>
      </c>
      <c r="G231" s="43" t="s">
        <v>259</v>
      </c>
      <c r="H231" s="43" t="s">
        <v>218</v>
      </c>
      <c r="I231" s="44">
        <v>45593</v>
      </c>
      <c r="J231" s="44">
        <v>45645</v>
      </c>
      <c r="K231" s="45">
        <v>2</v>
      </c>
      <c r="L231" s="45">
        <v>62.120800000000003</v>
      </c>
      <c r="M231" s="45">
        <v>186.86</v>
      </c>
      <c r="N231" s="45">
        <v>3</v>
      </c>
      <c r="O231" s="45">
        <v>95.049300000000002</v>
      </c>
      <c r="P231" s="62">
        <f t="shared" si="4"/>
        <v>5</v>
      </c>
    </row>
    <row r="232" spans="1:16" x14ac:dyDescent="0.25">
      <c r="A232" s="43" t="s">
        <v>200</v>
      </c>
      <c r="B232" s="43" t="s">
        <v>291</v>
      </c>
      <c r="C232" s="43" t="s">
        <v>292</v>
      </c>
      <c r="D232" s="43" t="s">
        <v>293</v>
      </c>
      <c r="E232" s="43" t="s">
        <v>324</v>
      </c>
      <c r="F232" s="43" t="s">
        <v>323</v>
      </c>
      <c r="G232" s="43" t="s">
        <v>296</v>
      </c>
      <c r="H232" s="43" t="s">
        <v>218</v>
      </c>
      <c r="I232" s="44">
        <v>45593</v>
      </c>
      <c r="J232" s="44">
        <v>45643</v>
      </c>
      <c r="K232" s="45">
        <v>1</v>
      </c>
      <c r="L232" s="45">
        <v>30.793500000000002</v>
      </c>
      <c r="M232" s="45">
        <v>103.81</v>
      </c>
      <c r="N232" s="45">
        <v>3</v>
      </c>
      <c r="O232" s="45">
        <v>93.981899999999996</v>
      </c>
      <c r="P232" s="62">
        <f t="shared" si="4"/>
        <v>4</v>
      </c>
    </row>
    <row r="233" spans="1:16" x14ac:dyDescent="0.25">
      <c r="A233" s="43" t="s">
        <v>200</v>
      </c>
      <c r="B233" s="43" t="s">
        <v>291</v>
      </c>
      <c r="C233" s="43" t="s">
        <v>292</v>
      </c>
      <c r="D233" s="43" t="s">
        <v>293</v>
      </c>
      <c r="E233" s="43" t="s">
        <v>325</v>
      </c>
      <c r="F233" s="43" t="s">
        <v>323</v>
      </c>
      <c r="G233" s="43" t="s">
        <v>232</v>
      </c>
      <c r="H233" s="43" t="s">
        <v>207</v>
      </c>
      <c r="I233" s="44">
        <v>45608</v>
      </c>
      <c r="J233" s="44">
        <v>45626</v>
      </c>
      <c r="K233" s="45">
        <v>20</v>
      </c>
      <c r="L233" s="45">
        <v>708.54589999999996</v>
      </c>
      <c r="M233" s="45">
        <v>1858.2</v>
      </c>
      <c r="N233" s="45">
        <v>0</v>
      </c>
      <c r="O233" s="45">
        <v>0</v>
      </c>
      <c r="P233" s="62">
        <f t="shared" si="4"/>
        <v>20</v>
      </c>
    </row>
    <row r="234" spans="1:16" x14ac:dyDescent="0.25">
      <c r="A234" s="43" t="s">
        <v>200</v>
      </c>
      <c r="B234" s="43" t="s">
        <v>291</v>
      </c>
      <c r="C234" s="43" t="s">
        <v>292</v>
      </c>
      <c r="D234" s="43" t="s">
        <v>293</v>
      </c>
      <c r="E234" s="43" t="s">
        <v>325</v>
      </c>
      <c r="F234" s="43" t="s">
        <v>323</v>
      </c>
      <c r="G234" s="43" t="s">
        <v>233</v>
      </c>
      <c r="H234" s="43" t="s">
        <v>207</v>
      </c>
      <c r="I234" s="44">
        <v>45608</v>
      </c>
      <c r="J234" s="44">
        <v>45629</v>
      </c>
      <c r="K234" s="45">
        <v>21</v>
      </c>
      <c r="L234" s="45">
        <v>744.71169999999995</v>
      </c>
      <c r="M234" s="45">
        <v>1972.41</v>
      </c>
      <c r="N234" s="45">
        <v>2</v>
      </c>
      <c r="O234" s="45">
        <v>72.008399999999995</v>
      </c>
      <c r="P234" s="62">
        <f t="shared" si="4"/>
        <v>23</v>
      </c>
    </row>
    <row r="235" spans="1:16" x14ac:dyDescent="0.25">
      <c r="A235" s="43" t="s">
        <v>200</v>
      </c>
      <c r="B235" s="43" t="s">
        <v>291</v>
      </c>
      <c r="C235" s="43" t="s">
        <v>292</v>
      </c>
      <c r="D235" s="43" t="s">
        <v>293</v>
      </c>
      <c r="E235" s="43" t="s">
        <v>325</v>
      </c>
      <c r="F235" s="43" t="s">
        <v>323</v>
      </c>
      <c r="G235" s="43" t="s">
        <v>234</v>
      </c>
      <c r="H235" s="43" t="s">
        <v>207</v>
      </c>
      <c r="I235" s="44">
        <v>45608</v>
      </c>
      <c r="J235" s="44">
        <v>45626</v>
      </c>
      <c r="K235" s="45">
        <v>14</v>
      </c>
      <c r="L235" s="45">
        <v>496.00110000000001</v>
      </c>
      <c r="M235" s="45">
        <v>1318.4</v>
      </c>
      <c r="N235" s="45">
        <v>2</v>
      </c>
      <c r="O235" s="45">
        <v>71.905000000000001</v>
      </c>
      <c r="P235" s="62">
        <f t="shared" si="4"/>
        <v>16</v>
      </c>
    </row>
    <row r="236" spans="1:16" x14ac:dyDescent="0.25">
      <c r="A236" s="43" t="s">
        <v>200</v>
      </c>
      <c r="B236" s="43" t="s">
        <v>291</v>
      </c>
      <c r="C236" s="43" t="s">
        <v>292</v>
      </c>
      <c r="D236" s="43" t="s">
        <v>293</v>
      </c>
      <c r="E236" s="43" t="s">
        <v>325</v>
      </c>
      <c r="F236" s="43" t="s">
        <v>323</v>
      </c>
      <c r="G236" s="43" t="s">
        <v>296</v>
      </c>
      <c r="H236" s="43" t="s">
        <v>207</v>
      </c>
      <c r="I236" s="44">
        <v>45608</v>
      </c>
      <c r="J236" s="44">
        <v>45608</v>
      </c>
      <c r="K236" s="45">
        <v>2</v>
      </c>
      <c r="L236" s="45">
        <v>68.537999999999997</v>
      </c>
      <c r="M236" s="45">
        <v>186.86</v>
      </c>
      <c r="N236" s="45">
        <v>1</v>
      </c>
      <c r="O236" s="45">
        <v>34.268999999999998</v>
      </c>
      <c r="P236" s="62">
        <f t="shared" si="4"/>
        <v>3</v>
      </c>
    </row>
    <row r="237" spans="1:16" x14ac:dyDescent="0.25">
      <c r="A237" s="43" t="s">
        <v>200</v>
      </c>
      <c r="B237" s="43" t="s">
        <v>291</v>
      </c>
      <c r="C237" s="43" t="s">
        <v>292</v>
      </c>
      <c r="D237" s="43" t="s">
        <v>293</v>
      </c>
      <c r="E237" s="43" t="s">
        <v>326</v>
      </c>
      <c r="F237" s="43" t="s">
        <v>323</v>
      </c>
      <c r="G237" s="43" t="s">
        <v>232</v>
      </c>
      <c r="H237" s="43" t="s">
        <v>207</v>
      </c>
      <c r="I237" s="44">
        <v>45608</v>
      </c>
      <c r="J237" s="44">
        <v>45608</v>
      </c>
      <c r="K237" s="45">
        <v>5</v>
      </c>
      <c r="L237" s="45">
        <v>171.345</v>
      </c>
      <c r="M237" s="45">
        <v>467.14</v>
      </c>
      <c r="N237" s="45">
        <v>0</v>
      </c>
      <c r="O237" s="45">
        <v>0</v>
      </c>
      <c r="P237" s="62">
        <f t="shared" si="4"/>
        <v>5</v>
      </c>
    </row>
    <row r="238" spans="1:16" x14ac:dyDescent="0.25">
      <c r="A238" s="43" t="s">
        <v>200</v>
      </c>
      <c r="B238" s="43" t="s">
        <v>291</v>
      </c>
      <c r="C238" s="43" t="s">
        <v>292</v>
      </c>
      <c r="D238" s="43" t="s">
        <v>293</v>
      </c>
      <c r="E238" s="43" t="s">
        <v>326</v>
      </c>
      <c r="F238" s="43" t="s">
        <v>323</v>
      </c>
      <c r="G238" s="43" t="s">
        <v>233</v>
      </c>
      <c r="H238" s="43" t="s">
        <v>207</v>
      </c>
      <c r="I238" s="44">
        <v>45608</v>
      </c>
      <c r="J238" s="44">
        <v>45608</v>
      </c>
      <c r="K238" s="45">
        <v>4</v>
      </c>
      <c r="L238" s="45">
        <v>137.07599999999999</v>
      </c>
      <c r="M238" s="45">
        <v>384.1</v>
      </c>
      <c r="N238" s="45">
        <v>0</v>
      </c>
      <c r="O238" s="45">
        <v>0</v>
      </c>
      <c r="P238" s="62">
        <f t="shared" si="4"/>
        <v>4</v>
      </c>
    </row>
    <row r="239" spans="1:16" x14ac:dyDescent="0.25">
      <c r="A239" s="43" t="s">
        <v>200</v>
      </c>
      <c r="B239" s="43" t="s">
        <v>291</v>
      </c>
      <c r="C239" s="43" t="s">
        <v>292</v>
      </c>
      <c r="D239" s="43" t="s">
        <v>293</v>
      </c>
      <c r="E239" s="43" t="s">
        <v>326</v>
      </c>
      <c r="F239" s="43" t="s">
        <v>323</v>
      </c>
      <c r="G239" s="43" t="s">
        <v>234</v>
      </c>
      <c r="H239" s="43" t="s">
        <v>207</v>
      </c>
      <c r="I239" s="44">
        <v>45608</v>
      </c>
      <c r="J239" s="44">
        <v>45622</v>
      </c>
      <c r="K239" s="45">
        <v>3</v>
      </c>
      <c r="L239" s="45">
        <v>103.5198</v>
      </c>
      <c r="M239" s="45">
        <v>280.29000000000002</v>
      </c>
      <c r="N239" s="45">
        <v>5</v>
      </c>
      <c r="O239" s="45">
        <v>175.97800000000001</v>
      </c>
      <c r="P239" s="62">
        <f t="shared" si="4"/>
        <v>8</v>
      </c>
    </row>
    <row r="240" spans="1:16" x14ac:dyDescent="0.25">
      <c r="A240" s="43" t="s">
        <v>200</v>
      </c>
      <c r="B240" s="43" t="s">
        <v>291</v>
      </c>
      <c r="C240" s="43" t="s">
        <v>292</v>
      </c>
      <c r="D240" s="43" t="s">
        <v>293</v>
      </c>
      <c r="E240" s="43" t="s">
        <v>326</v>
      </c>
      <c r="F240" s="43" t="s">
        <v>323</v>
      </c>
      <c r="G240" s="43" t="s">
        <v>296</v>
      </c>
      <c r="H240" s="43" t="s">
        <v>207</v>
      </c>
      <c r="I240" s="44">
        <v>45608</v>
      </c>
      <c r="J240" s="44">
        <v>45608</v>
      </c>
      <c r="K240" s="45">
        <v>2</v>
      </c>
      <c r="L240" s="45">
        <v>68.537999999999997</v>
      </c>
      <c r="M240" s="45">
        <v>186.86</v>
      </c>
      <c r="N240" s="45">
        <v>0</v>
      </c>
      <c r="O240" s="45">
        <v>0</v>
      </c>
      <c r="P240" s="62">
        <f t="shared" si="4"/>
        <v>2</v>
      </c>
    </row>
    <row r="241" spans="1:16" x14ac:dyDescent="0.25">
      <c r="A241" s="43" t="s">
        <v>200</v>
      </c>
      <c r="B241" s="43" t="s">
        <v>291</v>
      </c>
      <c r="C241" s="43" t="s">
        <v>292</v>
      </c>
      <c r="D241" s="43" t="s">
        <v>293</v>
      </c>
      <c r="E241" s="43" t="s">
        <v>327</v>
      </c>
      <c r="F241" s="43" t="s">
        <v>323</v>
      </c>
      <c r="G241" s="43" t="s">
        <v>232</v>
      </c>
      <c r="H241" s="43" t="s">
        <v>207</v>
      </c>
      <c r="I241" s="44">
        <v>45593</v>
      </c>
      <c r="J241" s="44">
        <v>45647</v>
      </c>
      <c r="K241" s="45">
        <v>17</v>
      </c>
      <c r="L241" s="45">
        <v>586.6</v>
      </c>
      <c r="M241" s="45">
        <v>1619.45</v>
      </c>
      <c r="N241" s="45">
        <v>5</v>
      </c>
      <c r="O241" s="45">
        <v>165.083</v>
      </c>
      <c r="P241" s="62">
        <f t="shared" si="4"/>
        <v>22</v>
      </c>
    </row>
    <row r="242" spans="1:16" x14ac:dyDescent="0.25">
      <c r="A242" s="43" t="s">
        <v>200</v>
      </c>
      <c r="B242" s="43" t="s">
        <v>291</v>
      </c>
      <c r="C242" s="43" t="s">
        <v>292</v>
      </c>
      <c r="D242" s="43" t="s">
        <v>293</v>
      </c>
      <c r="E242" s="43" t="s">
        <v>327</v>
      </c>
      <c r="F242" s="43" t="s">
        <v>323</v>
      </c>
      <c r="G242" s="43" t="s">
        <v>233</v>
      </c>
      <c r="H242" s="43" t="s">
        <v>207</v>
      </c>
      <c r="I242" s="44">
        <v>45593</v>
      </c>
      <c r="J242" s="44">
        <v>45647</v>
      </c>
      <c r="K242" s="45">
        <v>25</v>
      </c>
      <c r="L242" s="45">
        <v>855.197</v>
      </c>
      <c r="M242" s="45">
        <v>2366.89</v>
      </c>
      <c r="N242" s="45">
        <v>4</v>
      </c>
      <c r="O242" s="45">
        <v>130.55959999999999</v>
      </c>
      <c r="P242" s="62">
        <f t="shared" si="4"/>
        <v>29</v>
      </c>
    </row>
    <row r="243" spans="1:16" x14ac:dyDescent="0.25">
      <c r="A243" s="43" t="s">
        <v>200</v>
      </c>
      <c r="B243" s="43" t="s">
        <v>291</v>
      </c>
      <c r="C243" s="43" t="s">
        <v>292</v>
      </c>
      <c r="D243" s="43" t="s">
        <v>293</v>
      </c>
      <c r="E243" s="43" t="s">
        <v>327</v>
      </c>
      <c r="F243" s="43" t="s">
        <v>323</v>
      </c>
      <c r="G243" s="43" t="s">
        <v>234</v>
      </c>
      <c r="H243" s="43" t="s">
        <v>207</v>
      </c>
      <c r="I243" s="44">
        <v>45593</v>
      </c>
      <c r="J243" s="44">
        <v>45647</v>
      </c>
      <c r="K243" s="45">
        <v>16</v>
      </c>
      <c r="L243" s="45">
        <v>528.03099999999995</v>
      </c>
      <c r="M243" s="45">
        <v>1515.63</v>
      </c>
      <c r="N243" s="45">
        <v>4</v>
      </c>
      <c r="O243" s="45">
        <v>129.70400000000001</v>
      </c>
      <c r="P243" s="62">
        <f t="shared" si="4"/>
        <v>20</v>
      </c>
    </row>
    <row r="244" spans="1:16" x14ac:dyDescent="0.25">
      <c r="A244" s="43" t="s">
        <v>200</v>
      </c>
      <c r="B244" s="43" t="s">
        <v>291</v>
      </c>
      <c r="C244" s="43" t="s">
        <v>292</v>
      </c>
      <c r="D244" s="43" t="s">
        <v>293</v>
      </c>
      <c r="E244" s="43" t="s">
        <v>327</v>
      </c>
      <c r="F244" s="43" t="s">
        <v>323</v>
      </c>
      <c r="G244" s="43" t="s">
        <v>259</v>
      </c>
      <c r="H244" s="43" t="s">
        <v>207</v>
      </c>
      <c r="I244" s="44">
        <v>45593</v>
      </c>
      <c r="J244" s="44">
        <v>45647</v>
      </c>
      <c r="K244" s="45">
        <v>7</v>
      </c>
      <c r="L244" s="45">
        <v>241.30289999999999</v>
      </c>
      <c r="M244" s="45">
        <v>674.76</v>
      </c>
      <c r="N244" s="45">
        <v>2</v>
      </c>
      <c r="O244" s="45">
        <v>67.154799999999994</v>
      </c>
      <c r="P244" s="62">
        <f t="shared" si="4"/>
        <v>9</v>
      </c>
    </row>
    <row r="245" spans="1:16" x14ac:dyDescent="0.25">
      <c r="A245" s="43" t="s">
        <v>200</v>
      </c>
      <c r="B245" s="43" t="s">
        <v>291</v>
      </c>
      <c r="C245" s="43" t="s">
        <v>292</v>
      </c>
      <c r="D245" s="43" t="s">
        <v>293</v>
      </c>
      <c r="E245" s="43" t="s">
        <v>328</v>
      </c>
      <c r="F245" s="43" t="s">
        <v>286</v>
      </c>
      <c r="G245" s="43" t="s">
        <v>232</v>
      </c>
      <c r="H245" s="43" t="s">
        <v>207</v>
      </c>
      <c r="I245" s="44">
        <v>45590</v>
      </c>
      <c r="J245" s="44">
        <v>45590</v>
      </c>
      <c r="K245" s="45">
        <v>4</v>
      </c>
      <c r="L245" s="45">
        <v>239.7208</v>
      </c>
      <c r="M245" s="45">
        <v>612</v>
      </c>
      <c r="N245" s="45">
        <v>1</v>
      </c>
      <c r="O245" s="45">
        <v>59.930199999999999</v>
      </c>
      <c r="P245" s="62">
        <f t="shared" si="4"/>
        <v>5</v>
      </c>
    </row>
    <row r="246" spans="1:16" x14ac:dyDescent="0.25">
      <c r="A246" s="43" t="s">
        <v>200</v>
      </c>
      <c r="B246" s="43" t="s">
        <v>291</v>
      </c>
      <c r="C246" s="43" t="s">
        <v>292</v>
      </c>
      <c r="D246" s="43" t="s">
        <v>293</v>
      </c>
      <c r="E246" s="43" t="s">
        <v>328</v>
      </c>
      <c r="F246" s="43" t="s">
        <v>286</v>
      </c>
      <c r="G246" s="43" t="s">
        <v>233</v>
      </c>
      <c r="H246" s="43" t="s">
        <v>207</v>
      </c>
      <c r="I246" s="44">
        <v>45590</v>
      </c>
      <c r="J246" s="44">
        <v>45608</v>
      </c>
      <c r="K246" s="45">
        <v>4</v>
      </c>
      <c r="L246" s="45">
        <v>239.7208</v>
      </c>
      <c r="M246" s="45">
        <v>630</v>
      </c>
      <c r="N246" s="45">
        <v>0</v>
      </c>
      <c r="O246" s="45">
        <v>0</v>
      </c>
      <c r="P246" s="62">
        <f t="shared" si="4"/>
        <v>4</v>
      </c>
    </row>
    <row r="247" spans="1:16" x14ac:dyDescent="0.25">
      <c r="A247" s="43" t="s">
        <v>200</v>
      </c>
      <c r="B247" s="43" t="s">
        <v>291</v>
      </c>
      <c r="C247" s="43" t="s">
        <v>292</v>
      </c>
      <c r="D247" s="43" t="s">
        <v>293</v>
      </c>
      <c r="E247" s="43" t="s">
        <v>328</v>
      </c>
      <c r="F247" s="43" t="s">
        <v>286</v>
      </c>
      <c r="G247" s="43" t="s">
        <v>234</v>
      </c>
      <c r="H247" s="43" t="s">
        <v>207</v>
      </c>
      <c r="I247" s="44">
        <v>45591</v>
      </c>
      <c r="J247" s="44">
        <v>45591</v>
      </c>
      <c r="K247" s="45">
        <v>2</v>
      </c>
      <c r="L247" s="45">
        <v>119.8604</v>
      </c>
      <c r="M247" s="45">
        <v>324</v>
      </c>
      <c r="N247" s="45">
        <v>0</v>
      </c>
      <c r="O247" s="45">
        <v>0</v>
      </c>
      <c r="P247" s="62">
        <f t="shared" si="4"/>
        <v>2</v>
      </c>
    </row>
    <row r="248" spans="1:16" x14ac:dyDescent="0.25">
      <c r="A248" s="43" t="s">
        <v>200</v>
      </c>
      <c r="B248" s="43" t="s">
        <v>291</v>
      </c>
      <c r="C248" s="43" t="s">
        <v>292</v>
      </c>
      <c r="D248" s="43" t="s">
        <v>293</v>
      </c>
      <c r="E248" s="43" t="s">
        <v>328</v>
      </c>
      <c r="F248" s="43" t="s">
        <v>286</v>
      </c>
      <c r="G248" s="43" t="s">
        <v>259</v>
      </c>
      <c r="H248" s="43" t="s">
        <v>207</v>
      </c>
      <c r="I248" s="44">
        <v>45591</v>
      </c>
      <c r="J248" s="44">
        <v>45591</v>
      </c>
      <c r="K248" s="45">
        <v>2</v>
      </c>
      <c r="L248" s="45">
        <v>119.8604</v>
      </c>
      <c r="M248" s="45">
        <v>324</v>
      </c>
      <c r="N248" s="45">
        <v>0</v>
      </c>
      <c r="O248" s="45">
        <v>0</v>
      </c>
      <c r="P248" s="62">
        <f t="shared" si="4"/>
        <v>2</v>
      </c>
    </row>
    <row r="249" spans="1:16" x14ac:dyDescent="0.25">
      <c r="A249" s="43" t="s">
        <v>200</v>
      </c>
      <c r="B249" s="43" t="s">
        <v>291</v>
      </c>
      <c r="C249" s="43" t="s">
        <v>292</v>
      </c>
      <c r="D249" s="43" t="s">
        <v>293</v>
      </c>
      <c r="E249" s="43" t="s">
        <v>328</v>
      </c>
      <c r="F249" s="43" t="s">
        <v>286</v>
      </c>
      <c r="G249" s="43" t="s">
        <v>296</v>
      </c>
      <c r="H249" s="43" t="s">
        <v>207</v>
      </c>
      <c r="I249" s="44">
        <v>45591</v>
      </c>
      <c r="J249" s="44">
        <v>45591</v>
      </c>
      <c r="K249" s="45">
        <v>1</v>
      </c>
      <c r="L249" s="45">
        <v>59.930199999999999</v>
      </c>
      <c r="M249" s="45">
        <v>162</v>
      </c>
      <c r="N249" s="45">
        <v>0</v>
      </c>
      <c r="O249" s="45">
        <v>0</v>
      </c>
      <c r="P249" s="62">
        <f t="shared" si="4"/>
        <v>1</v>
      </c>
    </row>
    <row r="250" spans="1:16" x14ac:dyDescent="0.25">
      <c r="A250" s="43" t="s">
        <v>200</v>
      </c>
      <c r="B250" s="43" t="s">
        <v>291</v>
      </c>
      <c r="C250" s="43" t="s">
        <v>292</v>
      </c>
      <c r="D250" s="43" t="s">
        <v>293</v>
      </c>
      <c r="E250" s="43" t="s">
        <v>329</v>
      </c>
      <c r="F250" s="43" t="s">
        <v>312</v>
      </c>
      <c r="G250" s="43" t="s">
        <v>232</v>
      </c>
      <c r="H250" s="43" t="s">
        <v>226</v>
      </c>
      <c r="I250" s="44">
        <v>45608</v>
      </c>
      <c r="J250" s="44">
        <v>45644</v>
      </c>
      <c r="K250" s="45">
        <v>0</v>
      </c>
      <c r="L250" s="45">
        <v>0</v>
      </c>
      <c r="M250" s="45">
        <v>0</v>
      </c>
      <c r="N250" s="45">
        <v>6</v>
      </c>
      <c r="O250" s="45">
        <v>408.06420000000003</v>
      </c>
      <c r="P250" s="62">
        <f t="shared" si="4"/>
        <v>6</v>
      </c>
    </row>
    <row r="251" spans="1:16" x14ac:dyDescent="0.25">
      <c r="A251" s="43" t="s">
        <v>200</v>
      </c>
      <c r="B251" s="43" t="s">
        <v>291</v>
      </c>
      <c r="C251" s="43" t="s">
        <v>292</v>
      </c>
      <c r="D251" s="43" t="s">
        <v>293</v>
      </c>
      <c r="E251" s="43" t="s">
        <v>329</v>
      </c>
      <c r="F251" s="43" t="s">
        <v>312</v>
      </c>
      <c r="G251" s="43" t="s">
        <v>233</v>
      </c>
      <c r="H251" s="43" t="s">
        <v>226</v>
      </c>
      <c r="I251" s="44">
        <v>45608</v>
      </c>
      <c r="J251" s="44">
        <v>45643</v>
      </c>
      <c r="K251" s="45">
        <v>1</v>
      </c>
      <c r="L251" s="45">
        <v>68.660899999999998</v>
      </c>
      <c r="M251" s="45">
        <v>170.58</v>
      </c>
      <c r="N251" s="45">
        <v>6</v>
      </c>
      <c r="O251" s="45">
        <v>411.96539999999999</v>
      </c>
      <c r="P251" s="62">
        <f t="shared" si="4"/>
        <v>7</v>
      </c>
    </row>
    <row r="252" spans="1:16" x14ac:dyDescent="0.25">
      <c r="A252" s="43" t="s">
        <v>200</v>
      </c>
      <c r="B252" s="43" t="s">
        <v>291</v>
      </c>
      <c r="C252" s="43" t="s">
        <v>292</v>
      </c>
      <c r="D252" s="43" t="s">
        <v>293</v>
      </c>
      <c r="E252" s="43" t="s">
        <v>329</v>
      </c>
      <c r="F252" s="43" t="s">
        <v>312</v>
      </c>
      <c r="G252" s="43" t="s">
        <v>234</v>
      </c>
      <c r="H252" s="43" t="s">
        <v>226</v>
      </c>
      <c r="I252" s="44">
        <v>45608</v>
      </c>
      <c r="J252" s="44">
        <v>45617</v>
      </c>
      <c r="K252" s="45">
        <v>0</v>
      </c>
      <c r="L252" s="45">
        <v>0</v>
      </c>
      <c r="M252" s="45">
        <v>0</v>
      </c>
      <c r="N252" s="45">
        <v>1</v>
      </c>
      <c r="O252" s="45">
        <v>66.376099999999994</v>
      </c>
      <c r="P252" s="62">
        <f t="shared" si="4"/>
        <v>1</v>
      </c>
    </row>
    <row r="253" spans="1:16" x14ac:dyDescent="0.25">
      <c r="A253" s="43" t="s">
        <v>200</v>
      </c>
      <c r="B253" s="43" t="s">
        <v>291</v>
      </c>
      <c r="C253" s="43" t="s">
        <v>292</v>
      </c>
      <c r="D253" s="43" t="s">
        <v>293</v>
      </c>
      <c r="E253" s="43" t="s">
        <v>329</v>
      </c>
      <c r="F253" s="43" t="s">
        <v>312</v>
      </c>
      <c r="G253" s="43" t="s">
        <v>259</v>
      </c>
      <c r="H253" s="43" t="s">
        <v>226</v>
      </c>
      <c r="I253" s="44">
        <v>45608</v>
      </c>
      <c r="J253" s="44">
        <v>45622</v>
      </c>
      <c r="K253" s="45">
        <v>1</v>
      </c>
      <c r="L253" s="45">
        <v>68.349800000000002</v>
      </c>
      <c r="M253" s="45">
        <v>170.57</v>
      </c>
      <c r="N253" s="45">
        <v>0</v>
      </c>
      <c r="O253" s="45">
        <v>0</v>
      </c>
      <c r="P253" s="62">
        <f t="shared" si="4"/>
        <v>1</v>
      </c>
    </row>
    <row r="254" spans="1:16" x14ac:dyDescent="0.25">
      <c r="A254" s="43" t="s">
        <v>200</v>
      </c>
      <c r="B254" s="43" t="s">
        <v>291</v>
      </c>
      <c r="C254" s="43" t="s">
        <v>292</v>
      </c>
      <c r="D254" s="43" t="s">
        <v>293</v>
      </c>
      <c r="E254" s="43" t="s">
        <v>330</v>
      </c>
      <c r="F254" s="43" t="s">
        <v>312</v>
      </c>
      <c r="G254" s="43" t="s">
        <v>232</v>
      </c>
      <c r="H254" s="43" t="s">
        <v>226</v>
      </c>
      <c r="I254" s="44">
        <v>45608</v>
      </c>
      <c r="J254" s="44">
        <v>45637</v>
      </c>
      <c r="K254" s="45">
        <v>1</v>
      </c>
      <c r="L254" s="45">
        <v>68.120500000000007</v>
      </c>
      <c r="M254" s="45">
        <v>170.58</v>
      </c>
      <c r="N254" s="45">
        <v>6</v>
      </c>
      <c r="O254" s="45">
        <v>409.71120000000002</v>
      </c>
      <c r="P254" s="62">
        <f t="shared" si="4"/>
        <v>7</v>
      </c>
    </row>
    <row r="255" spans="1:16" x14ac:dyDescent="0.25">
      <c r="A255" s="43" t="s">
        <v>200</v>
      </c>
      <c r="B255" s="43" t="s">
        <v>291</v>
      </c>
      <c r="C255" s="43" t="s">
        <v>292</v>
      </c>
      <c r="D255" s="43" t="s">
        <v>293</v>
      </c>
      <c r="E255" s="43" t="s">
        <v>330</v>
      </c>
      <c r="F255" s="43" t="s">
        <v>312</v>
      </c>
      <c r="G255" s="43" t="s">
        <v>233</v>
      </c>
      <c r="H255" s="43" t="s">
        <v>226</v>
      </c>
      <c r="I255" s="44">
        <v>45608</v>
      </c>
      <c r="J255" s="44">
        <v>45636</v>
      </c>
      <c r="K255" s="45">
        <v>0</v>
      </c>
      <c r="L255" s="45">
        <v>0</v>
      </c>
      <c r="M255" s="45">
        <v>0</v>
      </c>
      <c r="N255" s="45">
        <v>7</v>
      </c>
      <c r="O255" s="45">
        <v>473.0068</v>
      </c>
      <c r="P255" s="62">
        <f t="shared" si="4"/>
        <v>7</v>
      </c>
    </row>
    <row r="256" spans="1:16" x14ac:dyDescent="0.25">
      <c r="A256" s="43" t="s">
        <v>200</v>
      </c>
      <c r="B256" s="43" t="s">
        <v>291</v>
      </c>
      <c r="C256" s="43" t="s">
        <v>292</v>
      </c>
      <c r="D256" s="43" t="s">
        <v>293</v>
      </c>
      <c r="E256" s="43" t="s">
        <v>330</v>
      </c>
      <c r="F256" s="43" t="s">
        <v>312</v>
      </c>
      <c r="G256" s="43" t="s">
        <v>259</v>
      </c>
      <c r="H256" s="43" t="s">
        <v>226</v>
      </c>
      <c r="I256" s="44">
        <v>45608</v>
      </c>
      <c r="J256" s="44">
        <v>45616</v>
      </c>
      <c r="K256" s="45">
        <v>0</v>
      </c>
      <c r="L256" s="45">
        <v>0</v>
      </c>
      <c r="M256" s="45">
        <v>0</v>
      </c>
      <c r="N256" s="45">
        <v>1</v>
      </c>
      <c r="O256" s="45">
        <v>66.831599999999995</v>
      </c>
      <c r="P256" s="62">
        <f t="shared" si="4"/>
        <v>1</v>
      </c>
    </row>
    <row r="257" spans="1:16" x14ac:dyDescent="0.25">
      <c r="A257" s="43" t="s">
        <v>200</v>
      </c>
      <c r="B257" s="43" t="s">
        <v>291</v>
      </c>
      <c r="C257" s="43" t="s">
        <v>292</v>
      </c>
      <c r="D257" s="43" t="s">
        <v>293</v>
      </c>
      <c r="E257" s="43" t="s">
        <v>331</v>
      </c>
      <c r="F257" s="43" t="s">
        <v>312</v>
      </c>
      <c r="G257" s="43" t="s">
        <v>232</v>
      </c>
      <c r="H257" s="43" t="s">
        <v>226</v>
      </c>
      <c r="I257" s="44">
        <v>45608</v>
      </c>
      <c r="J257" s="44">
        <v>45647</v>
      </c>
      <c r="K257" s="45">
        <v>0</v>
      </c>
      <c r="L257" s="45">
        <v>0</v>
      </c>
      <c r="M257" s="45">
        <v>0</v>
      </c>
      <c r="N257" s="45">
        <v>6</v>
      </c>
      <c r="O257" s="45">
        <v>525.55139999999994</v>
      </c>
      <c r="P257" s="62">
        <f t="shared" si="4"/>
        <v>6</v>
      </c>
    </row>
    <row r="258" spans="1:16" x14ac:dyDescent="0.25">
      <c r="A258" s="43" t="s">
        <v>200</v>
      </c>
      <c r="B258" s="43" t="s">
        <v>291</v>
      </c>
      <c r="C258" s="43" t="s">
        <v>292</v>
      </c>
      <c r="D258" s="43" t="s">
        <v>293</v>
      </c>
      <c r="E258" s="43" t="s">
        <v>331</v>
      </c>
      <c r="F258" s="43" t="s">
        <v>312</v>
      </c>
      <c r="G258" s="43" t="s">
        <v>233</v>
      </c>
      <c r="H258" s="43" t="s">
        <v>226</v>
      </c>
      <c r="I258" s="44">
        <v>45608</v>
      </c>
      <c r="J258" s="44">
        <v>45645</v>
      </c>
      <c r="K258" s="45">
        <v>0</v>
      </c>
      <c r="L258" s="45">
        <v>0</v>
      </c>
      <c r="M258" s="45">
        <v>0</v>
      </c>
      <c r="N258" s="45">
        <v>7</v>
      </c>
      <c r="O258" s="45">
        <v>603.55330000000004</v>
      </c>
      <c r="P258" s="62">
        <f t="shared" si="4"/>
        <v>7</v>
      </c>
    </row>
    <row r="259" spans="1:16" x14ac:dyDescent="0.25">
      <c r="A259" s="43" t="s">
        <v>200</v>
      </c>
      <c r="B259" s="43" t="s">
        <v>291</v>
      </c>
      <c r="C259" s="43" t="s">
        <v>292</v>
      </c>
      <c r="D259" s="43" t="s">
        <v>293</v>
      </c>
      <c r="E259" s="43" t="s">
        <v>331</v>
      </c>
      <c r="F259" s="43" t="s">
        <v>312</v>
      </c>
      <c r="G259" s="43" t="s">
        <v>234</v>
      </c>
      <c r="H259" s="43" t="s">
        <v>226</v>
      </c>
      <c r="I259" s="44">
        <v>45608</v>
      </c>
      <c r="J259" s="44">
        <v>45629</v>
      </c>
      <c r="K259" s="45">
        <v>0</v>
      </c>
      <c r="L259" s="45">
        <v>0</v>
      </c>
      <c r="M259" s="45">
        <v>0</v>
      </c>
      <c r="N259" s="45">
        <v>3</v>
      </c>
      <c r="O259" s="45">
        <v>265.66019999999997</v>
      </c>
      <c r="P259" s="62">
        <f t="shared" si="4"/>
        <v>3</v>
      </c>
    </row>
    <row r="260" spans="1:16" x14ac:dyDescent="0.25">
      <c r="A260" s="43" t="s">
        <v>200</v>
      </c>
      <c r="B260" s="43" t="s">
        <v>291</v>
      </c>
      <c r="C260" s="43" t="s">
        <v>292</v>
      </c>
      <c r="D260" s="43" t="s">
        <v>293</v>
      </c>
      <c r="E260" s="43" t="s">
        <v>332</v>
      </c>
      <c r="F260" s="43" t="s">
        <v>312</v>
      </c>
      <c r="G260" s="43" t="s">
        <v>232</v>
      </c>
      <c r="H260" s="43" t="s">
        <v>226</v>
      </c>
      <c r="I260" s="44">
        <v>45608</v>
      </c>
      <c r="J260" s="44">
        <v>45636</v>
      </c>
      <c r="K260" s="45">
        <v>0</v>
      </c>
      <c r="L260" s="45">
        <v>0</v>
      </c>
      <c r="M260" s="45">
        <v>0</v>
      </c>
      <c r="N260" s="45">
        <v>6</v>
      </c>
      <c r="O260" s="45">
        <v>521.8152</v>
      </c>
      <c r="P260" s="62">
        <f t="shared" si="4"/>
        <v>6</v>
      </c>
    </row>
    <row r="261" spans="1:16" x14ac:dyDescent="0.25">
      <c r="A261" s="43" t="s">
        <v>200</v>
      </c>
      <c r="B261" s="43" t="s">
        <v>291</v>
      </c>
      <c r="C261" s="43" t="s">
        <v>292</v>
      </c>
      <c r="D261" s="43" t="s">
        <v>293</v>
      </c>
      <c r="E261" s="43" t="s">
        <v>332</v>
      </c>
      <c r="F261" s="43" t="s">
        <v>312</v>
      </c>
      <c r="G261" s="43" t="s">
        <v>233</v>
      </c>
      <c r="H261" s="43" t="s">
        <v>226</v>
      </c>
      <c r="I261" s="44">
        <v>45608</v>
      </c>
      <c r="J261" s="44">
        <v>45646</v>
      </c>
      <c r="K261" s="45">
        <v>0</v>
      </c>
      <c r="L261" s="45">
        <v>0</v>
      </c>
      <c r="M261" s="45">
        <v>0</v>
      </c>
      <c r="N261" s="45">
        <v>7</v>
      </c>
      <c r="O261" s="45">
        <v>608.03679999999997</v>
      </c>
      <c r="P261" s="62">
        <f t="shared" si="4"/>
        <v>7</v>
      </c>
    </row>
    <row r="262" spans="1:16" x14ac:dyDescent="0.25">
      <c r="A262" s="43" t="s">
        <v>200</v>
      </c>
      <c r="B262" s="43" t="s">
        <v>291</v>
      </c>
      <c r="C262" s="43" t="s">
        <v>292</v>
      </c>
      <c r="D262" s="43" t="s">
        <v>293</v>
      </c>
      <c r="E262" s="43" t="s">
        <v>332</v>
      </c>
      <c r="F262" s="43" t="s">
        <v>312</v>
      </c>
      <c r="G262" s="43" t="s">
        <v>234</v>
      </c>
      <c r="H262" s="43" t="s">
        <v>226</v>
      </c>
      <c r="I262" s="44">
        <v>45608</v>
      </c>
      <c r="J262" s="44">
        <v>45635</v>
      </c>
      <c r="K262" s="45">
        <v>0</v>
      </c>
      <c r="L262" s="45">
        <v>0</v>
      </c>
      <c r="M262" s="45">
        <v>0</v>
      </c>
      <c r="N262" s="45">
        <v>5</v>
      </c>
      <c r="O262" s="45">
        <v>444.34500000000003</v>
      </c>
      <c r="P262" s="62">
        <f t="shared" si="4"/>
        <v>5</v>
      </c>
    </row>
    <row r="263" spans="1:16" x14ac:dyDescent="0.25">
      <c r="A263" s="43" t="s">
        <v>200</v>
      </c>
      <c r="B263" s="43" t="s">
        <v>291</v>
      </c>
      <c r="C263" s="43" t="s">
        <v>292</v>
      </c>
      <c r="D263" s="43" t="s">
        <v>293</v>
      </c>
      <c r="E263" s="43" t="s">
        <v>332</v>
      </c>
      <c r="F263" s="43" t="s">
        <v>312</v>
      </c>
      <c r="G263" s="43" t="s">
        <v>259</v>
      </c>
      <c r="H263" s="43" t="s">
        <v>226</v>
      </c>
      <c r="I263" s="44">
        <v>45608</v>
      </c>
      <c r="J263" s="44">
        <v>45636</v>
      </c>
      <c r="K263" s="45">
        <v>0</v>
      </c>
      <c r="L263" s="45">
        <v>0</v>
      </c>
      <c r="M263" s="45">
        <v>0</v>
      </c>
      <c r="N263" s="45">
        <v>3</v>
      </c>
      <c r="O263" s="45">
        <v>266.13810000000001</v>
      </c>
      <c r="P263" s="62">
        <f t="shared" si="4"/>
        <v>3</v>
      </c>
    </row>
    <row r="264" spans="1:16" x14ac:dyDescent="0.25">
      <c r="A264" s="43" t="s">
        <v>200</v>
      </c>
      <c r="B264" s="43" t="s">
        <v>291</v>
      </c>
      <c r="C264" s="43" t="s">
        <v>292</v>
      </c>
      <c r="D264" s="43" t="s">
        <v>293</v>
      </c>
      <c r="E264" s="43" t="s">
        <v>332</v>
      </c>
      <c r="F264" s="43" t="s">
        <v>312</v>
      </c>
      <c r="G264" s="43" t="s">
        <v>296</v>
      </c>
      <c r="H264" s="43" t="s">
        <v>226</v>
      </c>
      <c r="I264" s="44">
        <v>45608</v>
      </c>
      <c r="J264" s="44">
        <v>45608</v>
      </c>
      <c r="K264" s="45">
        <v>0</v>
      </c>
      <c r="L264" s="45">
        <v>0</v>
      </c>
      <c r="M264" s="45">
        <v>0</v>
      </c>
      <c r="N264" s="45">
        <v>1</v>
      </c>
      <c r="O264" s="45">
        <v>86.221900000000005</v>
      </c>
      <c r="P264" s="62">
        <f t="shared" ref="P264:P327" si="5">K264+N264</f>
        <v>1</v>
      </c>
    </row>
    <row r="265" spans="1:16" x14ac:dyDescent="0.25">
      <c r="A265" s="43" t="s">
        <v>200</v>
      </c>
      <c r="B265" s="43" t="s">
        <v>291</v>
      </c>
      <c r="C265" s="43" t="s">
        <v>292</v>
      </c>
      <c r="D265" s="43" t="s">
        <v>293</v>
      </c>
      <c r="E265" s="43" t="s">
        <v>333</v>
      </c>
      <c r="F265" s="43" t="s">
        <v>286</v>
      </c>
      <c r="G265" s="43" t="s">
        <v>232</v>
      </c>
      <c r="H265" s="43" t="s">
        <v>207</v>
      </c>
      <c r="I265" s="44">
        <v>45591</v>
      </c>
      <c r="J265" s="44">
        <v>45638</v>
      </c>
      <c r="K265" s="45">
        <v>52</v>
      </c>
      <c r="L265" s="45">
        <v>2700.0052000000001</v>
      </c>
      <c r="M265" s="45">
        <v>7597</v>
      </c>
      <c r="N265" s="45">
        <v>1</v>
      </c>
      <c r="O265" s="45">
        <v>53.256100000000004</v>
      </c>
      <c r="P265" s="62">
        <f t="shared" si="5"/>
        <v>53</v>
      </c>
    </row>
    <row r="266" spans="1:16" x14ac:dyDescent="0.25">
      <c r="A266" s="43" t="s">
        <v>200</v>
      </c>
      <c r="B266" s="43" t="s">
        <v>291</v>
      </c>
      <c r="C266" s="43" t="s">
        <v>292</v>
      </c>
      <c r="D266" s="43" t="s">
        <v>293</v>
      </c>
      <c r="E266" s="43" t="s">
        <v>333</v>
      </c>
      <c r="F266" s="43" t="s">
        <v>286</v>
      </c>
      <c r="G266" s="43" t="s">
        <v>233</v>
      </c>
      <c r="H266" s="43" t="s">
        <v>207</v>
      </c>
      <c r="I266" s="44">
        <v>45591</v>
      </c>
      <c r="J266" s="44">
        <v>45647</v>
      </c>
      <c r="K266" s="45">
        <v>75</v>
      </c>
      <c r="L266" s="45">
        <v>3940.7696000000001</v>
      </c>
      <c r="M266" s="45">
        <v>10912.65</v>
      </c>
      <c r="N266" s="45">
        <v>8</v>
      </c>
      <c r="O266" s="45">
        <v>431.39440000000002</v>
      </c>
      <c r="P266" s="62">
        <f t="shared" si="5"/>
        <v>83</v>
      </c>
    </row>
    <row r="267" spans="1:16" x14ac:dyDescent="0.25">
      <c r="A267" s="43" t="s">
        <v>200</v>
      </c>
      <c r="B267" s="43" t="s">
        <v>291</v>
      </c>
      <c r="C267" s="43" t="s">
        <v>292</v>
      </c>
      <c r="D267" s="43" t="s">
        <v>293</v>
      </c>
      <c r="E267" s="43" t="s">
        <v>333</v>
      </c>
      <c r="F267" s="43" t="s">
        <v>286</v>
      </c>
      <c r="G267" s="43" t="s">
        <v>234</v>
      </c>
      <c r="H267" s="43" t="s">
        <v>207</v>
      </c>
      <c r="I267" s="44">
        <v>45591</v>
      </c>
      <c r="J267" s="44">
        <v>45645</v>
      </c>
      <c r="K267" s="45">
        <v>54</v>
      </c>
      <c r="L267" s="45">
        <v>2804.9088000000002</v>
      </c>
      <c r="M267" s="45">
        <v>7822.37</v>
      </c>
      <c r="N267" s="45">
        <v>7</v>
      </c>
      <c r="O267" s="45">
        <v>372.31950000000001</v>
      </c>
      <c r="P267" s="62">
        <f t="shared" si="5"/>
        <v>61</v>
      </c>
    </row>
    <row r="268" spans="1:16" x14ac:dyDescent="0.25">
      <c r="A268" s="43" t="s">
        <v>200</v>
      </c>
      <c r="B268" s="43" t="s">
        <v>291</v>
      </c>
      <c r="C268" s="43" t="s">
        <v>292</v>
      </c>
      <c r="D268" s="43" t="s">
        <v>293</v>
      </c>
      <c r="E268" s="43" t="s">
        <v>333</v>
      </c>
      <c r="F268" s="43" t="s">
        <v>286</v>
      </c>
      <c r="G268" s="43" t="s">
        <v>296</v>
      </c>
      <c r="H268" s="43" t="s">
        <v>207</v>
      </c>
      <c r="I268" s="44">
        <v>45590</v>
      </c>
      <c r="J268" s="44">
        <v>45635</v>
      </c>
      <c r="K268" s="45">
        <v>28</v>
      </c>
      <c r="L268" s="45">
        <v>1447.8144</v>
      </c>
      <c r="M268" s="45">
        <v>4120.3900000000003</v>
      </c>
      <c r="N268" s="45">
        <v>1</v>
      </c>
      <c r="O268" s="45">
        <v>53.991399999999999</v>
      </c>
      <c r="P268" s="62">
        <f t="shared" si="5"/>
        <v>29</v>
      </c>
    </row>
    <row r="269" spans="1:16" x14ac:dyDescent="0.25">
      <c r="A269" s="43" t="s">
        <v>200</v>
      </c>
      <c r="B269" s="43" t="s">
        <v>291</v>
      </c>
      <c r="C269" s="43" t="s">
        <v>292</v>
      </c>
      <c r="D269" s="43" t="s">
        <v>293</v>
      </c>
      <c r="E269" s="43" t="s">
        <v>334</v>
      </c>
      <c r="F269" s="43" t="s">
        <v>286</v>
      </c>
      <c r="G269" s="43" t="s">
        <v>232</v>
      </c>
      <c r="H269" s="43" t="s">
        <v>218</v>
      </c>
      <c r="I269" s="44">
        <v>45591</v>
      </c>
      <c r="J269" s="44">
        <v>45647</v>
      </c>
      <c r="K269" s="45">
        <v>25</v>
      </c>
      <c r="L269" s="45">
        <v>1306.6424999999999</v>
      </c>
      <c r="M269" s="45">
        <v>3653.6</v>
      </c>
      <c r="N269" s="45">
        <v>6</v>
      </c>
      <c r="O269" s="45">
        <v>321.72059999999999</v>
      </c>
      <c r="P269" s="62">
        <f t="shared" si="5"/>
        <v>31</v>
      </c>
    </row>
    <row r="270" spans="1:16" x14ac:dyDescent="0.25">
      <c r="A270" s="43" t="s">
        <v>200</v>
      </c>
      <c r="B270" s="43" t="s">
        <v>291</v>
      </c>
      <c r="C270" s="43" t="s">
        <v>292</v>
      </c>
      <c r="D270" s="43" t="s">
        <v>293</v>
      </c>
      <c r="E270" s="43" t="s">
        <v>334</v>
      </c>
      <c r="F270" s="43" t="s">
        <v>286</v>
      </c>
      <c r="G270" s="43" t="s">
        <v>233</v>
      </c>
      <c r="H270" s="43" t="s">
        <v>218</v>
      </c>
      <c r="I270" s="44">
        <v>45591</v>
      </c>
      <c r="J270" s="44">
        <v>45647</v>
      </c>
      <c r="K270" s="45">
        <v>28</v>
      </c>
      <c r="L270" s="45">
        <v>1468.376</v>
      </c>
      <c r="M270" s="45">
        <v>4039.95</v>
      </c>
      <c r="N270" s="45">
        <v>10</v>
      </c>
      <c r="O270" s="45">
        <v>537.92999999999995</v>
      </c>
      <c r="P270" s="62">
        <f t="shared" si="5"/>
        <v>38</v>
      </c>
    </row>
    <row r="271" spans="1:16" x14ac:dyDescent="0.25">
      <c r="A271" s="43" t="s">
        <v>200</v>
      </c>
      <c r="B271" s="43" t="s">
        <v>291</v>
      </c>
      <c r="C271" s="43" t="s">
        <v>292</v>
      </c>
      <c r="D271" s="43" t="s">
        <v>293</v>
      </c>
      <c r="E271" s="43" t="s">
        <v>334</v>
      </c>
      <c r="F271" s="43" t="s">
        <v>286</v>
      </c>
      <c r="G271" s="43" t="s">
        <v>234</v>
      </c>
      <c r="H271" s="43" t="s">
        <v>218</v>
      </c>
      <c r="I271" s="44">
        <v>45591</v>
      </c>
      <c r="J271" s="44">
        <v>45646</v>
      </c>
      <c r="K271" s="45">
        <v>13</v>
      </c>
      <c r="L271" s="45">
        <v>678.56200000000001</v>
      </c>
      <c r="M271" s="45">
        <v>1883.14</v>
      </c>
      <c r="N271" s="45">
        <v>7</v>
      </c>
      <c r="O271" s="45">
        <v>375.05860000000001</v>
      </c>
      <c r="P271" s="62">
        <f t="shared" si="5"/>
        <v>20</v>
      </c>
    </row>
    <row r="272" spans="1:16" x14ac:dyDescent="0.25">
      <c r="A272" s="43" t="s">
        <v>200</v>
      </c>
      <c r="B272" s="43" t="s">
        <v>291</v>
      </c>
      <c r="C272" s="43" t="s">
        <v>292</v>
      </c>
      <c r="D272" s="43" t="s">
        <v>293</v>
      </c>
      <c r="E272" s="43" t="s">
        <v>334</v>
      </c>
      <c r="F272" s="43" t="s">
        <v>286</v>
      </c>
      <c r="G272" s="43" t="s">
        <v>259</v>
      </c>
      <c r="H272" s="43" t="s">
        <v>218</v>
      </c>
      <c r="I272" s="44">
        <v>45590</v>
      </c>
      <c r="J272" s="44">
        <v>45590</v>
      </c>
      <c r="K272" s="45">
        <v>4</v>
      </c>
      <c r="L272" s="45">
        <v>205.29040000000001</v>
      </c>
      <c r="M272" s="45">
        <v>579.44000000000005</v>
      </c>
      <c r="N272" s="45">
        <v>0</v>
      </c>
      <c r="O272" s="45">
        <v>0</v>
      </c>
      <c r="P272" s="62">
        <f t="shared" si="5"/>
        <v>4</v>
      </c>
    </row>
    <row r="273" spans="1:16" x14ac:dyDescent="0.25">
      <c r="A273" s="43" t="s">
        <v>200</v>
      </c>
      <c r="B273" s="43" t="s">
        <v>291</v>
      </c>
      <c r="C273" s="43" t="s">
        <v>292</v>
      </c>
      <c r="D273" s="43" t="s">
        <v>293</v>
      </c>
      <c r="E273" s="43" t="s">
        <v>334</v>
      </c>
      <c r="F273" s="43" t="s">
        <v>286</v>
      </c>
      <c r="G273" s="43" t="s">
        <v>296</v>
      </c>
      <c r="H273" s="43" t="s">
        <v>218</v>
      </c>
      <c r="I273" s="44">
        <v>45591</v>
      </c>
      <c r="J273" s="44">
        <v>45643</v>
      </c>
      <c r="K273" s="45">
        <v>12</v>
      </c>
      <c r="L273" s="45">
        <v>632.35919999999999</v>
      </c>
      <c r="M273" s="45">
        <v>1738.3</v>
      </c>
      <c r="N273" s="45">
        <v>4</v>
      </c>
      <c r="O273" s="45">
        <v>215.49080000000001</v>
      </c>
      <c r="P273" s="62">
        <f t="shared" si="5"/>
        <v>16</v>
      </c>
    </row>
    <row r="274" spans="1:16" x14ac:dyDescent="0.25">
      <c r="A274" s="43" t="s">
        <v>200</v>
      </c>
      <c r="B274" s="43" t="s">
        <v>291</v>
      </c>
      <c r="C274" s="43" t="s">
        <v>292</v>
      </c>
      <c r="D274" s="43" t="s">
        <v>293</v>
      </c>
      <c r="E274" s="43" t="s">
        <v>335</v>
      </c>
      <c r="F274" s="43" t="s">
        <v>286</v>
      </c>
      <c r="G274" s="43" t="s">
        <v>232</v>
      </c>
      <c r="H274" s="43" t="s">
        <v>218</v>
      </c>
      <c r="I274" s="44">
        <v>45591</v>
      </c>
      <c r="J274" s="44">
        <v>45646</v>
      </c>
      <c r="K274" s="45">
        <v>33</v>
      </c>
      <c r="L274" s="45">
        <v>1730.5714</v>
      </c>
      <c r="M274" s="45">
        <v>4796.3900000000003</v>
      </c>
      <c r="N274" s="45">
        <v>10</v>
      </c>
      <c r="O274" s="45">
        <v>537.86400000000003</v>
      </c>
      <c r="P274" s="62">
        <f t="shared" si="5"/>
        <v>43</v>
      </c>
    </row>
    <row r="275" spans="1:16" x14ac:dyDescent="0.25">
      <c r="A275" s="43" t="s">
        <v>200</v>
      </c>
      <c r="B275" s="43" t="s">
        <v>291</v>
      </c>
      <c r="C275" s="43" t="s">
        <v>292</v>
      </c>
      <c r="D275" s="43" t="s">
        <v>293</v>
      </c>
      <c r="E275" s="43" t="s">
        <v>335</v>
      </c>
      <c r="F275" s="43" t="s">
        <v>286</v>
      </c>
      <c r="G275" s="43" t="s">
        <v>233</v>
      </c>
      <c r="H275" s="43" t="s">
        <v>218</v>
      </c>
      <c r="I275" s="44">
        <v>45591</v>
      </c>
      <c r="J275" s="44">
        <v>45647</v>
      </c>
      <c r="K275" s="45">
        <v>40</v>
      </c>
      <c r="L275" s="45">
        <v>2098.5864000000001</v>
      </c>
      <c r="M275" s="45">
        <v>5842.6</v>
      </c>
      <c r="N275" s="45">
        <v>12</v>
      </c>
      <c r="O275" s="45">
        <v>645.57240000000002</v>
      </c>
      <c r="P275" s="62">
        <f t="shared" si="5"/>
        <v>52</v>
      </c>
    </row>
    <row r="276" spans="1:16" x14ac:dyDescent="0.25">
      <c r="A276" s="43" t="s">
        <v>200</v>
      </c>
      <c r="B276" s="43" t="s">
        <v>291</v>
      </c>
      <c r="C276" s="43" t="s">
        <v>292</v>
      </c>
      <c r="D276" s="43" t="s">
        <v>293</v>
      </c>
      <c r="E276" s="43" t="s">
        <v>335</v>
      </c>
      <c r="F276" s="43" t="s">
        <v>286</v>
      </c>
      <c r="G276" s="43" t="s">
        <v>234</v>
      </c>
      <c r="H276" s="43" t="s">
        <v>218</v>
      </c>
      <c r="I276" s="44">
        <v>45591</v>
      </c>
      <c r="J276" s="44">
        <v>45646</v>
      </c>
      <c r="K276" s="45">
        <v>31</v>
      </c>
      <c r="L276" s="45">
        <v>1624.6110000000001</v>
      </c>
      <c r="M276" s="45">
        <v>4522.7700000000004</v>
      </c>
      <c r="N276" s="45">
        <v>6</v>
      </c>
      <c r="O276" s="45">
        <v>322.4316</v>
      </c>
      <c r="P276" s="62">
        <f t="shared" si="5"/>
        <v>37</v>
      </c>
    </row>
    <row r="277" spans="1:16" x14ac:dyDescent="0.25">
      <c r="A277" s="43" t="s">
        <v>200</v>
      </c>
      <c r="B277" s="43" t="s">
        <v>291</v>
      </c>
      <c r="C277" s="43" t="s">
        <v>292</v>
      </c>
      <c r="D277" s="43" t="s">
        <v>293</v>
      </c>
      <c r="E277" s="43" t="s">
        <v>335</v>
      </c>
      <c r="F277" s="43" t="s">
        <v>286</v>
      </c>
      <c r="G277" s="43" t="s">
        <v>296</v>
      </c>
      <c r="H277" s="43" t="s">
        <v>218</v>
      </c>
      <c r="I277" s="44">
        <v>45591</v>
      </c>
      <c r="J277" s="44">
        <v>45643</v>
      </c>
      <c r="K277" s="45">
        <v>14</v>
      </c>
      <c r="L277" s="45">
        <v>733.26599999999996</v>
      </c>
      <c r="M277" s="45">
        <v>2044.11</v>
      </c>
      <c r="N277" s="45">
        <v>5</v>
      </c>
      <c r="O277" s="45">
        <v>268.55149999999998</v>
      </c>
      <c r="P277" s="62">
        <f t="shared" si="5"/>
        <v>19</v>
      </c>
    </row>
    <row r="278" spans="1:16" x14ac:dyDescent="0.25">
      <c r="A278" s="43" t="s">
        <v>200</v>
      </c>
      <c r="B278" s="43" t="s">
        <v>291</v>
      </c>
      <c r="C278" s="43" t="s">
        <v>292</v>
      </c>
      <c r="D278" s="43" t="s">
        <v>293</v>
      </c>
      <c r="E278" s="43" t="s">
        <v>336</v>
      </c>
      <c r="F278" s="43" t="s">
        <v>286</v>
      </c>
      <c r="G278" s="43" t="s">
        <v>232</v>
      </c>
      <c r="H278" s="43" t="s">
        <v>207</v>
      </c>
      <c r="I278" s="44">
        <v>45590</v>
      </c>
      <c r="J278" s="44">
        <v>45605</v>
      </c>
      <c r="K278" s="45">
        <v>5</v>
      </c>
      <c r="L278" s="45">
        <v>255.75550000000001</v>
      </c>
      <c r="M278" s="45">
        <v>756.47</v>
      </c>
      <c r="N278" s="45">
        <v>1</v>
      </c>
      <c r="O278" s="45">
        <v>51.1511</v>
      </c>
      <c r="P278" s="62">
        <f t="shared" si="5"/>
        <v>6</v>
      </c>
    </row>
    <row r="279" spans="1:16" x14ac:dyDescent="0.25">
      <c r="A279" s="43" t="s">
        <v>200</v>
      </c>
      <c r="B279" s="43" t="s">
        <v>291</v>
      </c>
      <c r="C279" s="43" t="s">
        <v>292</v>
      </c>
      <c r="D279" s="43" t="s">
        <v>293</v>
      </c>
      <c r="E279" s="43" t="s">
        <v>336</v>
      </c>
      <c r="F279" s="43" t="s">
        <v>286</v>
      </c>
      <c r="G279" s="43" t="s">
        <v>233</v>
      </c>
      <c r="H279" s="43" t="s">
        <v>207</v>
      </c>
      <c r="I279" s="44">
        <v>45591</v>
      </c>
      <c r="J279" s="44">
        <v>45609</v>
      </c>
      <c r="K279" s="45">
        <v>8</v>
      </c>
      <c r="L279" s="45">
        <v>410.58080000000001</v>
      </c>
      <c r="M279" s="45">
        <v>1158.8699999999999</v>
      </c>
      <c r="N279" s="45">
        <v>1</v>
      </c>
      <c r="O279" s="45">
        <v>51.322600000000001</v>
      </c>
      <c r="P279" s="62">
        <f t="shared" si="5"/>
        <v>9</v>
      </c>
    </row>
    <row r="280" spans="1:16" x14ac:dyDescent="0.25">
      <c r="A280" s="43" t="s">
        <v>200</v>
      </c>
      <c r="B280" s="43" t="s">
        <v>291</v>
      </c>
      <c r="C280" s="43" t="s">
        <v>292</v>
      </c>
      <c r="D280" s="43" t="s">
        <v>293</v>
      </c>
      <c r="E280" s="43" t="s">
        <v>336</v>
      </c>
      <c r="F280" s="43" t="s">
        <v>286</v>
      </c>
      <c r="G280" s="43" t="s">
        <v>234</v>
      </c>
      <c r="H280" s="43" t="s">
        <v>207</v>
      </c>
      <c r="I280" s="44">
        <v>45591</v>
      </c>
      <c r="J280" s="44">
        <v>45605</v>
      </c>
      <c r="K280" s="45">
        <v>4</v>
      </c>
      <c r="L280" s="45">
        <v>203.07239999999999</v>
      </c>
      <c r="M280" s="45">
        <v>579.42999999999995</v>
      </c>
      <c r="N280" s="45">
        <v>0</v>
      </c>
      <c r="O280" s="45">
        <v>0</v>
      </c>
      <c r="P280" s="62">
        <f t="shared" si="5"/>
        <v>4</v>
      </c>
    </row>
    <row r="281" spans="1:16" x14ac:dyDescent="0.25">
      <c r="A281" s="43" t="s">
        <v>200</v>
      </c>
      <c r="B281" s="43" t="s">
        <v>291</v>
      </c>
      <c r="C281" s="43" t="s">
        <v>292</v>
      </c>
      <c r="D281" s="43" t="s">
        <v>293</v>
      </c>
      <c r="E281" s="43" t="s">
        <v>336</v>
      </c>
      <c r="F281" s="43" t="s">
        <v>286</v>
      </c>
      <c r="G281" s="43" t="s">
        <v>259</v>
      </c>
      <c r="H281" s="43" t="s">
        <v>207</v>
      </c>
      <c r="I281" s="44">
        <v>45591</v>
      </c>
      <c r="J281" s="44">
        <v>45591</v>
      </c>
      <c r="K281" s="45">
        <v>1</v>
      </c>
      <c r="L281" s="45">
        <v>51.322600000000001</v>
      </c>
      <c r="M281" s="45">
        <v>144.86000000000001</v>
      </c>
      <c r="N281" s="45">
        <v>0</v>
      </c>
      <c r="O281" s="45">
        <v>0</v>
      </c>
      <c r="P281" s="62">
        <f t="shared" si="5"/>
        <v>1</v>
      </c>
    </row>
    <row r="282" spans="1:16" x14ac:dyDescent="0.25">
      <c r="A282" s="43" t="s">
        <v>200</v>
      </c>
      <c r="B282" s="43" t="s">
        <v>291</v>
      </c>
      <c r="C282" s="43" t="s">
        <v>292</v>
      </c>
      <c r="D282" s="43" t="s">
        <v>293</v>
      </c>
      <c r="E282" s="43" t="s">
        <v>336</v>
      </c>
      <c r="F282" s="43" t="s">
        <v>286</v>
      </c>
      <c r="G282" s="43" t="s">
        <v>296</v>
      </c>
      <c r="H282" s="43" t="s">
        <v>207</v>
      </c>
      <c r="I282" s="44">
        <v>45591</v>
      </c>
      <c r="J282" s="44">
        <v>45605</v>
      </c>
      <c r="K282" s="45">
        <v>1</v>
      </c>
      <c r="L282" s="45">
        <v>51.322600000000001</v>
      </c>
      <c r="M282" s="45">
        <v>144.86000000000001</v>
      </c>
      <c r="N282" s="45">
        <v>0</v>
      </c>
      <c r="O282" s="45">
        <v>0</v>
      </c>
      <c r="P282" s="62">
        <f t="shared" si="5"/>
        <v>1</v>
      </c>
    </row>
    <row r="283" spans="1:16" x14ac:dyDescent="0.25">
      <c r="A283" s="43" t="s">
        <v>200</v>
      </c>
      <c r="B283" s="43" t="s">
        <v>291</v>
      </c>
      <c r="C283" s="43" t="s">
        <v>292</v>
      </c>
      <c r="D283" s="43" t="s">
        <v>293</v>
      </c>
      <c r="E283" s="43" t="s">
        <v>337</v>
      </c>
      <c r="F283" s="43" t="s">
        <v>286</v>
      </c>
      <c r="G283" s="43" t="s">
        <v>232</v>
      </c>
      <c r="H283" s="43" t="s">
        <v>218</v>
      </c>
      <c r="I283" s="44">
        <v>45593</v>
      </c>
      <c r="J283" s="44">
        <v>45646</v>
      </c>
      <c r="K283" s="45">
        <v>9</v>
      </c>
      <c r="L283" s="45">
        <v>471.51639999999998</v>
      </c>
      <c r="M283" s="45">
        <v>1319.82</v>
      </c>
      <c r="N283" s="45">
        <v>6</v>
      </c>
      <c r="O283" s="45">
        <v>322.71300000000002</v>
      </c>
      <c r="P283" s="62">
        <f t="shared" si="5"/>
        <v>15</v>
      </c>
    </row>
    <row r="284" spans="1:16" x14ac:dyDescent="0.25">
      <c r="A284" s="43" t="s">
        <v>200</v>
      </c>
      <c r="B284" s="43" t="s">
        <v>291</v>
      </c>
      <c r="C284" s="43" t="s">
        <v>292</v>
      </c>
      <c r="D284" s="43" t="s">
        <v>293</v>
      </c>
      <c r="E284" s="43" t="s">
        <v>337</v>
      </c>
      <c r="F284" s="43" t="s">
        <v>286</v>
      </c>
      <c r="G284" s="43" t="s">
        <v>233</v>
      </c>
      <c r="H284" s="43" t="s">
        <v>218</v>
      </c>
      <c r="I284" s="44">
        <v>45593</v>
      </c>
      <c r="J284" s="44">
        <v>45647</v>
      </c>
      <c r="K284" s="45">
        <v>15</v>
      </c>
      <c r="L284" s="45">
        <v>792.19799999999998</v>
      </c>
      <c r="M284" s="45">
        <v>2172.87</v>
      </c>
      <c r="N284" s="45">
        <v>7</v>
      </c>
      <c r="O284" s="45">
        <v>376.93110000000001</v>
      </c>
      <c r="P284" s="62">
        <f t="shared" si="5"/>
        <v>22</v>
      </c>
    </row>
    <row r="285" spans="1:16" x14ac:dyDescent="0.25">
      <c r="A285" s="43" t="s">
        <v>200</v>
      </c>
      <c r="B285" s="43" t="s">
        <v>291</v>
      </c>
      <c r="C285" s="43" t="s">
        <v>292</v>
      </c>
      <c r="D285" s="43" t="s">
        <v>293</v>
      </c>
      <c r="E285" s="43" t="s">
        <v>337</v>
      </c>
      <c r="F285" s="43" t="s">
        <v>286</v>
      </c>
      <c r="G285" s="43" t="s">
        <v>234</v>
      </c>
      <c r="H285" s="43" t="s">
        <v>218</v>
      </c>
      <c r="I285" s="44">
        <v>45593</v>
      </c>
      <c r="J285" s="44">
        <v>45646</v>
      </c>
      <c r="K285" s="45">
        <v>10</v>
      </c>
      <c r="L285" s="45">
        <v>528.14419999999996</v>
      </c>
      <c r="M285" s="45">
        <v>1448.58</v>
      </c>
      <c r="N285" s="45">
        <v>6</v>
      </c>
      <c r="O285" s="45">
        <v>322.37459999999999</v>
      </c>
      <c r="P285" s="62">
        <f t="shared" si="5"/>
        <v>16</v>
      </c>
    </row>
    <row r="286" spans="1:16" x14ac:dyDescent="0.25">
      <c r="A286" s="43" t="s">
        <v>200</v>
      </c>
      <c r="B286" s="43" t="s">
        <v>291</v>
      </c>
      <c r="C286" s="43" t="s">
        <v>292</v>
      </c>
      <c r="D286" s="43" t="s">
        <v>293</v>
      </c>
      <c r="E286" s="43" t="s">
        <v>337</v>
      </c>
      <c r="F286" s="43" t="s">
        <v>286</v>
      </c>
      <c r="G286" s="43" t="s">
        <v>259</v>
      </c>
      <c r="H286" s="43" t="s">
        <v>218</v>
      </c>
      <c r="I286" s="44">
        <v>45593</v>
      </c>
      <c r="J286" s="44">
        <v>45593</v>
      </c>
      <c r="K286" s="45">
        <v>3</v>
      </c>
      <c r="L286" s="45">
        <v>153.96780000000001</v>
      </c>
      <c r="M286" s="45">
        <v>434.57</v>
      </c>
      <c r="N286" s="45">
        <v>0</v>
      </c>
      <c r="O286" s="45">
        <v>0</v>
      </c>
      <c r="P286" s="62">
        <f t="shared" si="5"/>
        <v>3</v>
      </c>
    </row>
    <row r="287" spans="1:16" x14ac:dyDescent="0.25">
      <c r="A287" s="43" t="s">
        <v>200</v>
      </c>
      <c r="B287" s="43" t="s">
        <v>291</v>
      </c>
      <c r="C287" s="43" t="s">
        <v>292</v>
      </c>
      <c r="D287" s="43" t="s">
        <v>293</v>
      </c>
      <c r="E287" s="43" t="s">
        <v>337</v>
      </c>
      <c r="F287" s="43" t="s">
        <v>286</v>
      </c>
      <c r="G287" s="43" t="s">
        <v>296</v>
      </c>
      <c r="H287" s="43" t="s">
        <v>218</v>
      </c>
      <c r="I287" s="44">
        <v>45593</v>
      </c>
      <c r="J287" s="44">
        <v>45645</v>
      </c>
      <c r="K287" s="45">
        <v>2</v>
      </c>
      <c r="L287" s="45">
        <v>102.6452</v>
      </c>
      <c r="M287" s="45">
        <v>305.81</v>
      </c>
      <c r="N287" s="45">
        <v>3</v>
      </c>
      <c r="O287" s="45">
        <v>159.30539999999999</v>
      </c>
      <c r="P287" s="62">
        <f t="shared" si="5"/>
        <v>5</v>
      </c>
    </row>
    <row r="288" spans="1:16" x14ac:dyDescent="0.25">
      <c r="A288" s="43" t="s">
        <v>200</v>
      </c>
      <c r="B288" s="43" t="s">
        <v>291</v>
      </c>
      <c r="C288" s="43" t="s">
        <v>292</v>
      </c>
      <c r="D288" s="43" t="s">
        <v>293</v>
      </c>
      <c r="E288" s="43" t="s">
        <v>338</v>
      </c>
      <c r="F288" s="43" t="s">
        <v>286</v>
      </c>
      <c r="G288" s="43" t="s">
        <v>232</v>
      </c>
      <c r="H288" s="43" t="s">
        <v>218</v>
      </c>
      <c r="I288" s="44">
        <v>45591</v>
      </c>
      <c r="J288" s="44">
        <v>45647</v>
      </c>
      <c r="K288" s="45">
        <v>12</v>
      </c>
      <c r="L288" s="45">
        <v>624.80539999999996</v>
      </c>
      <c r="M288" s="45">
        <v>1770.48</v>
      </c>
      <c r="N288" s="45">
        <v>8</v>
      </c>
      <c r="O288" s="45">
        <v>426.45760000000001</v>
      </c>
      <c r="P288" s="62">
        <f t="shared" si="5"/>
        <v>20</v>
      </c>
    </row>
    <row r="289" spans="1:16" x14ac:dyDescent="0.25">
      <c r="A289" s="43" t="s">
        <v>200</v>
      </c>
      <c r="B289" s="43" t="s">
        <v>291</v>
      </c>
      <c r="C289" s="43" t="s">
        <v>292</v>
      </c>
      <c r="D289" s="43" t="s">
        <v>293</v>
      </c>
      <c r="E289" s="43" t="s">
        <v>338</v>
      </c>
      <c r="F289" s="43" t="s">
        <v>286</v>
      </c>
      <c r="G289" s="43" t="s">
        <v>233</v>
      </c>
      <c r="H289" s="43" t="s">
        <v>218</v>
      </c>
      <c r="I289" s="44">
        <v>45591</v>
      </c>
      <c r="J289" s="44">
        <v>45647</v>
      </c>
      <c r="K289" s="45">
        <v>11</v>
      </c>
      <c r="L289" s="45">
        <v>567.72760000000005</v>
      </c>
      <c r="M289" s="45">
        <v>1609.54</v>
      </c>
      <c r="N289" s="45">
        <v>10</v>
      </c>
      <c r="O289" s="45">
        <v>526.25</v>
      </c>
      <c r="P289" s="62">
        <f t="shared" si="5"/>
        <v>21</v>
      </c>
    </row>
    <row r="290" spans="1:16" x14ac:dyDescent="0.25">
      <c r="A290" s="43" t="s">
        <v>200</v>
      </c>
      <c r="B290" s="43" t="s">
        <v>291</v>
      </c>
      <c r="C290" s="43" t="s">
        <v>292</v>
      </c>
      <c r="D290" s="43" t="s">
        <v>293</v>
      </c>
      <c r="E290" s="43" t="s">
        <v>338</v>
      </c>
      <c r="F290" s="43" t="s">
        <v>286</v>
      </c>
      <c r="G290" s="43" t="s">
        <v>234</v>
      </c>
      <c r="H290" s="43" t="s">
        <v>218</v>
      </c>
      <c r="I290" s="44">
        <v>45591</v>
      </c>
      <c r="J290" s="44">
        <v>45629</v>
      </c>
      <c r="K290" s="45">
        <v>7</v>
      </c>
      <c r="L290" s="45">
        <v>360.40210000000002</v>
      </c>
      <c r="M290" s="45">
        <v>1014</v>
      </c>
      <c r="N290" s="45">
        <v>7</v>
      </c>
      <c r="O290" s="45">
        <v>368.7901</v>
      </c>
      <c r="P290" s="62">
        <f t="shared" si="5"/>
        <v>14</v>
      </c>
    </row>
    <row r="291" spans="1:16" x14ac:dyDescent="0.25">
      <c r="A291" s="43" t="s">
        <v>200</v>
      </c>
      <c r="B291" s="43" t="s">
        <v>291</v>
      </c>
      <c r="C291" s="43" t="s">
        <v>292</v>
      </c>
      <c r="D291" s="43" t="s">
        <v>293</v>
      </c>
      <c r="E291" s="43" t="s">
        <v>338</v>
      </c>
      <c r="F291" s="43" t="s">
        <v>286</v>
      </c>
      <c r="G291" s="43" t="s">
        <v>296</v>
      </c>
      <c r="H291" s="43" t="s">
        <v>218</v>
      </c>
      <c r="I291" s="44">
        <v>45591</v>
      </c>
      <c r="J291" s="44">
        <v>45605</v>
      </c>
      <c r="K291" s="45">
        <v>2</v>
      </c>
      <c r="L291" s="45">
        <v>102.6452</v>
      </c>
      <c r="M291" s="45">
        <v>289.72000000000003</v>
      </c>
      <c r="N291" s="45">
        <v>5</v>
      </c>
      <c r="O291" s="45">
        <v>256.613</v>
      </c>
      <c r="P291" s="62">
        <f t="shared" si="5"/>
        <v>7</v>
      </c>
    </row>
    <row r="292" spans="1:16" x14ac:dyDescent="0.25">
      <c r="A292" s="43" t="s">
        <v>200</v>
      </c>
      <c r="B292" s="43" t="s">
        <v>291</v>
      </c>
      <c r="C292" s="43" t="s">
        <v>292</v>
      </c>
      <c r="D292" s="43" t="s">
        <v>293</v>
      </c>
      <c r="E292" s="43" t="s">
        <v>339</v>
      </c>
      <c r="F292" s="43" t="s">
        <v>286</v>
      </c>
      <c r="G292" s="43" t="s">
        <v>232</v>
      </c>
      <c r="H292" s="43" t="s">
        <v>207</v>
      </c>
      <c r="I292" s="44">
        <v>45591</v>
      </c>
      <c r="J292" s="44">
        <v>45639</v>
      </c>
      <c r="K292" s="45">
        <v>24</v>
      </c>
      <c r="L292" s="45">
        <v>1250.0909999999999</v>
      </c>
      <c r="M292" s="45">
        <v>3508.78</v>
      </c>
      <c r="N292" s="45">
        <v>10</v>
      </c>
      <c r="O292" s="45">
        <v>534.91099999999994</v>
      </c>
      <c r="P292" s="62">
        <f t="shared" si="5"/>
        <v>34</v>
      </c>
    </row>
    <row r="293" spans="1:16" x14ac:dyDescent="0.25">
      <c r="A293" s="43" t="s">
        <v>200</v>
      </c>
      <c r="B293" s="43" t="s">
        <v>291</v>
      </c>
      <c r="C293" s="43" t="s">
        <v>292</v>
      </c>
      <c r="D293" s="43" t="s">
        <v>293</v>
      </c>
      <c r="E293" s="43" t="s">
        <v>339</v>
      </c>
      <c r="F293" s="43" t="s">
        <v>286</v>
      </c>
      <c r="G293" s="43" t="s">
        <v>233</v>
      </c>
      <c r="H293" s="43" t="s">
        <v>207</v>
      </c>
      <c r="I293" s="44">
        <v>45591</v>
      </c>
      <c r="J293" s="44">
        <v>45647</v>
      </c>
      <c r="K293" s="45">
        <v>35</v>
      </c>
      <c r="L293" s="45">
        <v>1819.3253</v>
      </c>
      <c r="M293" s="45">
        <v>5070.04</v>
      </c>
      <c r="N293" s="45">
        <v>13</v>
      </c>
      <c r="O293" s="45">
        <v>694.86689999999999</v>
      </c>
      <c r="P293" s="62">
        <f t="shared" si="5"/>
        <v>48</v>
      </c>
    </row>
    <row r="294" spans="1:16" x14ac:dyDescent="0.25">
      <c r="A294" s="43" t="s">
        <v>200</v>
      </c>
      <c r="B294" s="43" t="s">
        <v>291</v>
      </c>
      <c r="C294" s="43" t="s">
        <v>292</v>
      </c>
      <c r="D294" s="43" t="s">
        <v>293</v>
      </c>
      <c r="E294" s="43" t="s">
        <v>339</v>
      </c>
      <c r="F294" s="43" t="s">
        <v>286</v>
      </c>
      <c r="G294" s="43" t="s">
        <v>234</v>
      </c>
      <c r="H294" s="43" t="s">
        <v>207</v>
      </c>
      <c r="I294" s="44">
        <v>45591</v>
      </c>
      <c r="J294" s="44">
        <v>45647</v>
      </c>
      <c r="K294" s="45">
        <v>36</v>
      </c>
      <c r="L294" s="45">
        <v>1886.0823</v>
      </c>
      <c r="M294" s="45">
        <v>5231</v>
      </c>
      <c r="N294" s="45">
        <v>5</v>
      </c>
      <c r="O294" s="45">
        <v>268.851</v>
      </c>
      <c r="P294" s="62">
        <f t="shared" si="5"/>
        <v>41</v>
      </c>
    </row>
    <row r="295" spans="1:16" x14ac:dyDescent="0.25">
      <c r="A295" s="43" t="s">
        <v>200</v>
      </c>
      <c r="B295" s="43" t="s">
        <v>291</v>
      </c>
      <c r="C295" s="43" t="s">
        <v>292</v>
      </c>
      <c r="D295" s="43" t="s">
        <v>293</v>
      </c>
      <c r="E295" s="43" t="s">
        <v>339</v>
      </c>
      <c r="F295" s="43" t="s">
        <v>286</v>
      </c>
      <c r="G295" s="43" t="s">
        <v>296</v>
      </c>
      <c r="H295" s="43" t="s">
        <v>207</v>
      </c>
      <c r="I295" s="44">
        <v>45590</v>
      </c>
      <c r="J295" s="44">
        <v>45629</v>
      </c>
      <c r="K295" s="45">
        <v>14</v>
      </c>
      <c r="L295" s="45">
        <v>730.50350000000003</v>
      </c>
      <c r="M295" s="45">
        <v>2044.12</v>
      </c>
      <c r="N295" s="45">
        <v>4</v>
      </c>
      <c r="O295" s="45">
        <v>214.654</v>
      </c>
      <c r="P295" s="62">
        <f t="shared" si="5"/>
        <v>18</v>
      </c>
    </row>
    <row r="296" spans="1:16" x14ac:dyDescent="0.25">
      <c r="A296" s="43" t="s">
        <v>200</v>
      </c>
      <c r="B296" s="43" t="s">
        <v>291</v>
      </c>
      <c r="C296" s="43" t="s">
        <v>292</v>
      </c>
      <c r="D296" s="43" t="s">
        <v>293</v>
      </c>
      <c r="E296" s="43" t="s">
        <v>340</v>
      </c>
      <c r="F296" s="43" t="s">
        <v>341</v>
      </c>
      <c r="G296" s="43" t="s">
        <v>232</v>
      </c>
      <c r="H296" s="43" t="s">
        <v>207</v>
      </c>
      <c r="I296" s="44">
        <v>45591</v>
      </c>
      <c r="J296" s="44">
        <v>45621</v>
      </c>
      <c r="K296" s="45">
        <v>14</v>
      </c>
      <c r="L296" s="45">
        <v>740.40049999999997</v>
      </c>
      <c r="M296" s="45">
        <v>1995.83</v>
      </c>
      <c r="N296" s="45">
        <v>2</v>
      </c>
      <c r="O296" s="45">
        <v>107.449</v>
      </c>
      <c r="P296" s="62">
        <f t="shared" si="5"/>
        <v>16</v>
      </c>
    </row>
    <row r="297" spans="1:16" x14ac:dyDescent="0.25">
      <c r="A297" s="43" t="s">
        <v>200</v>
      </c>
      <c r="B297" s="43" t="s">
        <v>291</v>
      </c>
      <c r="C297" s="43" t="s">
        <v>292</v>
      </c>
      <c r="D297" s="43" t="s">
        <v>293</v>
      </c>
      <c r="E297" s="43" t="s">
        <v>340</v>
      </c>
      <c r="F297" s="43" t="s">
        <v>341</v>
      </c>
      <c r="G297" s="43" t="s">
        <v>234</v>
      </c>
      <c r="H297" s="43" t="s">
        <v>207</v>
      </c>
      <c r="I297" s="44">
        <v>45591</v>
      </c>
      <c r="J297" s="44">
        <v>45621</v>
      </c>
      <c r="K297" s="45">
        <v>6</v>
      </c>
      <c r="L297" s="45">
        <v>310.6046</v>
      </c>
      <c r="M297" s="45">
        <v>869.15</v>
      </c>
      <c r="N297" s="45">
        <v>1</v>
      </c>
      <c r="O297" s="45">
        <v>53.991399999999999</v>
      </c>
      <c r="P297" s="62">
        <f t="shared" si="5"/>
        <v>7</v>
      </c>
    </row>
    <row r="298" spans="1:16" x14ac:dyDescent="0.25">
      <c r="A298" s="43" t="s">
        <v>200</v>
      </c>
      <c r="B298" s="43" t="s">
        <v>291</v>
      </c>
      <c r="C298" s="43" t="s">
        <v>292</v>
      </c>
      <c r="D298" s="43" t="s">
        <v>293</v>
      </c>
      <c r="E298" s="43" t="s">
        <v>340</v>
      </c>
      <c r="F298" s="43" t="s">
        <v>341</v>
      </c>
      <c r="G298" s="43" t="s">
        <v>259</v>
      </c>
      <c r="H298" s="43" t="s">
        <v>207</v>
      </c>
      <c r="I298" s="44">
        <v>45591</v>
      </c>
      <c r="J298" s="44">
        <v>45619</v>
      </c>
      <c r="K298" s="45">
        <v>4</v>
      </c>
      <c r="L298" s="45">
        <v>209.14529999999999</v>
      </c>
      <c r="M298" s="45">
        <v>595.54</v>
      </c>
      <c r="N298" s="45">
        <v>3</v>
      </c>
      <c r="O298" s="45">
        <v>160.78800000000001</v>
      </c>
      <c r="P298" s="62">
        <f t="shared" si="5"/>
        <v>7</v>
      </c>
    </row>
    <row r="299" spans="1:16" x14ac:dyDescent="0.25">
      <c r="A299" s="43" t="s">
        <v>200</v>
      </c>
      <c r="B299" s="43" t="s">
        <v>291</v>
      </c>
      <c r="C299" s="43" t="s">
        <v>292</v>
      </c>
      <c r="D299" s="43" t="s">
        <v>293</v>
      </c>
      <c r="E299" s="43" t="s">
        <v>342</v>
      </c>
      <c r="F299" s="43" t="s">
        <v>228</v>
      </c>
      <c r="G299" s="43" t="s">
        <v>232</v>
      </c>
      <c r="H299" s="43" t="s">
        <v>207</v>
      </c>
      <c r="I299" s="44">
        <v>45633</v>
      </c>
      <c r="J299" s="44">
        <v>45633</v>
      </c>
      <c r="K299" s="45">
        <v>1</v>
      </c>
      <c r="L299" s="45">
        <v>64.789599999999993</v>
      </c>
      <c r="M299" s="45">
        <v>189.52</v>
      </c>
      <c r="N299" s="45">
        <v>5</v>
      </c>
      <c r="O299" s="45">
        <v>323.94799999999998</v>
      </c>
      <c r="P299" s="62">
        <f t="shared" si="5"/>
        <v>6</v>
      </c>
    </row>
    <row r="300" spans="1:16" x14ac:dyDescent="0.25">
      <c r="A300" s="43" t="s">
        <v>200</v>
      </c>
      <c r="B300" s="43" t="s">
        <v>291</v>
      </c>
      <c r="C300" s="43" t="s">
        <v>292</v>
      </c>
      <c r="D300" s="43" t="s">
        <v>293</v>
      </c>
      <c r="E300" s="43" t="s">
        <v>342</v>
      </c>
      <c r="F300" s="43" t="s">
        <v>228</v>
      </c>
      <c r="G300" s="43" t="s">
        <v>233</v>
      </c>
      <c r="H300" s="43" t="s">
        <v>207</v>
      </c>
      <c r="I300" s="44">
        <v>45633</v>
      </c>
      <c r="J300" s="44">
        <v>45633</v>
      </c>
      <c r="K300" s="45">
        <v>0</v>
      </c>
      <c r="L300" s="45">
        <v>0</v>
      </c>
      <c r="M300" s="45">
        <v>0</v>
      </c>
      <c r="N300" s="45">
        <v>7</v>
      </c>
      <c r="O300" s="45">
        <v>453.52719999999999</v>
      </c>
      <c r="P300" s="62">
        <f t="shared" si="5"/>
        <v>7</v>
      </c>
    </row>
    <row r="301" spans="1:16" x14ac:dyDescent="0.25">
      <c r="A301" s="43" t="s">
        <v>200</v>
      </c>
      <c r="B301" s="43" t="s">
        <v>291</v>
      </c>
      <c r="C301" s="43" t="s">
        <v>292</v>
      </c>
      <c r="D301" s="43" t="s">
        <v>293</v>
      </c>
      <c r="E301" s="43" t="s">
        <v>342</v>
      </c>
      <c r="F301" s="43" t="s">
        <v>228</v>
      </c>
      <c r="G301" s="43" t="s">
        <v>234</v>
      </c>
      <c r="H301" s="43" t="s">
        <v>207</v>
      </c>
      <c r="I301" s="44">
        <v>45633</v>
      </c>
      <c r="J301" s="44">
        <v>45633</v>
      </c>
      <c r="K301" s="45">
        <v>0</v>
      </c>
      <c r="L301" s="45">
        <v>0</v>
      </c>
      <c r="M301" s="45">
        <v>0</v>
      </c>
      <c r="N301" s="45">
        <v>5</v>
      </c>
      <c r="O301" s="45">
        <v>323.94799999999998</v>
      </c>
      <c r="P301" s="62">
        <f t="shared" si="5"/>
        <v>5</v>
      </c>
    </row>
    <row r="302" spans="1:16" x14ac:dyDescent="0.25">
      <c r="A302" s="43" t="s">
        <v>200</v>
      </c>
      <c r="B302" s="43" t="s">
        <v>291</v>
      </c>
      <c r="C302" s="43" t="s">
        <v>292</v>
      </c>
      <c r="D302" s="43" t="s">
        <v>293</v>
      </c>
      <c r="E302" s="43" t="s">
        <v>343</v>
      </c>
      <c r="F302" s="43" t="s">
        <v>344</v>
      </c>
      <c r="G302" s="43" t="s">
        <v>232</v>
      </c>
      <c r="H302" s="43" t="s">
        <v>207</v>
      </c>
      <c r="I302" s="44">
        <v>45576</v>
      </c>
      <c r="J302" s="44">
        <v>45636</v>
      </c>
      <c r="K302" s="45">
        <v>35</v>
      </c>
      <c r="L302" s="45">
        <v>2327.9371000000001</v>
      </c>
      <c r="M302" s="45">
        <v>6269.96</v>
      </c>
      <c r="N302" s="45">
        <v>0</v>
      </c>
      <c r="O302" s="45">
        <v>0</v>
      </c>
      <c r="P302" s="62">
        <f t="shared" si="5"/>
        <v>35</v>
      </c>
    </row>
    <row r="303" spans="1:16" x14ac:dyDescent="0.25">
      <c r="A303" s="43" t="s">
        <v>200</v>
      </c>
      <c r="B303" s="43" t="s">
        <v>291</v>
      </c>
      <c r="C303" s="43" t="s">
        <v>292</v>
      </c>
      <c r="D303" s="43" t="s">
        <v>293</v>
      </c>
      <c r="E303" s="43" t="s">
        <v>343</v>
      </c>
      <c r="F303" s="43" t="s">
        <v>344</v>
      </c>
      <c r="G303" s="43" t="s">
        <v>233</v>
      </c>
      <c r="H303" s="43" t="s">
        <v>207</v>
      </c>
      <c r="I303" s="44">
        <v>45576</v>
      </c>
      <c r="J303" s="44">
        <v>45643</v>
      </c>
      <c r="K303" s="45">
        <v>55</v>
      </c>
      <c r="L303" s="45">
        <v>3674.4133999999999</v>
      </c>
      <c r="M303" s="45">
        <v>9842.82</v>
      </c>
      <c r="N303" s="45">
        <v>8</v>
      </c>
      <c r="O303" s="45">
        <v>545.37840000000006</v>
      </c>
      <c r="P303" s="62">
        <f t="shared" si="5"/>
        <v>63</v>
      </c>
    </row>
    <row r="304" spans="1:16" x14ac:dyDescent="0.25">
      <c r="A304" s="43" t="s">
        <v>200</v>
      </c>
      <c r="B304" s="43" t="s">
        <v>291</v>
      </c>
      <c r="C304" s="43" t="s">
        <v>292</v>
      </c>
      <c r="D304" s="43" t="s">
        <v>293</v>
      </c>
      <c r="E304" s="43" t="s">
        <v>343</v>
      </c>
      <c r="F304" s="43" t="s">
        <v>344</v>
      </c>
      <c r="G304" s="43" t="s">
        <v>234</v>
      </c>
      <c r="H304" s="43" t="s">
        <v>207</v>
      </c>
      <c r="I304" s="44">
        <v>45576</v>
      </c>
      <c r="J304" s="44">
        <v>45626</v>
      </c>
      <c r="K304" s="45">
        <v>24</v>
      </c>
      <c r="L304" s="45">
        <v>1578.5313000000001</v>
      </c>
      <c r="M304" s="45">
        <v>4339.2299999999996</v>
      </c>
      <c r="N304" s="45">
        <v>1</v>
      </c>
      <c r="O304" s="45">
        <v>67.5929</v>
      </c>
      <c r="P304" s="62">
        <f t="shared" si="5"/>
        <v>25</v>
      </c>
    </row>
    <row r="305" spans="1:16" x14ac:dyDescent="0.25">
      <c r="A305" s="43" t="s">
        <v>200</v>
      </c>
      <c r="B305" s="43" t="s">
        <v>291</v>
      </c>
      <c r="C305" s="43" t="s">
        <v>292</v>
      </c>
      <c r="D305" s="43" t="s">
        <v>293</v>
      </c>
      <c r="E305" s="43" t="s">
        <v>343</v>
      </c>
      <c r="F305" s="43" t="s">
        <v>344</v>
      </c>
      <c r="G305" s="43" t="s">
        <v>259</v>
      </c>
      <c r="H305" s="43" t="s">
        <v>207</v>
      </c>
      <c r="I305" s="44">
        <v>45590</v>
      </c>
      <c r="J305" s="44">
        <v>45645</v>
      </c>
      <c r="K305" s="45">
        <v>6</v>
      </c>
      <c r="L305" s="45">
        <v>393.71789999999999</v>
      </c>
      <c r="M305" s="45">
        <v>1074.8599999999999</v>
      </c>
      <c r="N305" s="45">
        <v>4</v>
      </c>
      <c r="O305" s="45">
        <v>273.6216</v>
      </c>
      <c r="P305" s="62">
        <f t="shared" si="5"/>
        <v>10</v>
      </c>
    </row>
    <row r="306" spans="1:16" x14ac:dyDescent="0.25">
      <c r="A306" s="43" t="s">
        <v>200</v>
      </c>
      <c r="B306" s="43" t="s">
        <v>291</v>
      </c>
      <c r="C306" s="43" t="s">
        <v>292</v>
      </c>
      <c r="D306" s="43" t="s">
        <v>293</v>
      </c>
      <c r="E306" s="43" t="s">
        <v>343</v>
      </c>
      <c r="F306" s="43" t="s">
        <v>344</v>
      </c>
      <c r="G306" s="43" t="s">
        <v>296</v>
      </c>
      <c r="H306" s="43" t="s">
        <v>207</v>
      </c>
      <c r="I306" s="44">
        <v>45590</v>
      </c>
      <c r="J306" s="44">
        <v>45640</v>
      </c>
      <c r="K306" s="45">
        <v>13</v>
      </c>
      <c r="L306" s="45">
        <v>847.40570000000002</v>
      </c>
      <c r="M306" s="45">
        <v>2388.56</v>
      </c>
      <c r="N306" s="45">
        <v>2</v>
      </c>
      <c r="O306" s="45">
        <v>133.1782</v>
      </c>
      <c r="P306" s="62">
        <f t="shared" si="5"/>
        <v>15</v>
      </c>
    </row>
    <row r="307" spans="1:16" x14ac:dyDescent="0.25">
      <c r="A307" s="43" t="s">
        <v>200</v>
      </c>
      <c r="B307" s="43" t="s">
        <v>291</v>
      </c>
      <c r="C307" s="43" t="s">
        <v>292</v>
      </c>
      <c r="D307" s="43" t="s">
        <v>293</v>
      </c>
      <c r="E307" s="43" t="s">
        <v>345</v>
      </c>
      <c r="F307" s="43" t="s">
        <v>344</v>
      </c>
      <c r="G307" s="43" t="s">
        <v>232</v>
      </c>
      <c r="H307" s="43" t="s">
        <v>207</v>
      </c>
      <c r="I307" s="44">
        <v>45432</v>
      </c>
      <c r="J307" s="44">
        <v>45647</v>
      </c>
      <c r="K307" s="45">
        <v>14</v>
      </c>
      <c r="L307" s="45">
        <v>918.06010000000003</v>
      </c>
      <c r="M307" s="45">
        <v>2428.4</v>
      </c>
      <c r="N307" s="45">
        <v>7</v>
      </c>
      <c r="O307" s="45">
        <v>468.60309999999998</v>
      </c>
      <c r="P307" s="62">
        <f t="shared" si="5"/>
        <v>21</v>
      </c>
    </row>
    <row r="308" spans="1:16" x14ac:dyDescent="0.25">
      <c r="A308" s="43" t="s">
        <v>200</v>
      </c>
      <c r="B308" s="43" t="s">
        <v>291</v>
      </c>
      <c r="C308" s="43" t="s">
        <v>292</v>
      </c>
      <c r="D308" s="43" t="s">
        <v>293</v>
      </c>
      <c r="E308" s="43" t="s">
        <v>345</v>
      </c>
      <c r="F308" s="43" t="s">
        <v>344</v>
      </c>
      <c r="G308" s="43" t="s">
        <v>233</v>
      </c>
      <c r="H308" s="43" t="s">
        <v>207</v>
      </c>
      <c r="I308" s="44">
        <v>45432</v>
      </c>
      <c r="J308" s="44">
        <v>45646</v>
      </c>
      <c r="K308" s="45">
        <v>25</v>
      </c>
      <c r="L308" s="45">
        <v>1651.3976</v>
      </c>
      <c r="M308" s="45">
        <v>4498.4399999999996</v>
      </c>
      <c r="N308" s="45">
        <v>8</v>
      </c>
      <c r="O308" s="45">
        <v>400.2253</v>
      </c>
      <c r="P308" s="62">
        <f t="shared" si="5"/>
        <v>33</v>
      </c>
    </row>
    <row r="309" spans="1:16" x14ac:dyDescent="0.25">
      <c r="A309" s="43" t="s">
        <v>200</v>
      </c>
      <c r="B309" s="43" t="s">
        <v>291</v>
      </c>
      <c r="C309" s="43" t="s">
        <v>292</v>
      </c>
      <c r="D309" s="43" t="s">
        <v>293</v>
      </c>
      <c r="E309" s="43" t="s">
        <v>345</v>
      </c>
      <c r="F309" s="43" t="s">
        <v>344</v>
      </c>
      <c r="G309" s="43" t="s">
        <v>234</v>
      </c>
      <c r="H309" s="43" t="s">
        <v>207</v>
      </c>
      <c r="I309" s="44">
        <v>45432</v>
      </c>
      <c r="J309" s="44">
        <v>45647</v>
      </c>
      <c r="K309" s="45">
        <v>9</v>
      </c>
      <c r="L309" s="45">
        <v>591.55539999999996</v>
      </c>
      <c r="M309" s="45">
        <v>1632.18</v>
      </c>
      <c r="N309" s="45">
        <v>7</v>
      </c>
      <c r="O309" s="45">
        <v>469.23939999999999</v>
      </c>
      <c r="P309" s="62">
        <f t="shared" si="5"/>
        <v>16</v>
      </c>
    </row>
    <row r="310" spans="1:16" x14ac:dyDescent="0.25">
      <c r="A310" s="43" t="s">
        <v>200</v>
      </c>
      <c r="B310" s="43" t="s">
        <v>291</v>
      </c>
      <c r="C310" s="43" t="s">
        <v>292</v>
      </c>
      <c r="D310" s="43" t="s">
        <v>293</v>
      </c>
      <c r="E310" s="43" t="s">
        <v>345</v>
      </c>
      <c r="F310" s="43" t="s">
        <v>344</v>
      </c>
      <c r="G310" s="43" t="s">
        <v>296</v>
      </c>
      <c r="H310" s="43" t="s">
        <v>207</v>
      </c>
      <c r="I310" s="44">
        <v>45432</v>
      </c>
      <c r="J310" s="44">
        <v>45637</v>
      </c>
      <c r="K310" s="45">
        <v>5</v>
      </c>
      <c r="L310" s="45">
        <v>329.11880000000002</v>
      </c>
      <c r="M310" s="45">
        <v>915.62</v>
      </c>
      <c r="N310" s="45">
        <v>3</v>
      </c>
      <c r="O310" s="45">
        <v>201.53129999999999</v>
      </c>
      <c r="P310" s="62">
        <f t="shared" si="5"/>
        <v>8</v>
      </c>
    </row>
    <row r="311" spans="1:16" x14ac:dyDescent="0.25">
      <c r="A311" s="43" t="s">
        <v>200</v>
      </c>
      <c r="B311" s="43" t="s">
        <v>291</v>
      </c>
      <c r="C311" s="43" t="s">
        <v>292</v>
      </c>
      <c r="D311" s="43" t="s">
        <v>293</v>
      </c>
      <c r="E311" s="43" t="s">
        <v>346</v>
      </c>
      <c r="F311" s="43" t="s">
        <v>344</v>
      </c>
      <c r="G311" s="43" t="s">
        <v>232</v>
      </c>
      <c r="H311" s="43" t="s">
        <v>218</v>
      </c>
      <c r="I311" s="44">
        <v>45591</v>
      </c>
      <c r="J311" s="44">
        <v>45647</v>
      </c>
      <c r="K311" s="45">
        <v>17</v>
      </c>
      <c r="L311" s="45">
        <v>1116.3998999999999</v>
      </c>
      <c r="M311" s="45">
        <v>3005.5</v>
      </c>
      <c r="N311" s="45">
        <v>8</v>
      </c>
      <c r="O311" s="45">
        <v>539.58000000000004</v>
      </c>
      <c r="P311" s="62">
        <f t="shared" si="5"/>
        <v>25</v>
      </c>
    </row>
    <row r="312" spans="1:16" x14ac:dyDescent="0.25">
      <c r="A312" s="43" t="s">
        <v>200</v>
      </c>
      <c r="B312" s="43" t="s">
        <v>291</v>
      </c>
      <c r="C312" s="43" t="s">
        <v>292</v>
      </c>
      <c r="D312" s="43" t="s">
        <v>293</v>
      </c>
      <c r="E312" s="43" t="s">
        <v>346</v>
      </c>
      <c r="F312" s="43" t="s">
        <v>344</v>
      </c>
      <c r="G312" s="43" t="s">
        <v>233</v>
      </c>
      <c r="H312" s="43" t="s">
        <v>218</v>
      </c>
      <c r="I312" s="44">
        <v>45591</v>
      </c>
      <c r="J312" s="44">
        <v>45647</v>
      </c>
      <c r="K312" s="45">
        <v>24</v>
      </c>
      <c r="L312" s="45">
        <v>1592.79</v>
      </c>
      <c r="M312" s="45">
        <v>4319.32</v>
      </c>
      <c r="N312" s="45">
        <v>8</v>
      </c>
      <c r="O312" s="45">
        <v>545.58320000000003</v>
      </c>
      <c r="P312" s="62">
        <f t="shared" si="5"/>
        <v>32</v>
      </c>
    </row>
    <row r="313" spans="1:16" x14ac:dyDescent="0.25">
      <c r="A313" s="43" t="s">
        <v>200</v>
      </c>
      <c r="B313" s="43" t="s">
        <v>291</v>
      </c>
      <c r="C313" s="43" t="s">
        <v>292</v>
      </c>
      <c r="D313" s="43" t="s">
        <v>293</v>
      </c>
      <c r="E313" s="43" t="s">
        <v>346</v>
      </c>
      <c r="F313" s="43" t="s">
        <v>344</v>
      </c>
      <c r="G313" s="43" t="s">
        <v>234</v>
      </c>
      <c r="H313" s="43" t="s">
        <v>218</v>
      </c>
      <c r="I313" s="44">
        <v>45591</v>
      </c>
      <c r="J313" s="44">
        <v>45639</v>
      </c>
      <c r="K313" s="45">
        <v>15</v>
      </c>
      <c r="L313" s="45">
        <v>989.38430000000005</v>
      </c>
      <c r="M313" s="45">
        <v>2707.07</v>
      </c>
      <c r="N313" s="45">
        <v>7</v>
      </c>
      <c r="O313" s="45">
        <v>474.91079999999999</v>
      </c>
      <c r="P313" s="62">
        <f t="shared" si="5"/>
        <v>22</v>
      </c>
    </row>
    <row r="314" spans="1:16" x14ac:dyDescent="0.25">
      <c r="A314" s="43" t="s">
        <v>200</v>
      </c>
      <c r="B314" s="43" t="s">
        <v>291</v>
      </c>
      <c r="C314" s="43" t="s">
        <v>292</v>
      </c>
      <c r="D314" s="43" t="s">
        <v>293</v>
      </c>
      <c r="E314" s="43" t="s">
        <v>346</v>
      </c>
      <c r="F314" s="43" t="s">
        <v>344</v>
      </c>
      <c r="G314" s="43" t="s">
        <v>259</v>
      </c>
      <c r="H314" s="43" t="s">
        <v>218</v>
      </c>
      <c r="I314" s="44">
        <v>45591</v>
      </c>
      <c r="J314" s="44">
        <v>45591</v>
      </c>
      <c r="K314" s="45">
        <v>2</v>
      </c>
      <c r="L314" s="45">
        <v>130.04400000000001</v>
      </c>
      <c r="M314" s="45">
        <v>358.29</v>
      </c>
      <c r="N314" s="45">
        <v>0</v>
      </c>
      <c r="O314" s="45">
        <v>0</v>
      </c>
      <c r="P314" s="62">
        <f t="shared" si="5"/>
        <v>2</v>
      </c>
    </row>
    <row r="315" spans="1:16" x14ac:dyDescent="0.25">
      <c r="A315" s="43" t="s">
        <v>200</v>
      </c>
      <c r="B315" s="43" t="s">
        <v>291</v>
      </c>
      <c r="C315" s="43" t="s">
        <v>292</v>
      </c>
      <c r="D315" s="43" t="s">
        <v>293</v>
      </c>
      <c r="E315" s="43" t="s">
        <v>346</v>
      </c>
      <c r="F315" s="43" t="s">
        <v>344</v>
      </c>
      <c r="G315" s="43" t="s">
        <v>296</v>
      </c>
      <c r="H315" s="43" t="s">
        <v>218</v>
      </c>
      <c r="I315" s="44">
        <v>45591</v>
      </c>
      <c r="J315" s="44">
        <v>45608</v>
      </c>
      <c r="K315" s="45">
        <v>4</v>
      </c>
      <c r="L315" s="45">
        <v>260.08800000000002</v>
      </c>
      <c r="M315" s="45">
        <v>716.58</v>
      </c>
      <c r="N315" s="45">
        <v>0</v>
      </c>
      <c r="O315" s="45">
        <v>0</v>
      </c>
      <c r="P315" s="62">
        <f t="shared" si="5"/>
        <v>4</v>
      </c>
    </row>
    <row r="316" spans="1:16" x14ac:dyDescent="0.25">
      <c r="A316" s="43" t="s">
        <v>200</v>
      </c>
      <c r="B316" s="43" t="s">
        <v>291</v>
      </c>
      <c r="C316" s="43" t="s">
        <v>292</v>
      </c>
      <c r="D316" s="43" t="s">
        <v>293</v>
      </c>
      <c r="E316" s="43" t="s">
        <v>347</v>
      </c>
      <c r="F316" s="43" t="s">
        <v>348</v>
      </c>
      <c r="G316" s="43" t="s">
        <v>232</v>
      </c>
      <c r="H316" s="43" t="s">
        <v>349</v>
      </c>
      <c r="I316" s="44">
        <v>45590</v>
      </c>
      <c r="J316" s="44">
        <v>45609</v>
      </c>
      <c r="K316" s="45">
        <v>4</v>
      </c>
      <c r="L316" s="45">
        <v>219.19159999999999</v>
      </c>
      <c r="M316" s="45">
        <v>547.25</v>
      </c>
      <c r="N316" s="45">
        <v>0</v>
      </c>
      <c r="O316" s="45">
        <v>0</v>
      </c>
      <c r="P316" s="62">
        <f t="shared" si="5"/>
        <v>4</v>
      </c>
    </row>
    <row r="317" spans="1:16" x14ac:dyDescent="0.25">
      <c r="A317" s="43" t="s">
        <v>200</v>
      </c>
      <c r="B317" s="43" t="s">
        <v>291</v>
      </c>
      <c r="C317" s="43" t="s">
        <v>292</v>
      </c>
      <c r="D317" s="43" t="s">
        <v>293</v>
      </c>
      <c r="E317" s="43" t="s">
        <v>347</v>
      </c>
      <c r="F317" s="43" t="s">
        <v>348</v>
      </c>
      <c r="G317" s="43" t="s">
        <v>233</v>
      </c>
      <c r="H317" s="43" t="s">
        <v>349</v>
      </c>
      <c r="I317" s="44">
        <v>45591</v>
      </c>
      <c r="J317" s="44">
        <v>45611</v>
      </c>
      <c r="K317" s="45">
        <v>8</v>
      </c>
      <c r="L317" s="45">
        <v>438.38319999999999</v>
      </c>
      <c r="M317" s="45">
        <v>1158.8599999999999</v>
      </c>
      <c r="N317" s="45">
        <v>0</v>
      </c>
      <c r="O317" s="45">
        <v>0</v>
      </c>
      <c r="P317" s="62">
        <f t="shared" si="5"/>
        <v>8</v>
      </c>
    </row>
    <row r="318" spans="1:16" x14ac:dyDescent="0.25">
      <c r="A318" s="43" t="s">
        <v>200</v>
      </c>
      <c r="B318" s="43" t="s">
        <v>291</v>
      </c>
      <c r="C318" s="43" t="s">
        <v>292</v>
      </c>
      <c r="D318" s="43" t="s">
        <v>293</v>
      </c>
      <c r="E318" s="43" t="s">
        <v>347</v>
      </c>
      <c r="F318" s="43" t="s">
        <v>348</v>
      </c>
      <c r="G318" s="43" t="s">
        <v>234</v>
      </c>
      <c r="H318" s="43" t="s">
        <v>349</v>
      </c>
      <c r="I318" s="44">
        <v>45591</v>
      </c>
      <c r="J318" s="44">
        <v>45608</v>
      </c>
      <c r="K318" s="45">
        <v>10</v>
      </c>
      <c r="L318" s="45">
        <v>547.97900000000004</v>
      </c>
      <c r="M318" s="45">
        <v>1456.63</v>
      </c>
      <c r="N318" s="45">
        <v>0</v>
      </c>
      <c r="O318" s="45">
        <v>0</v>
      </c>
      <c r="P318" s="62">
        <f t="shared" si="5"/>
        <v>10</v>
      </c>
    </row>
    <row r="319" spans="1:16" x14ac:dyDescent="0.25">
      <c r="A319" s="43" t="s">
        <v>200</v>
      </c>
      <c r="B319" s="43" t="s">
        <v>291</v>
      </c>
      <c r="C319" s="43" t="s">
        <v>292</v>
      </c>
      <c r="D319" s="43" t="s">
        <v>293</v>
      </c>
      <c r="E319" s="43" t="s">
        <v>347</v>
      </c>
      <c r="F319" s="43" t="s">
        <v>348</v>
      </c>
      <c r="G319" s="43" t="s">
        <v>259</v>
      </c>
      <c r="H319" s="43" t="s">
        <v>349</v>
      </c>
      <c r="I319" s="44">
        <v>45591</v>
      </c>
      <c r="J319" s="44">
        <v>45591</v>
      </c>
      <c r="K319" s="45">
        <v>2</v>
      </c>
      <c r="L319" s="45">
        <v>109.5958</v>
      </c>
      <c r="M319" s="45">
        <v>289.70999999999998</v>
      </c>
      <c r="N319" s="45">
        <v>0</v>
      </c>
      <c r="O319" s="45">
        <v>0</v>
      </c>
      <c r="P319" s="62">
        <f t="shared" si="5"/>
        <v>2</v>
      </c>
    </row>
    <row r="320" spans="1:16" x14ac:dyDescent="0.25">
      <c r="A320" s="43" t="s">
        <v>200</v>
      </c>
      <c r="B320" s="43" t="s">
        <v>291</v>
      </c>
      <c r="C320" s="43" t="s">
        <v>292</v>
      </c>
      <c r="D320" s="43" t="s">
        <v>293</v>
      </c>
      <c r="E320" s="43" t="s">
        <v>347</v>
      </c>
      <c r="F320" s="43" t="s">
        <v>348</v>
      </c>
      <c r="G320" s="43" t="s">
        <v>296</v>
      </c>
      <c r="H320" s="43" t="s">
        <v>349</v>
      </c>
      <c r="I320" s="44">
        <v>45591</v>
      </c>
      <c r="J320" s="44">
        <v>45591</v>
      </c>
      <c r="K320" s="45">
        <v>2</v>
      </c>
      <c r="L320" s="45">
        <v>109.5958</v>
      </c>
      <c r="M320" s="45">
        <v>289.70999999999998</v>
      </c>
      <c r="N320" s="45">
        <v>1</v>
      </c>
      <c r="O320" s="45">
        <v>54.797899999999998</v>
      </c>
      <c r="P320" s="62">
        <f t="shared" si="5"/>
        <v>3</v>
      </c>
    </row>
    <row r="321" spans="1:16" x14ac:dyDescent="0.25">
      <c r="A321" s="43" t="s">
        <v>200</v>
      </c>
      <c r="B321" s="43" t="s">
        <v>291</v>
      </c>
      <c r="C321" s="43" t="s">
        <v>292</v>
      </c>
      <c r="D321" s="43" t="s">
        <v>293</v>
      </c>
      <c r="E321" s="43" t="s">
        <v>350</v>
      </c>
      <c r="F321" s="43" t="s">
        <v>348</v>
      </c>
      <c r="G321" s="43" t="s">
        <v>232</v>
      </c>
      <c r="H321" s="43" t="s">
        <v>349</v>
      </c>
      <c r="I321" s="44">
        <v>45591</v>
      </c>
      <c r="J321" s="44">
        <v>45591</v>
      </c>
      <c r="K321" s="45">
        <v>6</v>
      </c>
      <c r="L321" s="45">
        <v>328.78739999999999</v>
      </c>
      <c r="M321" s="45">
        <v>869.14</v>
      </c>
      <c r="N321" s="45">
        <v>0</v>
      </c>
      <c r="O321" s="45">
        <v>0</v>
      </c>
      <c r="P321" s="62">
        <f t="shared" si="5"/>
        <v>6</v>
      </c>
    </row>
    <row r="322" spans="1:16" x14ac:dyDescent="0.25">
      <c r="A322" s="43" t="s">
        <v>200</v>
      </c>
      <c r="B322" s="43" t="s">
        <v>291</v>
      </c>
      <c r="C322" s="43" t="s">
        <v>292</v>
      </c>
      <c r="D322" s="43" t="s">
        <v>293</v>
      </c>
      <c r="E322" s="43" t="s">
        <v>350</v>
      </c>
      <c r="F322" s="43" t="s">
        <v>348</v>
      </c>
      <c r="G322" s="43" t="s">
        <v>233</v>
      </c>
      <c r="H322" s="43" t="s">
        <v>349</v>
      </c>
      <c r="I322" s="44">
        <v>45591</v>
      </c>
      <c r="J322" s="44">
        <v>45605</v>
      </c>
      <c r="K322" s="45">
        <v>10</v>
      </c>
      <c r="L322" s="45">
        <v>547.97900000000004</v>
      </c>
      <c r="M322" s="45">
        <v>1440.51</v>
      </c>
      <c r="N322" s="45">
        <v>0</v>
      </c>
      <c r="O322" s="45">
        <v>0</v>
      </c>
      <c r="P322" s="62">
        <f t="shared" si="5"/>
        <v>10</v>
      </c>
    </row>
    <row r="323" spans="1:16" x14ac:dyDescent="0.25">
      <c r="A323" s="43" t="s">
        <v>200</v>
      </c>
      <c r="B323" s="43" t="s">
        <v>291</v>
      </c>
      <c r="C323" s="43" t="s">
        <v>292</v>
      </c>
      <c r="D323" s="43" t="s">
        <v>293</v>
      </c>
      <c r="E323" s="43" t="s">
        <v>350</v>
      </c>
      <c r="F323" s="43" t="s">
        <v>348</v>
      </c>
      <c r="G323" s="43" t="s">
        <v>234</v>
      </c>
      <c r="H323" s="43" t="s">
        <v>349</v>
      </c>
      <c r="I323" s="44">
        <v>45591</v>
      </c>
      <c r="J323" s="44">
        <v>45605</v>
      </c>
      <c r="K323" s="45">
        <v>3</v>
      </c>
      <c r="L323" s="45">
        <v>164.3937</v>
      </c>
      <c r="M323" s="45">
        <v>434.57</v>
      </c>
      <c r="N323" s="45">
        <v>1</v>
      </c>
      <c r="O323" s="45">
        <v>54.797899999999998</v>
      </c>
      <c r="P323" s="62">
        <f t="shared" si="5"/>
        <v>4</v>
      </c>
    </row>
    <row r="324" spans="1:16" x14ac:dyDescent="0.25">
      <c r="A324" s="43" t="s">
        <v>200</v>
      </c>
      <c r="B324" s="43" t="s">
        <v>291</v>
      </c>
      <c r="C324" s="43" t="s">
        <v>292</v>
      </c>
      <c r="D324" s="43" t="s">
        <v>293</v>
      </c>
      <c r="E324" s="43" t="s">
        <v>350</v>
      </c>
      <c r="F324" s="43" t="s">
        <v>348</v>
      </c>
      <c r="G324" s="43" t="s">
        <v>259</v>
      </c>
      <c r="H324" s="43" t="s">
        <v>349</v>
      </c>
      <c r="I324" s="44">
        <v>45590</v>
      </c>
      <c r="J324" s="44">
        <v>45590</v>
      </c>
      <c r="K324" s="45">
        <v>3</v>
      </c>
      <c r="L324" s="45">
        <v>164.3937</v>
      </c>
      <c r="M324" s="45">
        <v>434.58</v>
      </c>
      <c r="N324" s="45">
        <v>0</v>
      </c>
      <c r="O324" s="45">
        <v>0</v>
      </c>
      <c r="P324" s="62">
        <f t="shared" si="5"/>
        <v>3</v>
      </c>
    </row>
    <row r="325" spans="1:16" x14ac:dyDescent="0.25">
      <c r="A325" s="43" t="s">
        <v>200</v>
      </c>
      <c r="B325" s="43" t="s">
        <v>291</v>
      </c>
      <c r="C325" s="43" t="s">
        <v>292</v>
      </c>
      <c r="D325" s="43" t="s">
        <v>293</v>
      </c>
      <c r="E325" s="43" t="s">
        <v>351</v>
      </c>
      <c r="F325" s="43" t="s">
        <v>352</v>
      </c>
      <c r="G325" s="43" t="s">
        <v>232</v>
      </c>
      <c r="H325" s="43" t="s">
        <v>207</v>
      </c>
      <c r="I325" s="44">
        <v>45591</v>
      </c>
      <c r="J325" s="44">
        <v>45647</v>
      </c>
      <c r="K325" s="45">
        <v>11</v>
      </c>
      <c r="L325" s="45">
        <v>501.7679</v>
      </c>
      <c r="M325" s="45">
        <v>1323.79</v>
      </c>
      <c r="N325" s="45">
        <v>7</v>
      </c>
      <c r="O325" s="45">
        <v>327.00639999999999</v>
      </c>
      <c r="P325" s="62">
        <f t="shared" si="5"/>
        <v>18</v>
      </c>
    </row>
    <row r="326" spans="1:16" x14ac:dyDescent="0.25">
      <c r="A326" s="43" t="s">
        <v>200</v>
      </c>
      <c r="B326" s="43" t="s">
        <v>291</v>
      </c>
      <c r="C326" s="43" t="s">
        <v>292</v>
      </c>
      <c r="D326" s="43" t="s">
        <v>293</v>
      </c>
      <c r="E326" s="43" t="s">
        <v>351</v>
      </c>
      <c r="F326" s="43" t="s">
        <v>352</v>
      </c>
      <c r="G326" s="43" t="s">
        <v>233</v>
      </c>
      <c r="H326" s="43" t="s">
        <v>207</v>
      </c>
      <c r="I326" s="44">
        <v>45591</v>
      </c>
      <c r="J326" s="44">
        <v>45647</v>
      </c>
      <c r="K326" s="45">
        <v>16</v>
      </c>
      <c r="L326" s="45">
        <v>733.40940000000001</v>
      </c>
      <c r="M326" s="45">
        <v>1906.25</v>
      </c>
      <c r="N326" s="45">
        <v>7</v>
      </c>
      <c r="O326" s="45">
        <v>326.94690000000003</v>
      </c>
      <c r="P326" s="62">
        <f t="shared" si="5"/>
        <v>23</v>
      </c>
    </row>
    <row r="327" spans="1:16" x14ac:dyDescent="0.25">
      <c r="A327" s="43" t="s">
        <v>200</v>
      </c>
      <c r="B327" s="43" t="s">
        <v>291</v>
      </c>
      <c r="C327" s="43" t="s">
        <v>292</v>
      </c>
      <c r="D327" s="43" t="s">
        <v>293</v>
      </c>
      <c r="E327" s="43" t="s">
        <v>351</v>
      </c>
      <c r="F327" s="43" t="s">
        <v>352</v>
      </c>
      <c r="G327" s="43" t="s">
        <v>234</v>
      </c>
      <c r="H327" s="43" t="s">
        <v>207</v>
      </c>
      <c r="I327" s="44">
        <v>45591</v>
      </c>
      <c r="J327" s="44">
        <v>45647</v>
      </c>
      <c r="K327" s="45">
        <v>13</v>
      </c>
      <c r="L327" s="45">
        <v>597.6</v>
      </c>
      <c r="M327" s="45">
        <v>1562.08</v>
      </c>
      <c r="N327" s="45">
        <v>5</v>
      </c>
      <c r="O327" s="45">
        <v>233.35050000000001</v>
      </c>
      <c r="P327" s="62">
        <f t="shared" si="5"/>
        <v>18</v>
      </c>
    </row>
    <row r="328" spans="1:16" x14ac:dyDescent="0.25">
      <c r="A328" s="43" t="s">
        <v>200</v>
      </c>
      <c r="B328" s="43" t="s">
        <v>291</v>
      </c>
      <c r="C328" s="43" t="s">
        <v>292</v>
      </c>
      <c r="D328" s="43" t="s">
        <v>293</v>
      </c>
      <c r="E328" s="43" t="s">
        <v>351</v>
      </c>
      <c r="F328" s="43" t="s">
        <v>352</v>
      </c>
      <c r="G328" s="43" t="s">
        <v>259</v>
      </c>
      <c r="H328" s="43" t="s">
        <v>207</v>
      </c>
      <c r="I328" s="44">
        <v>45591</v>
      </c>
      <c r="J328" s="44">
        <v>45647</v>
      </c>
      <c r="K328" s="45">
        <v>3</v>
      </c>
      <c r="L328" s="45">
        <v>135.0214</v>
      </c>
      <c r="M328" s="45">
        <v>357.42</v>
      </c>
      <c r="N328" s="45">
        <v>3</v>
      </c>
      <c r="O328" s="45">
        <v>138.8775</v>
      </c>
      <c r="P328" s="62">
        <f t="shared" ref="P328:P391" si="6">K328+N328</f>
        <v>6</v>
      </c>
    </row>
    <row r="329" spans="1:16" x14ac:dyDescent="0.25">
      <c r="A329" s="43" t="s">
        <v>200</v>
      </c>
      <c r="B329" s="43" t="s">
        <v>291</v>
      </c>
      <c r="C329" s="43" t="s">
        <v>292</v>
      </c>
      <c r="D329" s="43" t="s">
        <v>293</v>
      </c>
      <c r="E329" s="43" t="s">
        <v>351</v>
      </c>
      <c r="F329" s="43" t="s">
        <v>352</v>
      </c>
      <c r="G329" s="43" t="s">
        <v>296</v>
      </c>
      <c r="H329" s="43" t="s">
        <v>207</v>
      </c>
      <c r="I329" s="44">
        <v>45591</v>
      </c>
      <c r="J329" s="44">
        <v>45647</v>
      </c>
      <c r="K329" s="45">
        <v>2</v>
      </c>
      <c r="L329" s="45">
        <v>89.757199999999997</v>
      </c>
      <c r="M329" s="45">
        <v>251.52</v>
      </c>
      <c r="N329" s="45">
        <v>3</v>
      </c>
      <c r="O329" s="45">
        <v>137.3349</v>
      </c>
      <c r="P329" s="62">
        <f t="shared" si="6"/>
        <v>5</v>
      </c>
    </row>
    <row r="330" spans="1:16" x14ac:dyDescent="0.25">
      <c r="A330" s="43" t="s">
        <v>200</v>
      </c>
      <c r="B330" s="43" t="s">
        <v>291</v>
      </c>
      <c r="C330" s="43" t="s">
        <v>292</v>
      </c>
      <c r="D330" s="43" t="s">
        <v>293</v>
      </c>
      <c r="E330" s="43" t="s">
        <v>353</v>
      </c>
      <c r="F330" s="43" t="s">
        <v>354</v>
      </c>
      <c r="G330" s="43" t="s">
        <v>232</v>
      </c>
      <c r="H330" s="43" t="s">
        <v>207</v>
      </c>
      <c r="I330" s="44">
        <v>45591</v>
      </c>
      <c r="J330" s="44">
        <v>45608</v>
      </c>
      <c r="K330" s="45">
        <v>2</v>
      </c>
      <c r="L330" s="45">
        <v>89.066800000000001</v>
      </c>
      <c r="M330" s="45">
        <v>211.81</v>
      </c>
      <c r="N330" s="45">
        <v>0</v>
      </c>
      <c r="O330" s="45">
        <v>0</v>
      </c>
      <c r="P330" s="62">
        <f t="shared" si="6"/>
        <v>2</v>
      </c>
    </row>
    <row r="331" spans="1:16" x14ac:dyDescent="0.25">
      <c r="A331" s="43" t="s">
        <v>200</v>
      </c>
      <c r="B331" s="43" t="s">
        <v>291</v>
      </c>
      <c r="C331" s="43" t="s">
        <v>292</v>
      </c>
      <c r="D331" s="43" t="s">
        <v>293</v>
      </c>
      <c r="E331" s="43" t="s">
        <v>353</v>
      </c>
      <c r="F331" s="43" t="s">
        <v>354</v>
      </c>
      <c r="G331" s="43" t="s">
        <v>233</v>
      </c>
      <c r="H331" s="43" t="s">
        <v>207</v>
      </c>
      <c r="I331" s="44">
        <v>45591</v>
      </c>
      <c r="J331" s="44">
        <v>45608</v>
      </c>
      <c r="K331" s="45">
        <v>7</v>
      </c>
      <c r="L331" s="45">
        <v>311.73379999999997</v>
      </c>
      <c r="M331" s="45">
        <v>820.76</v>
      </c>
      <c r="N331" s="45">
        <v>0</v>
      </c>
      <c r="O331" s="45">
        <v>0</v>
      </c>
      <c r="P331" s="62">
        <f t="shared" si="6"/>
        <v>7</v>
      </c>
    </row>
    <row r="332" spans="1:16" x14ac:dyDescent="0.25">
      <c r="A332" s="43" t="s">
        <v>200</v>
      </c>
      <c r="B332" s="43" t="s">
        <v>291</v>
      </c>
      <c r="C332" s="43" t="s">
        <v>292</v>
      </c>
      <c r="D332" s="43" t="s">
        <v>293</v>
      </c>
      <c r="E332" s="43" t="s">
        <v>353</v>
      </c>
      <c r="F332" s="43" t="s">
        <v>354</v>
      </c>
      <c r="G332" s="43" t="s">
        <v>234</v>
      </c>
      <c r="H332" s="43" t="s">
        <v>207</v>
      </c>
      <c r="I332" s="44">
        <v>45590</v>
      </c>
      <c r="J332" s="44">
        <v>45590</v>
      </c>
      <c r="K332" s="45">
        <v>2</v>
      </c>
      <c r="L332" s="45">
        <v>89.066800000000001</v>
      </c>
      <c r="M332" s="45">
        <v>251.52</v>
      </c>
      <c r="N332" s="45">
        <v>0</v>
      </c>
      <c r="O332" s="45">
        <v>0</v>
      </c>
      <c r="P332" s="62">
        <f t="shared" si="6"/>
        <v>2</v>
      </c>
    </row>
    <row r="333" spans="1:16" x14ac:dyDescent="0.25">
      <c r="A333" s="43" t="s">
        <v>200</v>
      </c>
      <c r="B333" s="43" t="s">
        <v>291</v>
      </c>
      <c r="C333" s="43" t="s">
        <v>292</v>
      </c>
      <c r="D333" s="43" t="s">
        <v>293</v>
      </c>
      <c r="E333" s="43" t="s">
        <v>353</v>
      </c>
      <c r="F333" s="43" t="s">
        <v>354</v>
      </c>
      <c r="G333" s="43" t="s">
        <v>259</v>
      </c>
      <c r="H333" s="43" t="s">
        <v>207</v>
      </c>
      <c r="I333" s="44">
        <v>45590</v>
      </c>
      <c r="J333" s="44">
        <v>45590</v>
      </c>
      <c r="K333" s="45">
        <v>1</v>
      </c>
      <c r="L333" s="45">
        <v>44.5334</v>
      </c>
      <c r="M333" s="45">
        <v>119.14</v>
      </c>
      <c r="N333" s="45">
        <v>0</v>
      </c>
      <c r="O333" s="45">
        <v>0</v>
      </c>
      <c r="P333" s="62">
        <f t="shared" si="6"/>
        <v>1</v>
      </c>
    </row>
    <row r="334" spans="1:16" x14ac:dyDescent="0.25">
      <c r="A334" s="43" t="s">
        <v>200</v>
      </c>
      <c r="B334" s="43" t="s">
        <v>291</v>
      </c>
      <c r="C334" s="43" t="s">
        <v>292</v>
      </c>
      <c r="D334" s="43" t="s">
        <v>293</v>
      </c>
      <c r="E334" s="43" t="s">
        <v>355</v>
      </c>
      <c r="F334" s="43" t="s">
        <v>356</v>
      </c>
      <c r="G334" s="43" t="s">
        <v>232</v>
      </c>
      <c r="H334" s="43" t="s">
        <v>207</v>
      </c>
      <c r="I334" s="44">
        <v>45638</v>
      </c>
      <c r="J334" s="44">
        <v>45647</v>
      </c>
      <c r="K334" s="45">
        <v>0</v>
      </c>
      <c r="L334" s="45">
        <v>0</v>
      </c>
      <c r="M334" s="45">
        <v>0</v>
      </c>
      <c r="N334" s="45">
        <v>6</v>
      </c>
      <c r="O334" s="45">
        <v>410.41860000000003</v>
      </c>
      <c r="P334" s="62">
        <f t="shared" si="6"/>
        <v>6</v>
      </c>
    </row>
    <row r="335" spans="1:16" x14ac:dyDescent="0.25">
      <c r="A335" s="43" t="s">
        <v>200</v>
      </c>
      <c r="B335" s="43" t="s">
        <v>291</v>
      </c>
      <c r="C335" s="43" t="s">
        <v>292</v>
      </c>
      <c r="D335" s="43" t="s">
        <v>293</v>
      </c>
      <c r="E335" s="43" t="s">
        <v>355</v>
      </c>
      <c r="F335" s="43" t="s">
        <v>356</v>
      </c>
      <c r="G335" s="43" t="s">
        <v>233</v>
      </c>
      <c r="H335" s="43" t="s">
        <v>207</v>
      </c>
      <c r="I335" s="44">
        <v>45638</v>
      </c>
      <c r="J335" s="44">
        <v>45645</v>
      </c>
      <c r="K335" s="45">
        <v>0</v>
      </c>
      <c r="L335" s="45">
        <v>0</v>
      </c>
      <c r="M335" s="45">
        <v>0</v>
      </c>
      <c r="N335" s="45">
        <v>7</v>
      </c>
      <c r="O335" s="45">
        <v>478.82170000000002</v>
      </c>
      <c r="P335" s="62">
        <f t="shared" si="6"/>
        <v>7</v>
      </c>
    </row>
    <row r="336" spans="1:16" x14ac:dyDescent="0.25">
      <c r="A336" s="43" t="s">
        <v>200</v>
      </c>
      <c r="B336" s="43" t="s">
        <v>291</v>
      </c>
      <c r="C336" s="43" t="s">
        <v>292</v>
      </c>
      <c r="D336" s="43" t="s">
        <v>293</v>
      </c>
      <c r="E336" s="43" t="s">
        <v>355</v>
      </c>
      <c r="F336" s="43" t="s">
        <v>356</v>
      </c>
      <c r="G336" s="43" t="s">
        <v>234</v>
      </c>
      <c r="H336" s="43" t="s">
        <v>207</v>
      </c>
      <c r="I336" s="44">
        <v>45638</v>
      </c>
      <c r="J336" s="44">
        <v>45646</v>
      </c>
      <c r="K336" s="45">
        <v>0</v>
      </c>
      <c r="L336" s="45">
        <v>0</v>
      </c>
      <c r="M336" s="45">
        <v>0</v>
      </c>
      <c r="N336" s="45">
        <v>5</v>
      </c>
      <c r="O336" s="45">
        <v>342.01549999999997</v>
      </c>
      <c r="P336" s="62">
        <f t="shared" si="6"/>
        <v>5</v>
      </c>
    </row>
    <row r="337" spans="1:16" x14ac:dyDescent="0.25">
      <c r="A337" s="43" t="s">
        <v>200</v>
      </c>
      <c r="B337" s="43" t="s">
        <v>291</v>
      </c>
      <c r="C337" s="43" t="s">
        <v>292</v>
      </c>
      <c r="D337" s="43" t="s">
        <v>293</v>
      </c>
      <c r="E337" s="43" t="s">
        <v>355</v>
      </c>
      <c r="F337" s="43" t="s">
        <v>356</v>
      </c>
      <c r="G337" s="43" t="s">
        <v>259</v>
      </c>
      <c r="H337" s="43" t="s">
        <v>207</v>
      </c>
      <c r="I337" s="44">
        <v>45638</v>
      </c>
      <c r="J337" s="44">
        <v>45638</v>
      </c>
      <c r="K337" s="45">
        <v>0</v>
      </c>
      <c r="L337" s="45">
        <v>0</v>
      </c>
      <c r="M337" s="45">
        <v>0</v>
      </c>
      <c r="N337" s="45">
        <v>3</v>
      </c>
      <c r="O337" s="45">
        <v>205.20930000000001</v>
      </c>
      <c r="P337" s="62">
        <f t="shared" si="6"/>
        <v>3</v>
      </c>
    </row>
    <row r="338" spans="1:16" x14ac:dyDescent="0.25">
      <c r="A338" s="43" t="s">
        <v>200</v>
      </c>
      <c r="B338" s="43" t="s">
        <v>291</v>
      </c>
      <c r="C338" s="43" t="s">
        <v>292</v>
      </c>
      <c r="D338" s="43" t="s">
        <v>293</v>
      </c>
      <c r="E338" s="43" t="s">
        <v>355</v>
      </c>
      <c r="F338" s="43" t="s">
        <v>356</v>
      </c>
      <c r="G338" s="43" t="s">
        <v>296</v>
      </c>
      <c r="H338" s="43" t="s">
        <v>207</v>
      </c>
      <c r="I338" s="44">
        <v>45638</v>
      </c>
      <c r="J338" s="44">
        <v>45638</v>
      </c>
      <c r="K338" s="45">
        <v>0</v>
      </c>
      <c r="L338" s="45">
        <v>0</v>
      </c>
      <c r="M338" s="45">
        <v>0</v>
      </c>
      <c r="N338" s="45">
        <v>3</v>
      </c>
      <c r="O338" s="45">
        <v>205.20930000000001</v>
      </c>
      <c r="P338" s="62">
        <f t="shared" si="6"/>
        <v>3</v>
      </c>
    </row>
    <row r="339" spans="1:16" x14ac:dyDescent="0.25">
      <c r="A339" s="43" t="s">
        <v>200</v>
      </c>
      <c r="B339" s="43" t="s">
        <v>291</v>
      </c>
      <c r="C339" s="43" t="s">
        <v>292</v>
      </c>
      <c r="D339" s="43" t="s">
        <v>293</v>
      </c>
      <c r="E339" s="43" t="s">
        <v>357</v>
      </c>
      <c r="F339" s="43" t="s">
        <v>356</v>
      </c>
      <c r="G339" s="43" t="s">
        <v>232</v>
      </c>
      <c r="H339" s="43" t="s">
        <v>218</v>
      </c>
      <c r="I339" s="44">
        <v>45638</v>
      </c>
      <c r="J339" s="44">
        <v>45647</v>
      </c>
      <c r="K339" s="45">
        <v>0</v>
      </c>
      <c r="L339" s="45">
        <v>0</v>
      </c>
      <c r="M339" s="45">
        <v>0</v>
      </c>
      <c r="N339" s="45">
        <v>6</v>
      </c>
      <c r="O339" s="45">
        <v>410.41860000000003</v>
      </c>
      <c r="P339" s="62">
        <f t="shared" si="6"/>
        <v>6</v>
      </c>
    </row>
    <row r="340" spans="1:16" x14ac:dyDescent="0.25">
      <c r="A340" s="43" t="s">
        <v>200</v>
      </c>
      <c r="B340" s="43" t="s">
        <v>291</v>
      </c>
      <c r="C340" s="43" t="s">
        <v>292</v>
      </c>
      <c r="D340" s="43" t="s">
        <v>293</v>
      </c>
      <c r="E340" s="43" t="s">
        <v>357</v>
      </c>
      <c r="F340" s="43" t="s">
        <v>356</v>
      </c>
      <c r="G340" s="43" t="s">
        <v>233</v>
      </c>
      <c r="H340" s="43" t="s">
        <v>218</v>
      </c>
      <c r="I340" s="44">
        <v>45638</v>
      </c>
      <c r="J340" s="44">
        <v>45647</v>
      </c>
      <c r="K340" s="45">
        <v>0</v>
      </c>
      <c r="L340" s="45">
        <v>0</v>
      </c>
      <c r="M340" s="45">
        <v>0</v>
      </c>
      <c r="N340" s="45">
        <v>7</v>
      </c>
      <c r="O340" s="45">
        <v>478.82170000000002</v>
      </c>
      <c r="P340" s="62">
        <f t="shared" si="6"/>
        <v>7</v>
      </c>
    </row>
    <row r="341" spans="1:16" x14ac:dyDescent="0.25">
      <c r="A341" s="43" t="s">
        <v>200</v>
      </c>
      <c r="B341" s="43" t="s">
        <v>291</v>
      </c>
      <c r="C341" s="43" t="s">
        <v>292</v>
      </c>
      <c r="D341" s="43" t="s">
        <v>293</v>
      </c>
      <c r="E341" s="43" t="s">
        <v>357</v>
      </c>
      <c r="F341" s="43" t="s">
        <v>356</v>
      </c>
      <c r="G341" s="43" t="s">
        <v>234</v>
      </c>
      <c r="H341" s="43" t="s">
        <v>218</v>
      </c>
      <c r="I341" s="44">
        <v>45638</v>
      </c>
      <c r="J341" s="44">
        <v>45647</v>
      </c>
      <c r="K341" s="45">
        <v>0</v>
      </c>
      <c r="L341" s="45">
        <v>0</v>
      </c>
      <c r="M341" s="45">
        <v>0</v>
      </c>
      <c r="N341" s="45">
        <v>5</v>
      </c>
      <c r="O341" s="45">
        <v>342.01549999999997</v>
      </c>
      <c r="P341" s="62">
        <f t="shared" si="6"/>
        <v>5</v>
      </c>
    </row>
    <row r="342" spans="1:16" x14ac:dyDescent="0.25">
      <c r="A342" s="43" t="s">
        <v>200</v>
      </c>
      <c r="B342" s="43" t="s">
        <v>291</v>
      </c>
      <c r="C342" s="43" t="s">
        <v>292</v>
      </c>
      <c r="D342" s="43" t="s">
        <v>293</v>
      </c>
      <c r="E342" s="43" t="s">
        <v>357</v>
      </c>
      <c r="F342" s="43" t="s">
        <v>356</v>
      </c>
      <c r="G342" s="43" t="s">
        <v>259</v>
      </c>
      <c r="H342" s="43" t="s">
        <v>218</v>
      </c>
      <c r="I342" s="44">
        <v>45638</v>
      </c>
      <c r="J342" s="44">
        <v>45638</v>
      </c>
      <c r="K342" s="45">
        <v>0</v>
      </c>
      <c r="L342" s="45">
        <v>0</v>
      </c>
      <c r="M342" s="45">
        <v>0</v>
      </c>
      <c r="N342" s="45">
        <v>3</v>
      </c>
      <c r="O342" s="45">
        <v>205.20930000000001</v>
      </c>
      <c r="P342" s="62">
        <f t="shared" si="6"/>
        <v>3</v>
      </c>
    </row>
    <row r="343" spans="1:16" x14ac:dyDescent="0.25">
      <c r="A343" s="43" t="s">
        <v>200</v>
      </c>
      <c r="B343" s="43" t="s">
        <v>291</v>
      </c>
      <c r="C343" s="43" t="s">
        <v>292</v>
      </c>
      <c r="D343" s="43" t="s">
        <v>293</v>
      </c>
      <c r="E343" s="43" t="s">
        <v>357</v>
      </c>
      <c r="F343" s="43" t="s">
        <v>356</v>
      </c>
      <c r="G343" s="43" t="s">
        <v>296</v>
      </c>
      <c r="H343" s="43" t="s">
        <v>218</v>
      </c>
      <c r="I343" s="44">
        <v>45638</v>
      </c>
      <c r="J343" s="44">
        <v>45638</v>
      </c>
      <c r="K343" s="45">
        <v>0</v>
      </c>
      <c r="L343" s="45">
        <v>0</v>
      </c>
      <c r="M343" s="45">
        <v>0</v>
      </c>
      <c r="N343" s="45">
        <v>3</v>
      </c>
      <c r="O343" s="45">
        <v>205.20930000000001</v>
      </c>
      <c r="P343" s="62">
        <f t="shared" si="6"/>
        <v>3</v>
      </c>
    </row>
    <row r="344" spans="1:16" x14ac:dyDescent="0.25">
      <c r="A344" s="43" t="s">
        <v>200</v>
      </c>
      <c r="B344" s="43" t="s">
        <v>291</v>
      </c>
      <c r="C344" s="43" t="s">
        <v>292</v>
      </c>
      <c r="D344" s="43" t="s">
        <v>293</v>
      </c>
      <c r="E344" s="43" t="s">
        <v>358</v>
      </c>
      <c r="F344" s="43" t="s">
        <v>359</v>
      </c>
      <c r="G344" s="43" t="s">
        <v>232</v>
      </c>
      <c r="H344" s="43" t="s">
        <v>226</v>
      </c>
      <c r="I344" s="44">
        <v>45630</v>
      </c>
      <c r="J344" s="44">
        <v>45645</v>
      </c>
      <c r="K344" s="45">
        <v>7</v>
      </c>
      <c r="L344" s="45">
        <v>504.11829999999998</v>
      </c>
      <c r="M344" s="45">
        <v>1272.26</v>
      </c>
      <c r="N344" s="45">
        <v>4</v>
      </c>
      <c r="O344" s="45">
        <v>288.06760000000003</v>
      </c>
      <c r="P344" s="62">
        <f t="shared" si="6"/>
        <v>11</v>
      </c>
    </row>
    <row r="345" spans="1:16" x14ac:dyDescent="0.25">
      <c r="A345" s="43" t="s">
        <v>200</v>
      </c>
      <c r="B345" s="43" t="s">
        <v>291</v>
      </c>
      <c r="C345" s="43" t="s">
        <v>292</v>
      </c>
      <c r="D345" s="43" t="s">
        <v>293</v>
      </c>
      <c r="E345" s="43" t="s">
        <v>358</v>
      </c>
      <c r="F345" s="43" t="s">
        <v>359</v>
      </c>
      <c r="G345" s="43" t="s">
        <v>233</v>
      </c>
      <c r="H345" s="43" t="s">
        <v>226</v>
      </c>
      <c r="I345" s="44">
        <v>45630</v>
      </c>
      <c r="J345" s="44">
        <v>45647</v>
      </c>
      <c r="K345" s="45">
        <v>5</v>
      </c>
      <c r="L345" s="45">
        <v>360.08449999999999</v>
      </c>
      <c r="M345" s="45">
        <v>980.3</v>
      </c>
      <c r="N345" s="45">
        <v>7</v>
      </c>
      <c r="O345" s="45">
        <v>504.11829999999998</v>
      </c>
      <c r="P345" s="62">
        <f t="shared" si="6"/>
        <v>12</v>
      </c>
    </row>
    <row r="346" spans="1:16" x14ac:dyDescent="0.25">
      <c r="A346" s="43" t="s">
        <v>200</v>
      </c>
      <c r="B346" s="43" t="s">
        <v>291</v>
      </c>
      <c r="C346" s="43" t="s">
        <v>292</v>
      </c>
      <c r="D346" s="43" t="s">
        <v>293</v>
      </c>
      <c r="E346" s="43" t="s">
        <v>358</v>
      </c>
      <c r="F346" s="43" t="s">
        <v>359</v>
      </c>
      <c r="G346" s="43" t="s">
        <v>234</v>
      </c>
      <c r="H346" s="43" t="s">
        <v>226</v>
      </c>
      <c r="I346" s="44">
        <v>45630</v>
      </c>
      <c r="J346" s="44">
        <v>45647</v>
      </c>
      <c r="K346" s="45">
        <v>3</v>
      </c>
      <c r="L346" s="45">
        <v>216.05070000000001</v>
      </c>
      <c r="M346" s="45">
        <v>542.28</v>
      </c>
      <c r="N346" s="45">
        <v>4</v>
      </c>
      <c r="O346" s="45">
        <v>288.06760000000003</v>
      </c>
      <c r="P346" s="62">
        <f t="shared" si="6"/>
        <v>7</v>
      </c>
    </row>
    <row r="347" spans="1:16" x14ac:dyDescent="0.25">
      <c r="A347" s="43" t="s">
        <v>200</v>
      </c>
      <c r="B347" s="43" t="s">
        <v>291</v>
      </c>
      <c r="C347" s="43" t="s">
        <v>292</v>
      </c>
      <c r="D347" s="43" t="s">
        <v>293</v>
      </c>
      <c r="E347" s="43" t="s">
        <v>358</v>
      </c>
      <c r="F347" s="43" t="s">
        <v>359</v>
      </c>
      <c r="G347" s="43" t="s">
        <v>259</v>
      </c>
      <c r="H347" s="43" t="s">
        <v>226</v>
      </c>
      <c r="I347" s="44">
        <v>45630</v>
      </c>
      <c r="J347" s="44">
        <v>45643</v>
      </c>
      <c r="K347" s="45">
        <v>4</v>
      </c>
      <c r="L347" s="45">
        <v>288.06760000000003</v>
      </c>
      <c r="M347" s="45">
        <v>792.57</v>
      </c>
      <c r="N347" s="45">
        <v>2</v>
      </c>
      <c r="O347" s="45">
        <v>144.03380000000001</v>
      </c>
      <c r="P347" s="62">
        <f t="shared" si="6"/>
        <v>6</v>
      </c>
    </row>
    <row r="348" spans="1:16" x14ac:dyDescent="0.25">
      <c r="A348" s="43" t="s">
        <v>200</v>
      </c>
      <c r="B348" s="43" t="s">
        <v>291</v>
      </c>
      <c r="C348" s="43" t="s">
        <v>292</v>
      </c>
      <c r="D348" s="43" t="s">
        <v>293</v>
      </c>
      <c r="E348" s="43" t="s">
        <v>358</v>
      </c>
      <c r="F348" s="43" t="s">
        <v>359</v>
      </c>
      <c r="G348" s="43" t="s">
        <v>296</v>
      </c>
      <c r="H348" s="43" t="s">
        <v>226</v>
      </c>
      <c r="I348" s="44">
        <v>45630</v>
      </c>
      <c r="J348" s="44">
        <v>45646</v>
      </c>
      <c r="K348" s="45">
        <v>3</v>
      </c>
      <c r="L348" s="45">
        <v>216.05070000000001</v>
      </c>
      <c r="M348" s="45">
        <v>563.14</v>
      </c>
      <c r="N348" s="45">
        <v>2</v>
      </c>
      <c r="O348" s="45">
        <v>144.03380000000001</v>
      </c>
      <c r="P348" s="62">
        <f t="shared" si="6"/>
        <v>5</v>
      </c>
    </row>
    <row r="349" spans="1:16" x14ac:dyDescent="0.25">
      <c r="A349" s="43" t="s">
        <v>200</v>
      </c>
      <c r="B349" s="43" t="s">
        <v>291</v>
      </c>
      <c r="C349" s="43" t="s">
        <v>292</v>
      </c>
      <c r="D349" s="43" t="s">
        <v>293</v>
      </c>
      <c r="E349" s="43" t="s">
        <v>360</v>
      </c>
      <c r="F349" s="43" t="s">
        <v>361</v>
      </c>
      <c r="G349" s="43" t="s">
        <v>232</v>
      </c>
      <c r="H349" s="43" t="s">
        <v>218</v>
      </c>
      <c r="I349" s="44">
        <v>45625</v>
      </c>
      <c r="J349" s="44">
        <v>45643</v>
      </c>
      <c r="K349" s="45">
        <v>7</v>
      </c>
      <c r="L349" s="45">
        <v>504.11829999999998</v>
      </c>
      <c r="M349" s="45">
        <v>1376.56</v>
      </c>
      <c r="N349" s="45">
        <v>4</v>
      </c>
      <c r="O349" s="45">
        <v>288.06760000000003</v>
      </c>
      <c r="P349" s="62">
        <f t="shared" si="6"/>
        <v>11</v>
      </c>
    </row>
    <row r="350" spans="1:16" x14ac:dyDescent="0.25">
      <c r="A350" s="43" t="s">
        <v>200</v>
      </c>
      <c r="B350" s="43" t="s">
        <v>291</v>
      </c>
      <c r="C350" s="43" t="s">
        <v>292</v>
      </c>
      <c r="D350" s="43" t="s">
        <v>293</v>
      </c>
      <c r="E350" s="43" t="s">
        <v>360</v>
      </c>
      <c r="F350" s="43" t="s">
        <v>361</v>
      </c>
      <c r="G350" s="43" t="s">
        <v>233</v>
      </c>
      <c r="H350" s="43" t="s">
        <v>218</v>
      </c>
      <c r="I350" s="44">
        <v>45625</v>
      </c>
      <c r="J350" s="44">
        <v>45643</v>
      </c>
      <c r="K350" s="45">
        <v>9</v>
      </c>
      <c r="L350" s="45">
        <v>648.15210000000002</v>
      </c>
      <c r="M350" s="45">
        <v>1710.26</v>
      </c>
      <c r="N350" s="45">
        <v>6</v>
      </c>
      <c r="O350" s="45">
        <v>432.10140000000001</v>
      </c>
      <c r="P350" s="62">
        <f t="shared" si="6"/>
        <v>15</v>
      </c>
    </row>
    <row r="351" spans="1:16" x14ac:dyDescent="0.25">
      <c r="A351" s="43" t="s">
        <v>200</v>
      </c>
      <c r="B351" s="43" t="s">
        <v>291</v>
      </c>
      <c r="C351" s="43" t="s">
        <v>292</v>
      </c>
      <c r="D351" s="43" t="s">
        <v>293</v>
      </c>
      <c r="E351" s="43" t="s">
        <v>360</v>
      </c>
      <c r="F351" s="43" t="s">
        <v>361</v>
      </c>
      <c r="G351" s="43" t="s">
        <v>234</v>
      </c>
      <c r="H351" s="43" t="s">
        <v>218</v>
      </c>
      <c r="I351" s="44">
        <v>45625</v>
      </c>
      <c r="J351" s="44">
        <v>45638</v>
      </c>
      <c r="K351" s="45">
        <v>6</v>
      </c>
      <c r="L351" s="45">
        <v>432.10140000000001</v>
      </c>
      <c r="M351" s="45">
        <v>1126.27</v>
      </c>
      <c r="N351" s="45">
        <v>7</v>
      </c>
      <c r="O351" s="45">
        <v>504.11829999999998</v>
      </c>
      <c r="P351" s="62">
        <f t="shared" si="6"/>
        <v>13</v>
      </c>
    </row>
    <row r="352" spans="1:16" x14ac:dyDescent="0.25">
      <c r="A352" s="43" t="s">
        <v>200</v>
      </c>
      <c r="B352" s="43" t="s">
        <v>291</v>
      </c>
      <c r="C352" s="43" t="s">
        <v>292</v>
      </c>
      <c r="D352" s="43" t="s">
        <v>293</v>
      </c>
      <c r="E352" s="43" t="s">
        <v>360</v>
      </c>
      <c r="F352" s="43" t="s">
        <v>361</v>
      </c>
      <c r="G352" s="43" t="s">
        <v>296</v>
      </c>
      <c r="H352" s="43" t="s">
        <v>218</v>
      </c>
      <c r="I352" s="44">
        <v>45625</v>
      </c>
      <c r="J352" s="44">
        <v>45639</v>
      </c>
      <c r="K352" s="45">
        <v>1</v>
      </c>
      <c r="L352" s="45">
        <v>72.016900000000007</v>
      </c>
      <c r="M352" s="45">
        <v>208.58</v>
      </c>
      <c r="N352" s="45">
        <v>4</v>
      </c>
      <c r="O352" s="45">
        <v>288.06760000000003</v>
      </c>
      <c r="P352" s="62">
        <f t="shared" si="6"/>
        <v>5</v>
      </c>
    </row>
    <row r="353" spans="1:16" x14ac:dyDescent="0.25">
      <c r="A353" s="43" t="s">
        <v>200</v>
      </c>
      <c r="B353" s="43" t="s">
        <v>291</v>
      </c>
      <c r="C353" s="43" t="s">
        <v>292</v>
      </c>
      <c r="D353" s="43" t="s">
        <v>362</v>
      </c>
      <c r="E353" s="43" t="s">
        <v>363</v>
      </c>
      <c r="F353" s="43" t="s">
        <v>304</v>
      </c>
      <c r="G353" s="43" t="s">
        <v>234</v>
      </c>
      <c r="H353" s="43" t="s">
        <v>218</v>
      </c>
      <c r="I353" s="44">
        <v>45637</v>
      </c>
      <c r="J353" s="44">
        <v>45637</v>
      </c>
      <c r="K353" s="45">
        <v>0</v>
      </c>
      <c r="L353" s="45">
        <v>0</v>
      </c>
      <c r="M353" s="45">
        <v>0</v>
      </c>
      <c r="N353" s="45">
        <v>1</v>
      </c>
      <c r="O353" s="45">
        <v>43.193100000000001</v>
      </c>
      <c r="P353" s="62">
        <f t="shared" si="6"/>
        <v>1</v>
      </c>
    </row>
    <row r="354" spans="1:16" x14ac:dyDescent="0.25">
      <c r="A354" s="43" t="s">
        <v>200</v>
      </c>
      <c r="B354" s="43" t="s">
        <v>291</v>
      </c>
      <c r="C354" s="43" t="s">
        <v>292</v>
      </c>
      <c r="D354" s="43" t="s">
        <v>362</v>
      </c>
      <c r="E354" s="43" t="s">
        <v>364</v>
      </c>
      <c r="F354" s="43" t="s">
        <v>312</v>
      </c>
      <c r="G354" s="43" t="s">
        <v>232</v>
      </c>
      <c r="H354" s="43" t="s">
        <v>207</v>
      </c>
      <c r="I354" s="44">
        <v>45591</v>
      </c>
      <c r="J354" s="44">
        <v>45615</v>
      </c>
      <c r="K354" s="45">
        <v>14</v>
      </c>
      <c r="L354" s="45">
        <v>919.70060000000001</v>
      </c>
      <c r="M354" s="45">
        <v>2406.9499999999998</v>
      </c>
      <c r="N354" s="45">
        <v>5</v>
      </c>
      <c r="O354" s="45">
        <v>328.46449999999999</v>
      </c>
      <c r="P354" s="62">
        <f t="shared" si="6"/>
        <v>19</v>
      </c>
    </row>
    <row r="355" spans="1:16" x14ac:dyDescent="0.25">
      <c r="A355" s="43" t="s">
        <v>200</v>
      </c>
      <c r="B355" s="43" t="s">
        <v>291</v>
      </c>
      <c r="C355" s="43" t="s">
        <v>292</v>
      </c>
      <c r="D355" s="43" t="s">
        <v>362</v>
      </c>
      <c r="E355" s="43" t="s">
        <v>364</v>
      </c>
      <c r="F355" s="43" t="s">
        <v>312</v>
      </c>
      <c r="G355" s="43" t="s">
        <v>233</v>
      </c>
      <c r="H355" s="43" t="s">
        <v>207</v>
      </c>
      <c r="I355" s="44">
        <v>45591</v>
      </c>
      <c r="J355" s="44">
        <v>45622</v>
      </c>
      <c r="K355" s="45">
        <v>27</v>
      </c>
      <c r="L355" s="45">
        <v>1801.0372</v>
      </c>
      <c r="M355" s="45">
        <v>4567.54</v>
      </c>
      <c r="N355" s="45">
        <v>0</v>
      </c>
      <c r="O355" s="45">
        <v>0</v>
      </c>
      <c r="P355" s="62">
        <f t="shared" si="6"/>
        <v>27</v>
      </c>
    </row>
    <row r="356" spans="1:16" x14ac:dyDescent="0.25">
      <c r="A356" s="43" t="s">
        <v>200</v>
      </c>
      <c r="B356" s="43" t="s">
        <v>291</v>
      </c>
      <c r="C356" s="43" t="s">
        <v>292</v>
      </c>
      <c r="D356" s="43" t="s">
        <v>362</v>
      </c>
      <c r="E356" s="43" t="s">
        <v>364</v>
      </c>
      <c r="F356" s="43" t="s">
        <v>312</v>
      </c>
      <c r="G356" s="43" t="s">
        <v>234</v>
      </c>
      <c r="H356" s="43" t="s">
        <v>207</v>
      </c>
      <c r="I356" s="44">
        <v>45591</v>
      </c>
      <c r="J356" s="44">
        <v>45609</v>
      </c>
      <c r="K356" s="45">
        <v>8</v>
      </c>
      <c r="L356" s="45">
        <v>525.54319999999996</v>
      </c>
      <c r="M356" s="45">
        <v>1383.51</v>
      </c>
      <c r="N356" s="45">
        <v>0</v>
      </c>
      <c r="O356" s="45">
        <v>0</v>
      </c>
      <c r="P356" s="62">
        <f t="shared" si="6"/>
        <v>8</v>
      </c>
    </row>
    <row r="357" spans="1:16" x14ac:dyDescent="0.25">
      <c r="A357" s="43" t="s">
        <v>200</v>
      </c>
      <c r="B357" s="43" t="s">
        <v>291</v>
      </c>
      <c r="C357" s="43" t="s">
        <v>292</v>
      </c>
      <c r="D357" s="43" t="s">
        <v>362</v>
      </c>
      <c r="E357" s="43" t="s">
        <v>364</v>
      </c>
      <c r="F357" s="43" t="s">
        <v>312</v>
      </c>
      <c r="G357" s="43" t="s">
        <v>259</v>
      </c>
      <c r="H357" s="43" t="s">
        <v>207</v>
      </c>
      <c r="I357" s="44">
        <v>45591</v>
      </c>
      <c r="J357" s="44">
        <v>45616</v>
      </c>
      <c r="K357" s="45">
        <v>5</v>
      </c>
      <c r="L357" s="45">
        <v>330.74189999999999</v>
      </c>
      <c r="M357" s="45">
        <v>871.81</v>
      </c>
      <c r="N357" s="45">
        <v>1</v>
      </c>
      <c r="O357" s="45">
        <v>66.831599999999995</v>
      </c>
      <c r="P357" s="62">
        <f t="shared" si="6"/>
        <v>6</v>
      </c>
    </row>
    <row r="358" spans="1:16" x14ac:dyDescent="0.25">
      <c r="A358" s="43" t="s">
        <v>200</v>
      </c>
      <c r="B358" s="43" t="s">
        <v>291</v>
      </c>
      <c r="C358" s="43" t="s">
        <v>292</v>
      </c>
      <c r="D358" s="43" t="s">
        <v>362</v>
      </c>
      <c r="E358" s="43" t="s">
        <v>364</v>
      </c>
      <c r="F358" s="43" t="s">
        <v>312</v>
      </c>
      <c r="G358" s="43" t="s">
        <v>296</v>
      </c>
      <c r="H358" s="43" t="s">
        <v>207</v>
      </c>
      <c r="I358" s="44">
        <v>45591</v>
      </c>
      <c r="J358" s="44">
        <v>45591</v>
      </c>
      <c r="K358" s="45">
        <v>2</v>
      </c>
      <c r="L358" s="45">
        <v>131.38579999999999</v>
      </c>
      <c r="M358" s="45">
        <v>341.14</v>
      </c>
      <c r="N358" s="45">
        <v>0</v>
      </c>
      <c r="O358" s="45">
        <v>0</v>
      </c>
      <c r="P358" s="62">
        <f t="shared" si="6"/>
        <v>2</v>
      </c>
    </row>
    <row r="359" spans="1:16" x14ac:dyDescent="0.25">
      <c r="A359" s="43" t="s">
        <v>200</v>
      </c>
      <c r="B359" s="43" t="s">
        <v>291</v>
      </c>
      <c r="C359" s="43" t="s">
        <v>292</v>
      </c>
      <c r="D359" s="43" t="s">
        <v>362</v>
      </c>
      <c r="E359" s="43" t="s">
        <v>365</v>
      </c>
      <c r="F359" s="43" t="s">
        <v>228</v>
      </c>
      <c r="G359" s="43" t="s">
        <v>232</v>
      </c>
      <c r="H359" s="43" t="s">
        <v>207</v>
      </c>
      <c r="I359" s="44">
        <v>45633</v>
      </c>
      <c r="J359" s="44">
        <v>45640</v>
      </c>
      <c r="K359" s="45">
        <v>1</v>
      </c>
      <c r="L359" s="45">
        <v>57.604999999999997</v>
      </c>
      <c r="M359" s="45">
        <v>144.85</v>
      </c>
      <c r="N359" s="45">
        <v>6</v>
      </c>
      <c r="O359" s="45">
        <v>345.63</v>
      </c>
      <c r="P359" s="62">
        <f t="shared" si="6"/>
        <v>7</v>
      </c>
    </row>
    <row r="360" spans="1:16" x14ac:dyDescent="0.25">
      <c r="A360" s="43" t="s">
        <v>200</v>
      </c>
      <c r="B360" s="43" t="s">
        <v>291</v>
      </c>
      <c r="C360" s="43" t="s">
        <v>292</v>
      </c>
      <c r="D360" s="43" t="s">
        <v>362</v>
      </c>
      <c r="E360" s="43" t="s">
        <v>365</v>
      </c>
      <c r="F360" s="43" t="s">
        <v>228</v>
      </c>
      <c r="G360" s="43" t="s">
        <v>233</v>
      </c>
      <c r="H360" s="43" t="s">
        <v>207</v>
      </c>
      <c r="I360" s="44">
        <v>45633</v>
      </c>
      <c r="J360" s="44">
        <v>45637</v>
      </c>
      <c r="K360" s="45">
        <v>1</v>
      </c>
      <c r="L360" s="45">
        <v>57.604999999999997</v>
      </c>
      <c r="M360" s="45">
        <v>160.94999999999999</v>
      </c>
      <c r="N360" s="45">
        <v>6</v>
      </c>
      <c r="O360" s="45">
        <v>345.63</v>
      </c>
      <c r="P360" s="62">
        <f t="shared" si="6"/>
        <v>7</v>
      </c>
    </row>
    <row r="361" spans="1:16" x14ac:dyDescent="0.25">
      <c r="A361" s="43" t="s">
        <v>200</v>
      </c>
      <c r="B361" s="43" t="s">
        <v>291</v>
      </c>
      <c r="C361" s="43" t="s">
        <v>292</v>
      </c>
      <c r="D361" s="43" t="s">
        <v>362</v>
      </c>
      <c r="E361" s="43" t="s">
        <v>365</v>
      </c>
      <c r="F361" s="43" t="s">
        <v>228</v>
      </c>
      <c r="G361" s="43" t="s">
        <v>234</v>
      </c>
      <c r="H361" s="43" t="s">
        <v>207</v>
      </c>
      <c r="I361" s="44">
        <v>45633</v>
      </c>
      <c r="J361" s="44">
        <v>45633</v>
      </c>
      <c r="K361" s="45">
        <v>0</v>
      </c>
      <c r="L361" s="45">
        <v>0</v>
      </c>
      <c r="M361" s="45">
        <v>0</v>
      </c>
      <c r="N361" s="45">
        <v>4</v>
      </c>
      <c r="O361" s="45">
        <v>230.42</v>
      </c>
      <c r="P361" s="62">
        <f t="shared" si="6"/>
        <v>4</v>
      </c>
    </row>
    <row r="362" spans="1:16" x14ac:dyDescent="0.25">
      <c r="A362" s="43" t="s">
        <v>200</v>
      </c>
      <c r="B362" s="43" t="s">
        <v>291</v>
      </c>
      <c r="C362" s="43" t="s">
        <v>292</v>
      </c>
      <c r="D362" s="43" t="s">
        <v>362</v>
      </c>
      <c r="E362" s="43" t="s">
        <v>365</v>
      </c>
      <c r="F362" s="43" t="s">
        <v>228</v>
      </c>
      <c r="G362" s="43" t="s">
        <v>296</v>
      </c>
      <c r="H362" s="43" t="s">
        <v>207</v>
      </c>
      <c r="I362" s="44">
        <v>45633</v>
      </c>
      <c r="J362" s="44">
        <v>45633</v>
      </c>
      <c r="K362" s="45">
        <v>0</v>
      </c>
      <c r="L362" s="45">
        <v>0</v>
      </c>
      <c r="M362" s="45">
        <v>0</v>
      </c>
      <c r="N362" s="45">
        <v>2</v>
      </c>
      <c r="O362" s="45">
        <v>115.21</v>
      </c>
      <c r="P362" s="62">
        <f t="shared" si="6"/>
        <v>2</v>
      </c>
    </row>
    <row r="363" spans="1:16" x14ac:dyDescent="0.25">
      <c r="A363" s="43" t="s">
        <v>200</v>
      </c>
      <c r="B363" s="43" t="s">
        <v>291</v>
      </c>
      <c r="C363" s="43" t="s">
        <v>292</v>
      </c>
      <c r="D363" s="43" t="s">
        <v>362</v>
      </c>
      <c r="E363" s="43" t="s">
        <v>366</v>
      </c>
      <c r="F363" s="43" t="s">
        <v>228</v>
      </c>
      <c r="G363" s="43" t="s">
        <v>232</v>
      </c>
      <c r="H363" s="43" t="s">
        <v>207</v>
      </c>
      <c r="I363" s="44">
        <v>45625</v>
      </c>
      <c r="J363" s="44">
        <v>45633</v>
      </c>
      <c r="K363" s="45">
        <v>4</v>
      </c>
      <c r="L363" s="45">
        <v>230.42</v>
      </c>
      <c r="M363" s="45">
        <v>579.44000000000005</v>
      </c>
      <c r="N363" s="45">
        <v>8</v>
      </c>
      <c r="O363" s="45">
        <v>460.84</v>
      </c>
      <c r="P363" s="62">
        <f t="shared" si="6"/>
        <v>12</v>
      </c>
    </row>
    <row r="364" spans="1:16" x14ac:dyDescent="0.25">
      <c r="A364" s="43" t="s">
        <v>200</v>
      </c>
      <c r="B364" s="43" t="s">
        <v>291</v>
      </c>
      <c r="C364" s="43" t="s">
        <v>292</v>
      </c>
      <c r="D364" s="43" t="s">
        <v>362</v>
      </c>
      <c r="E364" s="43" t="s">
        <v>366</v>
      </c>
      <c r="F364" s="43" t="s">
        <v>228</v>
      </c>
      <c r="G364" s="43" t="s">
        <v>233</v>
      </c>
      <c r="H364" s="43" t="s">
        <v>207</v>
      </c>
      <c r="I364" s="44">
        <v>45625</v>
      </c>
      <c r="J364" s="44">
        <v>45633</v>
      </c>
      <c r="K364" s="45">
        <v>2</v>
      </c>
      <c r="L364" s="45">
        <v>115.21</v>
      </c>
      <c r="M364" s="45">
        <v>289.72000000000003</v>
      </c>
      <c r="N364" s="45">
        <v>10</v>
      </c>
      <c r="O364" s="45">
        <v>576.04999999999995</v>
      </c>
      <c r="P364" s="62">
        <f t="shared" si="6"/>
        <v>12</v>
      </c>
    </row>
    <row r="365" spans="1:16" x14ac:dyDescent="0.25">
      <c r="A365" s="43" t="s">
        <v>200</v>
      </c>
      <c r="B365" s="43" t="s">
        <v>291</v>
      </c>
      <c r="C365" s="43" t="s">
        <v>292</v>
      </c>
      <c r="D365" s="43" t="s">
        <v>362</v>
      </c>
      <c r="E365" s="43" t="s">
        <v>366</v>
      </c>
      <c r="F365" s="43" t="s">
        <v>228</v>
      </c>
      <c r="G365" s="43" t="s">
        <v>234</v>
      </c>
      <c r="H365" s="43" t="s">
        <v>207</v>
      </c>
      <c r="I365" s="44">
        <v>45625</v>
      </c>
      <c r="J365" s="44">
        <v>45633</v>
      </c>
      <c r="K365" s="45">
        <v>2</v>
      </c>
      <c r="L365" s="45">
        <v>115.21</v>
      </c>
      <c r="M365" s="45">
        <v>289.72000000000003</v>
      </c>
      <c r="N365" s="45">
        <v>6</v>
      </c>
      <c r="O365" s="45">
        <v>345.63</v>
      </c>
      <c r="P365" s="62">
        <f t="shared" si="6"/>
        <v>8</v>
      </c>
    </row>
    <row r="366" spans="1:16" x14ac:dyDescent="0.25">
      <c r="A366" s="43" t="s">
        <v>200</v>
      </c>
      <c r="B366" s="43" t="s">
        <v>291</v>
      </c>
      <c r="C366" s="43" t="s">
        <v>292</v>
      </c>
      <c r="D366" s="43" t="s">
        <v>362</v>
      </c>
      <c r="E366" s="43" t="s">
        <v>366</v>
      </c>
      <c r="F366" s="43" t="s">
        <v>228</v>
      </c>
      <c r="G366" s="43" t="s">
        <v>296</v>
      </c>
      <c r="H366" s="43" t="s">
        <v>207</v>
      </c>
      <c r="I366" s="44">
        <v>45625</v>
      </c>
      <c r="J366" s="44">
        <v>45633</v>
      </c>
      <c r="K366" s="45">
        <v>0</v>
      </c>
      <c r="L366" s="45">
        <v>0</v>
      </c>
      <c r="M366" s="45">
        <v>0</v>
      </c>
      <c r="N366" s="45">
        <v>3</v>
      </c>
      <c r="O366" s="45">
        <v>172.815</v>
      </c>
      <c r="P366" s="62">
        <f t="shared" si="6"/>
        <v>3</v>
      </c>
    </row>
    <row r="367" spans="1:16" x14ac:dyDescent="0.25">
      <c r="A367" s="43" t="s">
        <v>200</v>
      </c>
      <c r="B367" s="43" t="s">
        <v>291</v>
      </c>
      <c r="C367" s="43" t="s">
        <v>292</v>
      </c>
      <c r="D367" s="43" t="s">
        <v>362</v>
      </c>
      <c r="E367" s="43" t="s">
        <v>367</v>
      </c>
      <c r="F367" s="43" t="s">
        <v>361</v>
      </c>
      <c r="G367" s="43" t="s">
        <v>232</v>
      </c>
      <c r="H367" s="43" t="s">
        <v>226</v>
      </c>
      <c r="I367" s="44">
        <v>45625</v>
      </c>
      <c r="J367" s="44">
        <v>45625</v>
      </c>
      <c r="K367" s="45">
        <v>0</v>
      </c>
      <c r="L367" s="45">
        <v>0</v>
      </c>
      <c r="M367" s="45">
        <v>0</v>
      </c>
      <c r="N367" s="45">
        <v>6</v>
      </c>
      <c r="O367" s="45">
        <v>485.92200000000003</v>
      </c>
      <c r="P367" s="62">
        <f t="shared" si="6"/>
        <v>6</v>
      </c>
    </row>
    <row r="368" spans="1:16" x14ac:dyDescent="0.25">
      <c r="A368" s="43" t="s">
        <v>200</v>
      </c>
      <c r="B368" s="43" t="s">
        <v>291</v>
      </c>
      <c r="C368" s="43" t="s">
        <v>292</v>
      </c>
      <c r="D368" s="43" t="s">
        <v>362</v>
      </c>
      <c r="E368" s="43" t="s">
        <v>367</v>
      </c>
      <c r="F368" s="43" t="s">
        <v>361</v>
      </c>
      <c r="G368" s="43" t="s">
        <v>233</v>
      </c>
      <c r="H368" s="43" t="s">
        <v>226</v>
      </c>
      <c r="I368" s="44">
        <v>45625</v>
      </c>
      <c r="J368" s="44">
        <v>45625</v>
      </c>
      <c r="K368" s="45">
        <v>1</v>
      </c>
      <c r="L368" s="45">
        <v>80.986999999999995</v>
      </c>
      <c r="M368" s="45">
        <v>204.86</v>
      </c>
      <c r="N368" s="45">
        <v>4</v>
      </c>
      <c r="O368" s="45">
        <v>323.94799999999998</v>
      </c>
      <c r="P368" s="62">
        <f t="shared" si="6"/>
        <v>5</v>
      </c>
    </row>
    <row r="369" spans="1:16" x14ac:dyDescent="0.25">
      <c r="A369" s="43" t="s">
        <v>200</v>
      </c>
      <c r="B369" s="43" t="s">
        <v>291</v>
      </c>
      <c r="C369" s="43" t="s">
        <v>292</v>
      </c>
      <c r="D369" s="43" t="s">
        <v>362</v>
      </c>
      <c r="E369" s="43" t="s">
        <v>367</v>
      </c>
      <c r="F369" s="43" t="s">
        <v>361</v>
      </c>
      <c r="G369" s="43" t="s">
        <v>234</v>
      </c>
      <c r="H369" s="43" t="s">
        <v>226</v>
      </c>
      <c r="I369" s="44">
        <v>45625</v>
      </c>
      <c r="J369" s="44">
        <v>45639</v>
      </c>
      <c r="K369" s="45">
        <v>0</v>
      </c>
      <c r="L369" s="45">
        <v>0</v>
      </c>
      <c r="M369" s="45">
        <v>0</v>
      </c>
      <c r="N369" s="45">
        <v>4</v>
      </c>
      <c r="O369" s="45">
        <v>323.94799999999998</v>
      </c>
      <c r="P369" s="62">
        <f t="shared" si="6"/>
        <v>4</v>
      </c>
    </row>
    <row r="370" spans="1:16" x14ac:dyDescent="0.25">
      <c r="A370" s="43" t="s">
        <v>200</v>
      </c>
      <c r="B370" s="43" t="s">
        <v>291</v>
      </c>
      <c r="C370" s="43" t="s">
        <v>292</v>
      </c>
      <c r="D370" s="43" t="s">
        <v>362</v>
      </c>
      <c r="E370" s="43" t="s">
        <v>367</v>
      </c>
      <c r="F370" s="43" t="s">
        <v>361</v>
      </c>
      <c r="G370" s="43" t="s">
        <v>296</v>
      </c>
      <c r="H370" s="43" t="s">
        <v>226</v>
      </c>
      <c r="I370" s="44">
        <v>45625</v>
      </c>
      <c r="J370" s="44">
        <v>45625</v>
      </c>
      <c r="K370" s="45">
        <v>1</v>
      </c>
      <c r="L370" s="45">
        <v>80.986999999999995</v>
      </c>
      <c r="M370" s="45">
        <v>204.86</v>
      </c>
      <c r="N370" s="45">
        <v>0</v>
      </c>
      <c r="O370" s="45">
        <v>0</v>
      </c>
      <c r="P370" s="62">
        <f t="shared" si="6"/>
        <v>1</v>
      </c>
    </row>
    <row r="371" spans="1:16" x14ac:dyDescent="0.25">
      <c r="A371" s="43" t="s">
        <v>200</v>
      </c>
      <c r="B371" s="43" t="s">
        <v>291</v>
      </c>
      <c r="C371" s="43" t="s">
        <v>292</v>
      </c>
      <c r="D371" s="43" t="s">
        <v>362</v>
      </c>
      <c r="E371" s="43" t="s">
        <v>367</v>
      </c>
      <c r="F371" s="43" t="s">
        <v>361</v>
      </c>
      <c r="G371" s="43" t="s">
        <v>368</v>
      </c>
      <c r="H371" s="43" t="s">
        <v>226</v>
      </c>
      <c r="I371" s="44">
        <v>45625</v>
      </c>
      <c r="J371" s="44">
        <v>45625</v>
      </c>
      <c r="K371" s="45">
        <v>0</v>
      </c>
      <c r="L371" s="45">
        <v>0</v>
      </c>
      <c r="M371" s="45">
        <v>0</v>
      </c>
      <c r="N371" s="45">
        <v>1</v>
      </c>
      <c r="O371" s="45">
        <v>80.986999999999995</v>
      </c>
      <c r="P371" s="62">
        <f t="shared" si="6"/>
        <v>1</v>
      </c>
    </row>
    <row r="372" spans="1:16" x14ac:dyDescent="0.25">
      <c r="A372" s="43" t="s">
        <v>200</v>
      </c>
      <c r="B372" s="43" t="s">
        <v>291</v>
      </c>
      <c r="C372" s="43" t="s">
        <v>292</v>
      </c>
      <c r="D372" s="43" t="s">
        <v>362</v>
      </c>
      <c r="E372" s="43" t="s">
        <v>369</v>
      </c>
      <c r="F372" s="43" t="s">
        <v>361</v>
      </c>
      <c r="G372" s="43" t="s">
        <v>232</v>
      </c>
      <c r="H372" s="43" t="s">
        <v>226</v>
      </c>
      <c r="I372" s="44">
        <v>45625</v>
      </c>
      <c r="J372" s="44">
        <v>45625</v>
      </c>
      <c r="K372" s="45">
        <v>1</v>
      </c>
      <c r="L372" s="45">
        <v>80.986999999999995</v>
      </c>
      <c r="M372" s="45">
        <v>204.86</v>
      </c>
      <c r="N372" s="45">
        <v>5</v>
      </c>
      <c r="O372" s="45">
        <v>404.935</v>
      </c>
      <c r="P372" s="62">
        <f t="shared" si="6"/>
        <v>6</v>
      </c>
    </row>
    <row r="373" spans="1:16" x14ac:dyDescent="0.25">
      <c r="A373" s="43" t="s">
        <v>200</v>
      </c>
      <c r="B373" s="43" t="s">
        <v>291</v>
      </c>
      <c r="C373" s="43" t="s">
        <v>292</v>
      </c>
      <c r="D373" s="43" t="s">
        <v>362</v>
      </c>
      <c r="E373" s="43" t="s">
        <v>369</v>
      </c>
      <c r="F373" s="43" t="s">
        <v>361</v>
      </c>
      <c r="G373" s="43" t="s">
        <v>233</v>
      </c>
      <c r="H373" s="43" t="s">
        <v>226</v>
      </c>
      <c r="I373" s="44">
        <v>45625</v>
      </c>
      <c r="J373" s="44">
        <v>45647</v>
      </c>
      <c r="K373" s="45">
        <v>0</v>
      </c>
      <c r="L373" s="45">
        <v>0</v>
      </c>
      <c r="M373" s="45">
        <v>0</v>
      </c>
      <c r="N373" s="45">
        <v>4</v>
      </c>
      <c r="O373" s="45">
        <v>323.94799999999998</v>
      </c>
      <c r="P373" s="62">
        <f t="shared" si="6"/>
        <v>4</v>
      </c>
    </row>
    <row r="374" spans="1:16" x14ac:dyDescent="0.25">
      <c r="A374" s="43" t="s">
        <v>200</v>
      </c>
      <c r="B374" s="43" t="s">
        <v>291</v>
      </c>
      <c r="C374" s="43" t="s">
        <v>292</v>
      </c>
      <c r="D374" s="43" t="s">
        <v>362</v>
      </c>
      <c r="E374" s="43" t="s">
        <v>369</v>
      </c>
      <c r="F374" s="43" t="s">
        <v>361</v>
      </c>
      <c r="G374" s="43" t="s">
        <v>234</v>
      </c>
      <c r="H374" s="43" t="s">
        <v>226</v>
      </c>
      <c r="I374" s="44">
        <v>45625</v>
      </c>
      <c r="J374" s="44">
        <v>45644</v>
      </c>
      <c r="K374" s="45">
        <v>0</v>
      </c>
      <c r="L374" s="45">
        <v>0</v>
      </c>
      <c r="M374" s="45">
        <v>0</v>
      </c>
      <c r="N374" s="45">
        <v>4</v>
      </c>
      <c r="O374" s="45">
        <v>323.94799999999998</v>
      </c>
      <c r="P374" s="62">
        <f t="shared" si="6"/>
        <v>4</v>
      </c>
    </row>
    <row r="375" spans="1:16" x14ac:dyDescent="0.25">
      <c r="A375" s="43" t="s">
        <v>200</v>
      </c>
      <c r="B375" s="43" t="s">
        <v>291</v>
      </c>
      <c r="C375" s="43" t="s">
        <v>292</v>
      </c>
      <c r="D375" s="43" t="s">
        <v>362</v>
      </c>
      <c r="E375" s="43" t="s">
        <v>369</v>
      </c>
      <c r="F375" s="43" t="s">
        <v>361</v>
      </c>
      <c r="G375" s="43" t="s">
        <v>296</v>
      </c>
      <c r="H375" s="43" t="s">
        <v>226</v>
      </c>
      <c r="I375" s="44">
        <v>45625</v>
      </c>
      <c r="J375" s="44">
        <v>45639</v>
      </c>
      <c r="K375" s="45">
        <v>0</v>
      </c>
      <c r="L375" s="45">
        <v>0</v>
      </c>
      <c r="M375" s="45">
        <v>0</v>
      </c>
      <c r="N375" s="45">
        <v>2</v>
      </c>
      <c r="O375" s="45">
        <v>161.97399999999999</v>
      </c>
      <c r="P375" s="62">
        <f t="shared" si="6"/>
        <v>2</v>
      </c>
    </row>
    <row r="376" spans="1:16" x14ac:dyDescent="0.25">
      <c r="A376" s="43" t="s">
        <v>200</v>
      </c>
      <c r="B376" s="43" t="s">
        <v>291</v>
      </c>
      <c r="C376" s="43" t="s">
        <v>292</v>
      </c>
      <c r="D376" s="43" t="s">
        <v>370</v>
      </c>
      <c r="E376" s="43" t="s">
        <v>371</v>
      </c>
      <c r="F376" s="43" t="s">
        <v>372</v>
      </c>
      <c r="G376" s="43" t="s">
        <v>232</v>
      </c>
      <c r="H376" s="43" t="s">
        <v>218</v>
      </c>
      <c r="I376" s="44">
        <v>45576</v>
      </c>
      <c r="J376" s="44">
        <v>45643</v>
      </c>
      <c r="K376" s="45">
        <v>45</v>
      </c>
      <c r="L376" s="45">
        <v>2827.1043</v>
      </c>
      <c r="M376" s="45">
        <v>7656.71</v>
      </c>
      <c r="N376" s="45">
        <v>6</v>
      </c>
      <c r="O376" s="45">
        <v>387.49200000000002</v>
      </c>
      <c r="P376" s="62">
        <f t="shared" si="6"/>
        <v>51</v>
      </c>
    </row>
    <row r="377" spans="1:16" x14ac:dyDescent="0.25">
      <c r="A377" s="43" t="s">
        <v>200</v>
      </c>
      <c r="B377" s="43" t="s">
        <v>291</v>
      </c>
      <c r="C377" s="43" t="s">
        <v>292</v>
      </c>
      <c r="D377" s="43" t="s">
        <v>370</v>
      </c>
      <c r="E377" s="43" t="s">
        <v>371</v>
      </c>
      <c r="F377" s="43" t="s">
        <v>372</v>
      </c>
      <c r="G377" s="43" t="s">
        <v>233</v>
      </c>
      <c r="H377" s="43" t="s">
        <v>218</v>
      </c>
      <c r="I377" s="44">
        <v>45576</v>
      </c>
      <c r="J377" s="44">
        <v>45647</v>
      </c>
      <c r="K377" s="45">
        <v>69</v>
      </c>
      <c r="L377" s="45">
        <v>4327.6342000000004</v>
      </c>
      <c r="M377" s="45">
        <v>11797.79</v>
      </c>
      <c r="N377" s="45">
        <v>13</v>
      </c>
      <c r="O377" s="45">
        <v>840.99080000000004</v>
      </c>
      <c r="P377" s="62">
        <f t="shared" si="6"/>
        <v>82</v>
      </c>
    </row>
    <row r="378" spans="1:16" x14ac:dyDescent="0.25">
      <c r="A378" s="43" t="s">
        <v>200</v>
      </c>
      <c r="B378" s="43" t="s">
        <v>291</v>
      </c>
      <c r="C378" s="43" t="s">
        <v>292</v>
      </c>
      <c r="D378" s="43" t="s">
        <v>370</v>
      </c>
      <c r="E378" s="43" t="s">
        <v>371</v>
      </c>
      <c r="F378" s="43" t="s">
        <v>372</v>
      </c>
      <c r="G378" s="43" t="s">
        <v>234</v>
      </c>
      <c r="H378" s="43" t="s">
        <v>218</v>
      </c>
      <c r="I378" s="44">
        <v>45576</v>
      </c>
      <c r="J378" s="44">
        <v>45647</v>
      </c>
      <c r="K378" s="45">
        <v>22</v>
      </c>
      <c r="L378" s="45">
        <v>1368.6911</v>
      </c>
      <c r="M378" s="45">
        <v>3790.36</v>
      </c>
      <c r="N378" s="45">
        <v>9</v>
      </c>
      <c r="O378" s="45">
        <v>575.73450000000003</v>
      </c>
      <c r="P378" s="62">
        <f t="shared" si="6"/>
        <v>31</v>
      </c>
    </row>
    <row r="379" spans="1:16" x14ac:dyDescent="0.25">
      <c r="A379" s="43" t="s">
        <v>200</v>
      </c>
      <c r="B379" s="43" t="s">
        <v>291</v>
      </c>
      <c r="C379" s="43" t="s">
        <v>292</v>
      </c>
      <c r="D379" s="43" t="s">
        <v>370</v>
      </c>
      <c r="E379" s="43" t="s">
        <v>371</v>
      </c>
      <c r="F379" s="43" t="s">
        <v>372</v>
      </c>
      <c r="G379" s="43" t="s">
        <v>259</v>
      </c>
      <c r="H379" s="43" t="s">
        <v>218</v>
      </c>
      <c r="I379" s="44">
        <v>45591</v>
      </c>
      <c r="J379" s="44">
        <v>45646</v>
      </c>
      <c r="K379" s="45">
        <v>4</v>
      </c>
      <c r="L379" s="45">
        <v>252.75299999999999</v>
      </c>
      <c r="M379" s="45">
        <v>701.23</v>
      </c>
      <c r="N379" s="45">
        <v>2</v>
      </c>
      <c r="O379" s="45">
        <v>129.57900000000001</v>
      </c>
      <c r="P379" s="62">
        <f t="shared" si="6"/>
        <v>6</v>
      </c>
    </row>
    <row r="380" spans="1:16" x14ac:dyDescent="0.25">
      <c r="A380" s="43" t="s">
        <v>200</v>
      </c>
      <c r="B380" s="43" t="s">
        <v>291</v>
      </c>
      <c r="C380" s="43" t="s">
        <v>292</v>
      </c>
      <c r="D380" s="43" t="s">
        <v>370</v>
      </c>
      <c r="E380" s="43" t="s">
        <v>371</v>
      </c>
      <c r="F380" s="43" t="s">
        <v>372</v>
      </c>
      <c r="G380" s="43" t="s">
        <v>296</v>
      </c>
      <c r="H380" s="43" t="s">
        <v>218</v>
      </c>
      <c r="I380" s="44">
        <v>45591</v>
      </c>
      <c r="J380" s="44">
        <v>45643</v>
      </c>
      <c r="K380" s="45">
        <v>5</v>
      </c>
      <c r="L380" s="45">
        <v>308.57549999999998</v>
      </c>
      <c r="M380" s="45">
        <v>852.86</v>
      </c>
      <c r="N380" s="45">
        <v>5</v>
      </c>
      <c r="O380" s="45">
        <v>313.6995</v>
      </c>
      <c r="P380" s="62">
        <f t="shared" si="6"/>
        <v>10</v>
      </c>
    </row>
    <row r="381" spans="1:16" x14ac:dyDescent="0.25">
      <c r="A381" s="43" t="s">
        <v>200</v>
      </c>
      <c r="B381" s="43" t="s">
        <v>291</v>
      </c>
      <c r="C381" s="43" t="s">
        <v>292</v>
      </c>
      <c r="D381" s="43" t="s">
        <v>370</v>
      </c>
      <c r="E381" s="43" t="s">
        <v>373</v>
      </c>
      <c r="F381" s="43" t="s">
        <v>372</v>
      </c>
      <c r="G381" s="43" t="s">
        <v>232</v>
      </c>
      <c r="H381" s="43" t="s">
        <v>218</v>
      </c>
      <c r="I381" s="44">
        <v>45576</v>
      </c>
      <c r="J381" s="44">
        <v>45647</v>
      </c>
      <c r="K381" s="45">
        <v>27</v>
      </c>
      <c r="L381" s="45">
        <v>1686.6401000000001</v>
      </c>
      <c r="M381" s="45">
        <v>4690.6899999999996</v>
      </c>
      <c r="N381" s="45">
        <v>7</v>
      </c>
      <c r="O381" s="45">
        <v>448.95060000000001</v>
      </c>
      <c r="P381" s="62">
        <f t="shared" si="6"/>
        <v>34</v>
      </c>
    </row>
    <row r="382" spans="1:16" x14ac:dyDescent="0.25">
      <c r="A382" s="43" t="s">
        <v>200</v>
      </c>
      <c r="B382" s="43" t="s">
        <v>291</v>
      </c>
      <c r="C382" s="43" t="s">
        <v>292</v>
      </c>
      <c r="D382" s="43" t="s">
        <v>370</v>
      </c>
      <c r="E382" s="43" t="s">
        <v>373</v>
      </c>
      <c r="F382" s="43" t="s">
        <v>372</v>
      </c>
      <c r="G382" s="43" t="s">
        <v>233</v>
      </c>
      <c r="H382" s="43" t="s">
        <v>218</v>
      </c>
      <c r="I382" s="44">
        <v>45576</v>
      </c>
      <c r="J382" s="44">
        <v>45647</v>
      </c>
      <c r="K382" s="45">
        <v>33</v>
      </c>
      <c r="L382" s="45">
        <v>2052.2226999999998</v>
      </c>
      <c r="M382" s="45">
        <v>5704.69</v>
      </c>
      <c r="N382" s="45">
        <v>11</v>
      </c>
      <c r="O382" s="45">
        <v>702.4402</v>
      </c>
      <c r="P382" s="62">
        <f t="shared" si="6"/>
        <v>44</v>
      </c>
    </row>
    <row r="383" spans="1:16" x14ac:dyDescent="0.25">
      <c r="A383" s="43" t="s">
        <v>200</v>
      </c>
      <c r="B383" s="43" t="s">
        <v>291</v>
      </c>
      <c r="C383" s="43" t="s">
        <v>292</v>
      </c>
      <c r="D383" s="43" t="s">
        <v>370</v>
      </c>
      <c r="E383" s="43" t="s">
        <v>373</v>
      </c>
      <c r="F383" s="43" t="s">
        <v>372</v>
      </c>
      <c r="G383" s="43" t="s">
        <v>234</v>
      </c>
      <c r="H383" s="43" t="s">
        <v>218</v>
      </c>
      <c r="I383" s="44">
        <v>45576</v>
      </c>
      <c r="J383" s="44">
        <v>45647</v>
      </c>
      <c r="K383" s="45">
        <v>9</v>
      </c>
      <c r="L383" s="45">
        <v>556.26419999999996</v>
      </c>
      <c r="M383" s="45">
        <v>1610.95</v>
      </c>
      <c r="N383" s="45">
        <v>8</v>
      </c>
      <c r="O383" s="45">
        <v>500.32240000000002</v>
      </c>
      <c r="P383" s="62">
        <f t="shared" si="6"/>
        <v>17</v>
      </c>
    </row>
    <row r="384" spans="1:16" x14ac:dyDescent="0.25">
      <c r="A384" s="43" t="s">
        <v>200</v>
      </c>
      <c r="B384" s="43" t="s">
        <v>291</v>
      </c>
      <c r="C384" s="43" t="s">
        <v>292</v>
      </c>
      <c r="D384" s="43" t="s">
        <v>370</v>
      </c>
      <c r="E384" s="43" t="s">
        <v>373</v>
      </c>
      <c r="F384" s="43" t="s">
        <v>372</v>
      </c>
      <c r="G384" s="43" t="s">
        <v>259</v>
      </c>
      <c r="H384" s="43" t="s">
        <v>218</v>
      </c>
      <c r="I384" s="44">
        <v>45591</v>
      </c>
      <c r="J384" s="44">
        <v>45647</v>
      </c>
      <c r="K384" s="45">
        <v>3</v>
      </c>
      <c r="L384" s="45">
        <v>184.761</v>
      </c>
      <c r="M384" s="45">
        <v>511.71</v>
      </c>
      <c r="N384" s="45">
        <v>4</v>
      </c>
      <c r="O384" s="45">
        <v>259.15800000000002</v>
      </c>
      <c r="P384" s="62">
        <f t="shared" si="6"/>
        <v>7</v>
      </c>
    </row>
    <row r="385" spans="1:16" x14ac:dyDescent="0.25">
      <c r="A385" s="43" t="s">
        <v>200</v>
      </c>
      <c r="B385" s="43" t="s">
        <v>291</v>
      </c>
      <c r="C385" s="43" t="s">
        <v>292</v>
      </c>
      <c r="D385" s="43" t="s">
        <v>370</v>
      </c>
      <c r="E385" s="43" t="s">
        <v>373</v>
      </c>
      <c r="F385" s="43" t="s">
        <v>372</v>
      </c>
      <c r="G385" s="43" t="s">
        <v>296</v>
      </c>
      <c r="H385" s="43" t="s">
        <v>218</v>
      </c>
      <c r="I385" s="44">
        <v>45591</v>
      </c>
      <c r="J385" s="44">
        <v>45645</v>
      </c>
      <c r="K385" s="45">
        <v>2</v>
      </c>
      <c r="L385" s="45">
        <v>123.17400000000001</v>
      </c>
      <c r="M385" s="45">
        <v>341.14</v>
      </c>
      <c r="N385" s="45">
        <v>5</v>
      </c>
      <c r="O385" s="45">
        <v>311.13749999999999</v>
      </c>
      <c r="P385" s="62">
        <f t="shared" si="6"/>
        <v>7</v>
      </c>
    </row>
    <row r="386" spans="1:16" x14ac:dyDescent="0.25">
      <c r="A386" s="43" t="s">
        <v>200</v>
      </c>
      <c r="B386" s="43" t="s">
        <v>291</v>
      </c>
      <c r="C386" s="43" t="s">
        <v>292</v>
      </c>
      <c r="D386" s="43" t="s">
        <v>370</v>
      </c>
      <c r="E386" s="43" t="s">
        <v>374</v>
      </c>
      <c r="F386" s="43" t="s">
        <v>372</v>
      </c>
      <c r="G386" s="43" t="s">
        <v>232</v>
      </c>
      <c r="H386" s="43" t="s">
        <v>218</v>
      </c>
      <c r="I386" s="44">
        <v>45591</v>
      </c>
      <c r="J386" s="44">
        <v>45647</v>
      </c>
      <c r="K386" s="45">
        <v>21</v>
      </c>
      <c r="L386" s="45">
        <v>1316.1805999999999</v>
      </c>
      <c r="M386" s="45">
        <v>3657.78</v>
      </c>
      <c r="N386" s="45">
        <v>6</v>
      </c>
      <c r="O386" s="45">
        <v>385.0992</v>
      </c>
      <c r="P386" s="62">
        <f t="shared" si="6"/>
        <v>27</v>
      </c>
    </row>
    <row r="387" spans="1:16" x14ac:dyDescent="0.25">
      <c r="A387" s="43" t="s">
        <v>200</v>
      </c>
      <c r="B387" s="43" t="s">
        <v>291</v>
      </c>
      <c r="C387" s="43" t="s">
        <v>292</v>
      </c>
      <c r="D387" s="43" t="s">
        <v>370</v>
      </c>
      <c r="E387" s="43" t="s">
        <v>374</v>
      </c>
      <c r="F387" s="43" t="s">
        <v>372</v>
      </c>
      <c r="G387" s="43" t="s">
        <v>233</v>
      </c>
      <c r="H387" s="43" t="s">
        <v>218</v>
      </c>
      <c r="I387" s="44">
        <v>45591</v>
      </c>
      <c r="J387" s="44">
        <v>45647</v>
      </c>
      <c r="K387" s="45">
        <v>26</v>
      </c>
      <c r="L387" s="45">
        <v>1624.4259999999999</v>
      </c>
      <c r="M387" s="45">
        <v>4434.87</v>
      </c>
      <c r="N387" s="45">
        <v>8</v>
      </c>
      <c r="O387" s="45">
        <v>514.3664</v>
      </c>
      <c r="P387" s="62">
        <f t="shared" si="6"/>
        <v>34</v>
      </c>
    </row>
    <row r="388" spans="1:16" x14ac:dyDescent="0.25">
      <c r="A388" s="43" t="s">
        <v>200</v>
      </c>
      <c r="B388" s="43" t="s">
        <v>291</v>
      </c>
      <c r="C388" s="43" t="s">
        <v>292</v>
      </c>
      <c r="D388" s="43" t="s">
        <v>370</v>
      </c>
      <c r="E388" s="43" t="s">
        <v>374</v>
      </c>
      <c r="F388" s="43" t="s">
        <v>372</v>
      </c>
      <c r="G388" s="43" t="s">
        <v>234</v>
      </c>
      <c r="H388" s="43" t="s">
        <v>218</v>
      </c>
      <c r="I388" s="44">
        <v>45591</v>
      </c>
      <c r="J388" s="44">
        <v>45647</v>
      </c>
      <c r="K388" s="45">
        <v>7</v>
      </c>
      <c r="L388" s="45">
        <v>433.85390000000001</v>
      </c>
      <c r="M388" s="45">
        <v>1231.9000000000001</v>
      </c>
      <c r="N388" s="45">
        <v>6</v>
      </c>
      <c r="O388" s="45">
        <v>376.38420000000002</v>
      </c>
      <c r="P388" s="62">
        <f t="shared" si="6"/>
        <v>13</v>
      </c>
    </row>
    <row r="389" spans="1:16" x14ac:dyDescent="0.25">
      <c r="A389" s="43" t="s">
        <v>200</v>
      </c>
      <c r="B389" s="43" t="s">
        <v>291</v>
      </c>
      <c r="C389" s="43" t="s">
        <v>292</v>
      </c>
      <c r="D389" s="43" t="s">
        <v>370</v>
      </c>
      <c r="E389" s="43" t="s">
        <v>374</v>
      </c>
      <c r="F389" s="43" t="s">
        <v>372</v>
      </c>
      <c r="G389" s="43" t="s">
        <v>259</v>
      </c>
      <c r="H389" s="43" t="s">
        <v>218</v>
      </c>
      <c r="I389" s="44">
        <v>45591</v>
      </c>
      <c r="J389" s="44">
        <v>45608</v>
      </c>
      <c r="K389" s="45">
        <v>4</v>
      </c>
      <c r="L389" s="45">
        <v>246.34800000000001</v>
      </c>
      <c r="M389" s="45">
        <v>682.28</v>
      </c>
      <c r="N389" s="45">
        <v>0</v>
      </c>
      <c r="O389" s="45">
        <v>0</v>
      </c>
      <c r="P389" s="62">
        <f t="shared" si="6"/>
        <v>4</v>
      </c>
    </row>
    <row r="390" spans="1:16" x14ac:dyDescent="0.25">
      <c r="A390" s="43" t="s">
        <v>200</v>
      </c>
      <c r="B390" s="43" t="s">
        <v>291</v>
      </c>
      <c r="C390" s="43" t="s">
        <v>292</v>
      </c>
      <c r="D390" s="43" t="s">
        <v>370</v>
      </c>
      <c r="E390" s="43" t="s">
        <v>374</v>
      </c>
      <c r="F390" s="43" t="s">
        <v>372</v>
      </c>
      <c r="G390" s="43" t="s">
        <v>296</v>
      </c>
      <c r="H390" s="43" t="s">
        <v>218</v>
      </c>
      <c r="I390" s="44">
        <v>45591</v>
      </c>
      <c r="J390" s="44">
        <v>45646</v>
      </c>
      <c r="K390" s="45">
        <v>1</v>
      </c>
      <c r="L390" s="45">
        <v>61.587000000000003</v>
      </c>
      <c r="M390" s="45">
        <v>170.57</v>
      </c>
      <c r="N390" s="45">
        <v>4</v>
      </c>
      <c r="O390" s="45">
        <v>246.34800000000001</v>
      </c>
      <c r="P390" s="62">
        <f t="shared" si="6"/>
        <v>5</v>
      </c>
    </row>
    <row r="391" spans="1:16" x14ac:dyDescent="0.25">
      <c r="A391" s="43" t="s">
        <v>200</v>
      </c>
      <c r="B391" s="43" t="s">
        <v>291</v>
      </c>
      <c r="C391" s="43" t="s">
        <v>292</v>
      </c>
      <c r="D391" s="43" t="s">
        <v>370</v>
      </c>
      <c r="E391" s="43" t="s">
        <v>375</v>
      </c>
      <c r="F391" s="43" t="s">
        <v>372</v>
      </c>
      <c r="G391" s="43" t="s">
        <v>232</v>
      </c>
      <c r="H391" s="43" t="s">
        <v>226</v>
      </c>
      <c r="I391" s="44">
        <v>45605</v>
      </c>
      <c r="J391" s="44">
        <v>45644</v>
      </c>
      <c r="K391" s="45">
        <v>2</v>
      </c>
      <c r="L391" s="45">
        <v>106.5976</v>
      </c>
      <c r="M391" s="45">
        <v>321.91000000000003</v>
      </c>
      <c r="N391" s="45">
        <v>8</v>
      </c>
      <c r="O391" s="45">
        <v>427.40640000000002</v>
      </c>
      <c r="P391" s="62">
        <f t="shared" si="6"/>
        <v>10</v>
      </c>
    </row>
    <row r="392" spans="1:16" x14ac:dyDescent="0.25">
      <c r="A392" s="43" t="s">
        <v>200</v>
      </c>
      <c r="B392" s="43" t="s">
        <v>291</v>
      </c>
      <c r="C392" s="43" t="s">
        <v>292</v>
      </c>
      <c r="D392" s="43" t="s">
        <v>370</v>
      </c>
      <c r="E392" s="43" t="s">
        <v>375</v>
      </c>
      <c r="F392" s="43" t="s">
        <v>372</v>
      </c>
      <c r="G392" s="43" t="s">
        <v>233</v>
      </c>
      <c r="H392" s="43" t="s">
        <v>226</v>
      </c>
      <c r="I392" s="44">
        <v>45605</v>
      </c>
      <c r="J392" s="44">
        <v>45646</v>
      </c>
      <c r="K392" s="45">
        <v>5</v>
      </c>
      <c r="L392" s="45">
        <v>268.97789999999998</v>
      </c>
      <c r="M392" s="45">
        <v>724.28</v>
      </c>
      <c r="N392" s="45">
        <v>9</v>
      </c>
      <c r="O392" s="45">
        <v>369.46899999999999</v>
      </c>
      <c r="P392" s="62">
        <f t="shared" ref="P392:P455" si="7">K392+N392</f>
        <v>14</v>
      </c>
    </row>
    <row r="393" spans="1:16" x14ac:dyDescent="0.25">
      <c r="A393" s="43" t="s">
        <v>200</v>
      </c>
      <c r="B393" s="43" t="s">
        <v>291</v>
      </c>
      <c r="C393" s="43" t="s">
        <v>292</v>
      </c>
      <c r="D393" s="43" t="s">
        <v>370</v>
      </c>
      <c r="E393" s="43" t="s">
        <v>375</v>
      </c>
      <c r="F393" s="43" t="s">
        <v>372</v>
      </c>
      <c r="G393" s="43" t="s">
        <v>234</v>
      </c>
      <c r="H393" s="43" t="s">
        <v>226</v>
      </c>
      <c r="I393" s="44">
        <v>45605</v>
      </c>
      <c r="J393" s="44">
        <v>45636</v>
      </c>
      <c r="K393" s="45">
        <v>0</v>
      </c>
      <c r="L393" s="45">
        <v>0</v>
      </c>
      <c r="M393" s="45">
        <v>0</v>
      </c>
      <c r="N393" s="45">
        <v>7</v>
      </c>
      <c r="O393" s="45">
        <v>372.33839999999998</v>
      </c>
      <c r="P393" s="62">
        <f t="shared" si="7"/>
        <v>7</v>
      </c>
    </row>
    <row r="394" spans="1:16" x14ac:dyDescent="0.25">
      <c r="A394" s="43" t="s">
        <v>200</v>
      </c>
      <c r="B394" s="43" t="s">
        <v>291</v>
      </c>
      <c r="C394" s="43" t="s">
        <v>292</v>
      </c>
      <c r="D394" s="43" t="s">
        <v>370</v>
      </c>
      <c r="E394" s="43" t="s">
        <v>375</v>
      </c>
      <c r="F394" s="43" t="s">
        <v>372</v>
      </c>
      <c r="G394" s="43" t="s">
        <v>259</v>
      </c>
      <c r="H394" s="43" t="s">
        <v>226</v>
      </c>
      <c r="I394" s="44">
        <v>45605</v>
      </c>
      <c r="J394" s="44">
        <v>45629</v>
      </c>
      <c r="K394" s="45">
        <v>1</v>
      </c>
      <c r="L394" s="45">
        <v>53.780299999999997</v>
      </c>
      <c r="M394" s="45">
        <v>160.94999999999999</v>
      </c>
      <c r="N394" s="45">
        <v>1</v>
      </c>
      <c r="O394" s="45">
        <v>53.780299999999997</v>
      </c>
      <c r="P394" s="62">
        <f t="shared" si="7"/>
        <v>2</v>
      </c>
    </row>
    <row r="395" spans="1:16" x14ac:dyDescent="0.25">
      <c r="A395" s="43" t="s">
        <v>200</v>
      </c>
      <c r="B395" s="43" t="s">
        <v>291</v>
      </c>
      <c r="C395" s="43" t="s">
        <v>292</v>
      </c>
      <c r="D395" s="43" t="s">
        <v>370</v>
      </c>
      <c r="E395" s="43" t="s">
        <v>375</v>
      </c>
      <c r="F395" s="43" t="s">
        <v>372</v>
      </c>
      <c r="G395" s="43" t="s">
        <v>296</v>
      </c>
      <c r="H395" s="43" t="s">
        <v>226</v>
      </c>
      <c r="I395" s="44">
        <v>45605</v>
      </c>
      <c r="J395" s="44">
        <v>45630</v>
      </c>
      <c r="K395" s="45">
        <v>0</v>
      </c>
      <c r="L395" s="45">
        <v>0</v>
      </c>
      <c r="M395" s="45">
        <v>0</v>
      </c>
      <c r="N395" s="45">
        <v>4</v>
      </c>
      <c r="O395" s="45">
        <v>211.9624</v>
      </c>
      <c r="P395" s="62">
        <f t="shared" si="7"/>
        <v>4</v>
      </c>
    </row>
    <row r="396" spans="1:16" x14ac:dyDescent="0.25">
      <c r="A396" s="43" t="s">
        <v>200</v>
      </c>
      <c r="B396" s="43" t="s">
        <v>291</v>
      </c>
      <c r="C396" s="43" t="s">
        <v>292</v>
      </c>
      <c r="D396" s="43" t="s">
        <v>370</v>
      </c>
      <c r="E396" s="43" t="s">
        <v>376</v>
      </c>
      <c r="F396" s="43" t="s">
        <v>372</v>
      </c>
      <c r="G396" s="43" t="s">
        <v>232</v>
      </c>
      <c r="H396" s="43" t="s">
        <v>218</v>
      </c>
      <c r="I396" s="44">
        <v>45593</v>
      </c>
      <c r="J396" s="44">
        <v>45593</v>
      </c>
      <c r="K396" s="45">
        <v>0</v>
      </c>
      <c r="L396" s="45">
        <v>0</v>
      </c>
      <c r="M396" s="45">
        <v>0</v>
      </c>
      <c r="N396" s="45">
        <v>6</v>
      </c>
      <c r="O396" s="45">
        <v>307.93560000000002</v>
      </c>
      <c r="P396" s="62">
        <f t="shared" si="7"/>
        <v>6</v>
      </c>
    </row>
    <row r="397" spans="1:16" x14ac:dyDescent="0.25">
      <c r="A397" s="43" t="s">
        <v>200</v>
      </c>
      <c r="B397" s="43" t="s">
        <v>291</v>
      </c>
      <c r="C397" s="43" t="s">
        <v>292</v>
      </c>
      <c r="D397" s="43" t="s">
        <v>370</v>
      </c>
      <c r="E397" s="43" t="s">
        <v>376</v>
      </c>
      <c r="F397" s="43" t="s">
        <v>372</v>
      </c>
      <c r="G397" s="43" t="s">
        <v>233</v>
      </c>
      <c r="H397" s="43" t="s">
        <v>218</v>
      </c>
      <c r="I397" s="44">
        <v>45593</v>
      </c>
      <c r="J397" s="44">
        <v>45637</v>
      </c>
      <c r="K397" s="45">
        <v>2</v>
      </c>
      <c r="L397" s="45">
        <v>103.0265</v>
      </c>
      <c r="M397" s="45">
        <v>289.72000000000003</v>
      </c>
      <c r="N397" s="45">
        <v>7</v>
      </c>
      <c r="O397" s="45">
        <v>364.2149</v>
      </c>
      <c r="P397" s="62">
        <f t="shared" si="7"/>
        <v>9</v>
      </c>
    </row>
    <row r="398" spans="1:16" x14ac:dyDescent="0.25">
      <c r="A398" s="43" t="s">
        <v>200</v>
      </c>
      <c r="B398" s="43" t="s">
        <v>291</v>
      </c>
      <c r="C398" s="43" t="s">
        <v>292</v>
      </c>
      <c r="D398" s="43" t="s">
        <v>370</v>
      </c>
      <c r="E398" s="43" t="s">
        <v>376</v>
      </c>
      <c r="F398" s="43" t="s">
        <v>372</v>
      </c>
      <c r="G398" s="43" t="s">
        <v>234</v>
      </c>
      <c r="H398" s="43" t="s">
        <v>218</v>
      </c>
      <c r="I398" s="44">
        <v>45593</v>
      </c>
      <c r="J398" s="44">
        <v>45646</v>
      </c>
      <c r="K398" s="45">
        <v>0</v>
      </c>
      <c r="L398" s="45">
        <v>0</v>
      </c>
      <c r="M398" s="45">
        <v>0</v>
      </c>
      <c r="N398" s="45">
        <v>5</v>
      </c>
      <c r="O398" s="45">
        <v>256.613</v>
      </c>
      <c r="P398" s="62">
        <f t="shared" si="7"/>
        <v>5</v>
      </c>
    </row>
    <row r="399" spans="1:16" x14ac:dyDescent="0.25">
      <c r="A399" s="43" t="s">
        <v>200</v>
      </c>
      <c r="B399" s="43" t="s">
        <v>291</v>
      </c>
      <c r="C399" s="43" t="s">
        <v>292</v>
      </c>
      <c r="D399" s="43" t="s">
        <v>370</v>
      </c>
      <c r="E399" s="43" t="s">
        <v>376</v>
      </c>
      <c r="F399" s="43" t="s">
        <v>372</v>
      </c>
      <c r="G399" s="43" t="s">
        <v>259</v>
      </c>
      <c r="H399" s="43" t="s">
        <v>218</v>
      </c>
      <c r="I399" s="44">
        <v>45593</v>
      </c>
      <c r="J399" s="44">
        <v>45643</v>
      </c>
      <c r="K399" s="45">
        <v>0</v>
      </c>
      <c r="L399" s="45">
        <v>0</v>
      </c>
      <c r="M399" s="45">
        <v>0</v>
      </c>
      <c r="N399" s="45">
        <v>3</v>
      </c>
      <c r="O399" s="45">
        <v>153.96780000000001</v>
      </c>
      <c r="P399" s="62">
        <f t="shared" si="7"/>
        <v>3</v>
      </c>
    </row>
    <row r="400" spans="1:16" x14ac:dyDescent="0.25">
      <c r="A400" s="43" t="s">
        <v>200</v>
      </c>
      <c r="B400" s="43" t="s">
        <v>291</v>
      </c>
      <c r="C400" s="43" t="s">
        <v>292</v>
      </c>
      <c r="D400" s="43" t="s">
        <v>370</v>
      </c>
      <c r="E400" s="43" t="s">
        <v>376</v>
      </c>
      <c r="F400" s="43" t="s">
        <v>372</v>
      </c>
      <c r="G400" s="43" t="s">
        <v>296</v>
      </c>
      <c r="H400" s="43" t="s">
        <v>218</v>
      </c>
      <c r="I400" s="44">
        <v>45593</v>
      </c>
      <c r="J400" s="44">
        <v>45593</v>
      </c>
      <c r="K400" s="45">
        <v>0</v>
      </c>
      <c r="L400" s="45">
        <v>0</v>
      </c>
      <c r="M400" s="45">
        <v>0</v>
      </c>
      <c r="N400" s="45">
        <v>3</v>
      </c>
      <c r="O400" s="45">
        <v>153.96780000000001</v>
      </c>
      <c r="P400" s="62">
        <f t="shared" si="7"/>
        <v>3</v>
      </c>
    </row>
    <row r="401" spans="1:16" x14ac:dyDescent="0.25">
      <c r="A401" s="43" t="s">
        <v>200</v>
      </c>
      <c r="B401" s="43" t="s">
        <v>291</v>
      </c>
      <c r="C401" s="43" t="s">
        <v>292</v>
      </c>
      <c r="D401" s="43" t="s">
        <v>370</v>
      </c>
      <c r="E401" s="43" t="s">
        <v>377</v>
      </c>
      <c r="F401" s="43" t="s">
        <v>372</v>
      </c>
      <c r="G401" s="43" t="s">
        <v>232</v>
      </c>
      <c r="H401" s="43" t="s">
        <v>226</v>
      </c>
      <c r="I401" s="44">
        <v>45591</v>
      </c>
      <c r="J401" s="44">
        <v>45646</v>
      </c>
      <c r="K401" s="45">
        <v>2</v>
      </c>
      <c r="L401" s="45">
        <v>107.14490000000001</v>
      </c>
      <c r="M401" s="45">
        <v>289.70999999999998</v>
      </c>
      <c r="N401" s="45">
        <v>8</v>
      </c>
      <c r="O401" s="45">
        <v>429.19439999999997</v>
      </c>
      <c r="P401" s="62">
        <f t="shared" si="7"/>
        <v>10</v>
      </c>
    </row>
    <row r="402" spans="1:16" x14ac:dyDescent="0.25">
      <c r="A402" s="43" t="s">
        <v>200</v>
      </c>
      <c r="B402" s="43" t="s">
        <v>291</v>
      </c>
      <c r="C402" s="43" t="s">
        <v>292</v>
      </c>
      <c r="D402" s="43" t="s">
        <v>370</v>
      </c>
      <c r="E402" s="43" t="s">
        <v>377</v>
      </c>
      <c r="F402" s="43" t="s">
        <v>372</v>
      </c>
      <c r="G402" s="43" t="s">
        <v>233</v>
      </c>
      <c r="H402" s="43" t="s">
        <v>226</v>
      </c>
      <c r="I402" s="44">
        <v>45591</v>
      </c>
      <c r="J402" s="44">
        <v>45646</v>
      </c>
      <c r="K402" s="45">
        <v>1</v>
      </c>
      <c r="L402" s="45">
        <v>53.507199999999997</v>
      </c>
      <c r="M402" s="45">
        <v>160.94999999999999</v>
      </c>
      <c r="N402" s="45">
        <v>9</v>
      </c>
      <c r="O402" s="45">
        <v>481.56479999999999</v>
      </c>
      <c r="P402" s="62">
        <f t="shared" si="7"/>
        <v>10</v>
      </c>
    </row>
    <row r="403" spans="1:16" x14ac:dyDescent="0.25">
      <c r="A403" s="43" t="s">
        <v>200</v>
      </c>
      <c r="B403" s="43" t="s">
        <v>291</v>
      </c>
      <c r="C403" s="43" t="s">
        <v>292</v>
      </c>
      <c r="D403" s="43" t="s">
        <v>370</v>
      </c>
      <c r="E403" s="43" t="s">
        <v>377</v>
      </c>
      <c r="F403" s="43" t="s">
        <v>372</v>
      </c>
      <c r="G403" s="43" t="s">
        <v>234</v>
      </c>
      <c r="H403" s="43" t="s">
        <v>226</v>
      </c>
      <c r="I403" s="44">
        <v>45591</v>
      </c>
      <c r="J403" s="44">
        <v>45636</v>
      </c>
      <c r="K403" s="45">
        <v>0</v>
      </c>
      <c r="L403" s="45">
        <v>0</v>
      </c>
      <c r="M403" s="45">
        <v>0</v>
      </c>
      <c r="N403" s="45">
        <v>7</v>
      </c>
      <c r="O403" s="45">
        <v>369.29689999999999</v>
      </c>
      <c r="P403" s="62">
        <f t="shared" si="7"/>
        <v>7</v>
      </c>
    </row>
    <row r="404" spans="1:16" x14ac:dyDescent="0.25">
      <c r="A404" s="43" t="s">
        <v>200</v>
      </c>
      <c r="B404" s="43" t="s">
        <v>291</v>
      </c>
      <c r="C404" s="43" t="s">
        <v>292</v>
      </c>
      <c r="D404" s="43" t="s">
        <v>370</v>
      </c>
      <c r="E404" s="43" t="s">
        <v>377</v>
      </c>
      <c r="F404" s="43" t="s">
        <v>372</v>
      </c>
      <c r="G404" s="43" t="s">
        <v>259</v>
      </c>
      <c r="H404" s="43" t="s">
        <v>226</v>
      </c>
      <c r="I404" s="44">
        <v>45591</v>
      </c>
      <c r="J404" s="44">
        <v>45636</v>
      </c>
      <c r="K404" s="45">
        <v>0</v>
      </c>
      <c r="L404" s="45">
        <v>0</v>
      </c>
      <c r="M404" s="45">
        <v>0</v>
      </c>
      <c r="N404" s="45">
        <v>4</v>
      </c>
      <c r="O404" s="45">
        <v>215.96559999999999</v>
      </c>
      <c r="P404" s="62">
        <f t="shared" si="7"/>
        <v>4</v>
      </c>
    </row>
    <row r="405" spans="1:16" x14ac:dyDescent="0.25">
      <c r="A405" s="43" t="s">
        <v>200</v>
      </c>
      <c r="B405" s="43" t="s">
        <v>291</v>
      </c>
      <c r="C405" s="43" t="s">
        <v>292</v>
      </c>
      <c r="D405" s="43" t="s">
        <v>370</v>
      </c>
      <c r="E405" s="43" t="s">
        <v>377</v>
      </c>
      <c r="F405" s="43" t="s">
        <v>372</v>
      </c>
      <c r="G405" s="43" t="s">
        <v>296</v>
      </c>
      <c r="H405" s="43" t="s">
        <v>226</v>
      </c>
      <c r="I405" s="44">
        <v>45591</v>
      </c>
      <c r="J405" s="44">
        <v>45591</v>
      </c>
      <c r="K405" s="45">
        <v>0</v>
      </c>
      <c r="L405" s="45">
        <v>0</v>
      </c>
      <c r="M405" s="45">
        <v>0</v>
      </c>
      <c r="N405" s="45">
        <v>4</v>
      </c>
      <c r="O405" s="45">
        <v>205.29040000000001</v>
      </c>
      <c r="P405" s="62">
        <f t="shared" si="7"/>
        <v>4</v>
      </c>
    </row>
    <row r="406" spans="1:16" x14ac:dyDescent="0.25">
      <c r="A406" s="43" t="s">
        <v>200</v>
      </c>
      <c r="B406" s="43" t="s">
        <v>291</v>
      </c>
      <c r="C406" s="43" t="s">
        <v>292</v>
      </c>
      <c r="D406" s="43" t="s">
        <v>370</v>
      </c>
      <c r="E406" s="43" t="s">
        <v>378</v>
      </c>
      <c r="F406" s="43" t="s">
        <v>372</v>
      </c>
      <c r="G406" s="43" t="s">
        <v>232</v>
      </c>
      <c r="H406" s="43" t="s">
        <v>218</v>
      </c>
      <c r="I406" s="44">
        <v>45591</v>
      </c>
      <c r="J406" s="44">
        <v>45647</v>
      </c>
      <c r="K406" s="45">
        <v>31</v>
      </c>
      <c r="L406" s="45">
        <v>1628.0237999999999</v>
      </c>
      <c r="M406" s="45">
        <v>4506.62</v>
      </c>
      <c r="N406" s="45">
        <v>10</v>
      </c>
      <c r="O406" s="45">
        <v>538.04</v>
      </c>
      <c r="P406" s="62">
        <f t="shared" si="7"/>
        <v>41</v>
      </c>
    </row>
    <row r="407" spans="1:16" x14ac:dyDescent="0.25">
      <c r="A407" s="43" t="s">
        <v>200</v>
      </c>
      <c r="B407" s="43" t="s">
        <v>291</v>
      </c>
      <c r="C407" s="43" t="s">
        <v>292</v>
      </c>
      <c r="D407" s="43" t="s">
        <v>370</v>
      </c>
      <c r="E407" s="43" t="s">
        <v>378</v>
      </c>
      <c r="F407" s="43" t="s">
        <v>372</v>
      </c>
      <c r="G407" s="43" t="s">
        <v>233</v>
      </c>
      <c r="H407" s="43" t="s">
        <v>218</v>
      </c>
      <c r="I407" s="44">
        <v>45591</v>
      </c>
      <c r="J407" s="44">
        <v>45647</v>
      </c>
      <c r="K407" s="45">
        <v>36</v>
      </c>
      <c r="L407" s="45">
        <v>1883.8641</v>
      </c>
      <c r="M407" s="45">
        <v>5255.08</v>
      </c>
      <c r="N407" s="45">
        <v>12</v>
      </c>
      <c r="O407" s="45">
        <v>643.67160000000001</v>
      </c>
      <c r="P407" s="62">
        <f t="shared" si="7"/>
        <v>48</v>
      </c>
    </row>
    <row r="408" spans="1:16" x14ac:dyDescent="0.25">
      <c r="A408" s="43" t="s">
        <v>200</v>
      </c>
      <c r="B408" s="43" t="s">
        <v>291</v>
      </c>
      <c r="C408" s="43" t="s">
        <v>292</v>
      </c>
      <c r="D408" s="43" t="s">
        <v>370</v>
      </c>
      <c r="E408" s="43" t="s">
        <v>378</v>
      </c>
      <c r="F408" s="43" t="s">
        <v>372</v>
      </c>
      <c r="G408" s="43" t="s">
        <v>234</v>
      </c>
      <c r="H408" s="43" t="s">
        <v>218</v>
      </c>
      <c r="I408" s="44">
        <v>45591</v>
      </c>
      <c r="J408" s="44">
        <v>45647</v>
      </c>
      <c r="K408" s="45">
        <v>17</v>
      </c>
      <c r="L408" s="45">
        <v>880.54729999999995</v>
      </c>
      <c r="M408" s="45">
        <v>2462.5700000000002</v>
      </c>
      <c r="N408" s="45">
        <v>8</v>
      </c>
      <c r="O408" s="45">
        <v>423.86799999999999</v>
      </c>
      <c r="P408" s="62">
        <f t="shared" si="7"/>
        <v>25</v>
      </c>
    </row>
    <row r="409" spans="1:16" x14ac:dyDescent="0.25">
      <c r="A409" s="43" t="s">
        <v>200</v>
      </c>
      <c r="B409" s="43" t="s">
        <v>291</v>
      </c>
      <c r="C409" s="43" t="s">
        <v>292</v>
      </c>
      <c r="D409" s="43" t="s">
        <v>370</v>
      </c>
      <c r="E409" s="43" t="s">
        <v>378</v>
      </c>
      <c r="F409" s="43" t="s">
        <v>372</v>
      </c>
      <c r="G409" s="43" t="s">
        <v>259</v>
      </c>
      <c r="H409" s="43" t="s">
        <v>218</v>
      </c>
      <c r="I409" s="44">
        <v>45591</v>
      </c>
      <c r="J409" s="44">
        <v>45647</v>
      </c>
      <c r="K409" s="45">
        <v>8</v>
      </c>
      <c r="L409" s="45">
        <v>421.25599999999997</v>
      </c>
      <c r="M409" s="45">
        <v>1158.8599999999999</v>
      </c>
      <c r="N409" s="45">
        <v>3</v>
      </c>
      <c r="O409" s="45">
        <v>161.9742</v>
      </c>
      <c r="P409" s="62">
        <f t="shared" si="7"/>
        <v>11</v>
      </c>
    </row>
    <row r="410" spans="1:16" x14ac:dyDescent="0.25">
      <c r="A410" s="43" t="s">
        <v>200</v>
      </c>
      <c r="B410" s="43" t="s">
        <v>291</v>
      </c>
      <c r="C410" s="43" t="s">
        <v>292</v>
      </c>
      <c r="D410" s="43" t="s">
        <v>370</v>
      </c>
      <c r="E410" s="43" t="s">
        <v>378</v>
      </c>
      <c r="F410" s="43" t="s">
        <v>372</v>
      </c>
      <c r="G410" s="43" t="s">
        <v>296</v>
      </c>
      <c r="H410" s="43" t="s">
        <v>218</v>
      </c>
      <c r="I410" s="44">
        <v>45591</v>
      </c>
      <c r="J410" s="44">
        <v>45643</v>
      </c>
      <c r="K410" s="45">
        <v>2</v>
      </c>
      <c r="L410" s="45">
        <v>102.6452</v>
      </c>
      <c r="M410" s="45">
        <v>289.72000000000003</v>
      </c>
      <c r="N410" s="45">
        <v>5</v>
      </c>
      <c r="O410" s="45">
        <v>256.613</v>
      </c>
      <c r="P410" s="62">
        <f t="shared" si="7"/>
        <v>7</v>
      </c>
    </row>
    <row r="411" spans="1:16" x14ac:dyDescent="0.25">
      <c r="A411" s="43" t="s">
        <v>200</v>
      </c>
      <c r="B411" s="43" t="s">
        <v>291</v>
      </c>
      <c r="C411" s="43" t="s">
        <v>292</v>
      </c>
      <c r="D411" s="43" t="s">
        <v>370</v>
      </c>
      <c r="E411" s="43" t="s">
        <v>379</v>
      </c>
      <c r="F411" s="43" t="s">
        <v>372</v>
      </c>
      <c r="G411" s="43" t="s">
        <v>232</v>
      </c>
      <c r="H411" s="43" t="s">
        <v>218</v>
      </c>
      <c r="I411" s="44">
        <v>45593</v>
      </c>
      <c r="J411" s="44">
        <v>45593</v>
      </c>
      <c r="K411" s="45">
        <v>0</v>
      </c>
      <c r="L411" s="45">
        <v>0</v>
      </c>
      <c r="M411" s="45">
        <v>0</v>
      </c>
      <c r="N411" s="45">
        <v>6</v>
      </c>
      <c r="O411" s="45">
        <v>307.93560000000002</v>
      </c>
      <c r="P411" s="62">
        <f t="shared" si="7"/>
        <v>6</v>
      </c>
    </row>
    <row r="412" spans="1:16" x14ac:dyDescent="0.25">
      <c r="A412" s="43" t="s">
        <v>200</v>
      </c>
      <c r="B412" s="43" t="s">
        <v>291</v>
      </c>
      <c r="C412" s="43" t="s">
        <v>292</v>
      </c>
      <c r="D412" s="43" t="s">
        <v>370</v>
      </c>
      <c r="E412" s="43" t="s">
        <v>379</v>
      </c>
      <c r="F412" s="43" t="s">
        <v>372</v>
      </c>
      <c r="G412" s="43" t="s">
        <v>233</v>
      </c>
      <c r="H412" s="43" t="s">
        <v>218</v>
      </c>
      <c r="I412" s="44">
        <v>45593</v>
      </c>
      <c r="J412" s="44">
        <v>45593</v>
      </c>
      <c r="K412" s="45">
        <v>0</v>
      </c>
      <c r="L412" s="45">
        <v>0</v>
      </c>
      <c r="M412" s="45">
        <v>0</v>
      </c>
      <c r="N412" s="45">
        <v>7</v>
      </c>
      <c r="O412" s="45">
        <v>359.25819999999999</v>
      </c>
      <c r="P412" s="62">
        <f t="shared" si="7"/>
        <v>7</v>
      </c>
    </row>
    <row r="413" spans="1:16" x14ac:dyDescent="0.25">
      <c r="A413" s="43" t="s">
        <v>200</v>
      </c>
      <c r="B413" s="43" t="s">
        <v>291</v>
      </c>
      <c r="C413" s="43" t="s">
        <v>292</v>
      </c>
      <c r="D413" s="43" t="s">
        <v>370</v>
      </c>
      <c r="E413" s="43" t="s">
        <v>379</v>
      </c>
      <c r="F413" s="43" t="s">
        <v>372</v>
      </c>
      <c r="G413" s="43" t="s">
        <v>234</v>
      </c>
      <c r="H413" s="43" t="s">
        <v>218</v>
      </c>
      <c r="I413" s="44">
        <v>45593</v>
      </c>
      <c r="J413" s="44">
        <v>45593</v>
      </c>
      <c r="K413" s="45">
        <v>0</v>
      </c>
      <c r="L413" s="45">
        <v>0</v>
      </c>
      <c r="M413" s="45">
        <v>0</v>
      </c>
      <c r="N413" s="45">
        <v>5</v>
      </c>
      <c r="O413" s="45">
        <v>256.613</v>
      </c>
      <c r="P413" s="62">
        <f t="shared" si="7"/>
        <v>5</v>
      </c>
    </row>
    <row r="414" spans="1:16" x14ac:dyDescent="0.25">
      <c r="A414" s="43" t="s">
        <v>200</v>
      </c>
      <c r="B414" s="43" t="s">
        <v>291</v>
      </c>
      <c r="C414" s="43" t="s">
        <v>292</v>
      </c>
      <c r="D414" s="43" t="s">
        <v>370</v>
      </c>
      <c r="E414" s="43" t="s">
        <v>379</v>
      </c>
      <c r="F414" s="43" t="s">
        <v>372</v>
      </c>
      <c r="G414" s="43" t="s">
        <v>259</v>
      </c>
      <c r="H414" s="43" t="s">
        <v>218</v>
      </c>
      <c r="I414" s="44">
        <v>45593</v>
      </c>
      <c r="J414" s="44">
        <v>45593</v>
      </c>
      <c r="K414" s="45">
        <v>0</v>
      </c>
      <c r="L414" s="45">
        <v>0</v>
      </c>
      <c r="M414" s="45">
        <v>0</v>
      </c>
      <c r="N414" s="45">
        <v>3</v>
      </c>
      <c r="O414" s="45">
        <v>153.96780000000001</v>
      </c>
      <c r="P414" s="62">
        <f t="shared" si="7"/>
        <v>3</v>
      </c>
    </row>
    <row r="415" spans="1:16" x14ac:dyDescent="0.25">
      <c r="A415" s="43" t="s">
        <v>200</v>
      </c>
      <c r="B415" s="43" t="s">
        <v>291</v>
      </c>
      <c r="C415" s="43" t="s">
        <v>292</v>
      </c>
      <c r="D415" s="43" t="s">
        <v>370</v>
      </c>
      <c r="E415" s="43" t="s">
        <v>379</v>
      </c>
      <c r="F415" s="43" t="s">
        <v>372</v>
      </c>
      <c r="G415" s="43" t="s">
        <v>296</v>
      </c>
      <c r="H415" s="43" t="s">
        <v>218</v>
      </c>
      <c r="I415" s="44">
        <v>45593</v>
      </c>
      <c r="J415" s="44">
        <v>45593</v>
      </c>
      <c r="K415" s="45">
        <v>0</v>
      </c>
      <c r="L415" s="45">
        <v>0</v>
      </c>
      <c r="M415" s="45">
        <v>0</v>
      </c>
      <c r="N415" s="45">
        <v>3</v>
      </c>
      <c r="O415" s="45">
        <v>153.96780000000001</v>
      </c>
      <c r="P415" s="62">
        <f t="shared" si="7"/>
        <v>3</v>
      </c>
    </row>
    <row r="416" spans="1:16" x14ac:dyDescent="0.25">
      <c r="A416" s="43" t="s">
        <v>200</v>
      </c>
      <c r="B416" s="43" t="s">
        <v>291</v>
      </c>
      <c r="C416" s="43" t="s">
        <v>292</v>
      </c>
      <c r="D416" s="43" t="s">
        <v>370</v>
      </c>
      <c r="E416" s="43" t="s">
        <v>380</v>
      </c>
      <c r="F416" s="43" t="s">
        <v>372</v>
      </c>
      <c r="G416" s="43" t="s">
        <v>232</v>
      </c>
      <c r="H416" s="43" t="s">
        <v>226</v>
      </c>
      <c r="I416" s="44">
        <v>45605</v>
      </c>
      <c r="J416" s="44">
        <v>45622</v>
      </c>
      <c r="K416" s="45">
        <v>0</v>
      </c>
      <c r="L416" s="45">
        <v>0</v>
      </c>
      <c r="M416" s="45">
        <v>0</v>
      </c>
      <c r="N416" s="45">
        <v>8</v>
      </c>
      <c r="O416" s="45">
        <v>417.92</v>
      </c>
      <c r="P416" s="62">
        <f t="shared" si="7"/>
        <v>8</v>
      </c>
    </row>
    <row r="417" spans="1:16" x14ac:dyDescent="0.25">
      <c r="A417" s="43" t="s">
        <v>200</v>
      </c>
      <c r="B417" s="43" t="s">
        <v>291</v>
      </c>
      <c r="C417" s="43" t="s">
        <v>292</v>
      </c>
      <c r="D417" s="43" t="s">
        <v>370</v>
      </c>
      <c r="E417" s="43" t="s">
        <v>380</v>
      </c>
      <c r="F417" s="43" t="s">
        <v>372</v>
      </c>
      <c r="G417" s="43" t="s">
        <v>233</v>
      </c>
      <c r="H417" s="43" t="s">
        <v>226</v>
      </c>
      <c r="I417" s="44">
        <v>45605</v>
      </c>
      <c r="J417" s="44">
        <v>45623</v>
      </c>
      <c r="K417" s="45">
        <v>0</v>
      </c>
      <c r="L417" s="45">
        <v>0</v>
      </c>
      <c r="M417" s="45">
        <v>0</v>
      </c>
      <c r="N417" s="45">
        <v>10</v>
      </c>
      <c r="O417" s="45">
        <v>527.80899999999997</v>
      </c>
      <c r="P417" s="62">
        <f t="shared" si="7"/>
        <v>10</v>
      </c>
    </row>
    <row r="418" spans="1:16" x14ac:dyDescent="0.25">
      <c r="A418" s="43" t="s">
        <v>200</v>
      </c>
      <c r="B418" s="43" t="s">
        <v>291</v>
      </c>
      <c r="C418" s="43" t="s">
        <v>292</v>
      </c>
      <c r="D418" s="43" t="s">
        <v>370</v>
      </c>
      <c r="E418" s="43" t="s">
        <v>380</v>
      </c>
      <c r="F418" s="43" t="s">
        <v>372</v>
      </c>
      <c r="G418" s="43" t="s">
        <v>234</v>
      </c>
      <c r="H418" s="43" t="s">
        <v>226</v>
      </c>
      <c r="I418" s="44">
        <v>45605</v>
      </c>
      <c r="J418" s="44">
        <v>45621</v>
      </c>
      <c r="K418" s="45">
        <v>0</v>
      </c>
      <c r="L418" s="45">
        <v>0</v>
      </c>
      <c r="M418" s="45">
        <v>0</v>
      </c>
      <c r="N418" s="45">
        <v>8</v>
      </c>
      <c r="O418" s="45">
        <v>420.72719999999998</v>
      </c>
      <c r="P418" s="62">
        <f t="shared" si="7"/>
        <v>8</v>
      </c>
    </row>
    <row r="419" spans="1:16" x14ac:dyDescent="0.25">
      <c r="A419" s="43" t="s">
        <v>200</v>
      </c>
      <c r="B419" s="43" t="s">
        <v>291</v>
      </c>
      <c r="C419" s="43" t="s">
        <v>292</v>
      </c>
      <c r="D419" s="43" t="s">
        <v>370</v>
      </c>
      <c r="E419" s="43" t="s">
        <v>380</v>
      </c>
      <c r="F419" s="43" t="s">
        <v>372</v>
      </c>
      <c r="G419" s="43" t="s">
        <v>259</v>
      </c>
      <c r="H419" s="43" t="s">
        <v>226</v>
      </c>
      <c r="I419" s="44">
        <v>45605</v>
      </c>
      <c r="J419" s="44">
        <v>45636</v>
      </c>
      <c r="K419" s="45">
        <v>0</v>
      </c>
      <c r="L419" s="45">
        <v>0</v>
      </c>
      <c r="M419" s="45">
        <v>0</v>
      </c>
      <c r="N419" s="45">
        <v>2</v>
      </c>
      <c r="O419" s="45">
        <v>105.31399999999999</v>
      </c>
      <c r="P419" s="62">
        <f t="shared" si="7"/>
        <v>2</v>
      </c>
    </row>
    <row r="420" spans="1:16" x14ac:dyDescent="0.25">
      <c r="A420" s="43" t="s">
        <v>200</v>
      </c>
      <c r="B420" s="43" t="s">
        <v>291</v>
      </c>
      <c r="C420" s="43" t="s">
        <v>292</v>
      </c>
      <c r="D420" s="43" t="s">
        <v>370</v>
      </c>
      <c r="E420" s="43" t="s">
        <v>380</v>
      </c>
      <c r="F420" s="43" t="s">
        <v>372</v>
      </c>
      <c r="G420" s="43" t="s">
        <v>296</v>
      </c>
      <c r="H420" s="43" t="s">
        <v>226</v>
      </c>
      <c r="I420" s="44">
        <v>45605</v>
      </c>
      <c r="J420" s="44">
        <v>45605</v>
      </c>
      <c r="K420" s="45">
        <v>0</v>
      </c>
      <c r="L420" s="45">
        <v>0</v>
      </c>
      <c r="M420" s="45">
        <v>0</v>
      </c>
      <c r="N420" s="45">
        <v>4</v>
      </c>
      <c r="O420" s="45">
        <v>205.29040000000001</v>
      </c>
      <c r="P420" s="62">
        <f t="shared" si="7"/>
        <v>4</v>
      </c>
    </row>
    <row r="421" spans="1:16" x14ac:dyDescent="0.25">
      <c r="A421" s="43" t="s">
        <v>200</v>
      </c>
      <c r="B421" s="43" t="s">
        <v>291</v>
      </c>
      <c r="C421" s="43" t="s">
        <v>292</v>
      </c>
      <c r="D421" s="43" t="s">
        <v>370</v>
      </c>
      <c r="E421" s="43" t="s">
        <v>381</v>
      </c>
      <c r="F421" s="43" t="s">
        <v>372</v>
      </c>
      <c r="G421" s="43" t="s">
        <v>232</v>
      </c>
      <c r="H421" s="43" t="s">
        <v>226</v>
      </c>
      <c r="I421" s="44">
        <v>45591</v>
      </c>
      <c r="J421" s="44">
        <v>45617</v>
      </c>
      <c r="K421" s="45">
        <v>0</v>
      </c>
      <c r="L421" s="45">
        <v>0</v>
      </c>
      <c r="M421" s="45">
        <v>0</v>
      </c>
      <c r="N421" s="45">
        <v>8</v>
      </c>
      <c r="O421" s="45">
        <v>413.24959999999999</v>
      </c>
      <c r="P421" s="62">
        <f t="shared" si="7"/>
        <v>8</v>
      </c>
    </row>
    <row r="422" spans="1:16" x14ac:dyDescent="0.25">
      <c r="A422" s="43" t="s">
        <v>200</v>
      </c>
      <c r="B422" s="43" t="s">
        <v>291</v>
      </c>
      <c r="C422" s="43" t="s">
        <v>292</v>
      </c>
      <c r="D422" s="43" t="s">
        <v>370</v>
      </c>
      <c r="E422" s="43" t="s">
        <v>381</v>
      </c>
      <c r="F422" s="43" t="s">
        <v>372</v>
      </c>
      <c r="G422" s="43" t="s">
        <v>233</v>
      </c>
      <c r="H422" s="43" t="s">
        <v>226</v>
      </c>
      <c r="I422" s="44">
        <v>45591</v>
      </c>
      <c r="J422" s="44">
        <v>45635</v>
      </c>
      <c r="K422" s="45">
        <v>0</v>
      </c>
      <c r="L422" s="45">
        <v>0</v>
      </c>
      <c r="M422" s="45">
        <v>0</v>
      </c>
      <c r="N422" s="45">
        <v>10</v>
      </c>
      <c r="O422" s="45">
        <v>527.30700000000002</v>
      </c>
      <c r="P422" s="62">
        <f t="shared" si="7"/>
        <v>10</v>
      </c>
    </row>
    <row r="423" spans="1:16" x14ac:dyDescent="0.25">
      <c r="A423" s="43" t="s">
        <v>200</v>
      </c>
      <c r="B423" s="43" t="s">
        <v>291</v>
      </c>
      <c r="C423" s="43" t="s">
        <v>292</v>
      </c>
      <c r="D423" s="43" t="s">
        <v>370</v>
      </c>
      <c r="E423" s="43" t="s">
        <v>381</v>
      </c>
      <c r="F423" s="43" t="s">
        <v>372</v>
      </c>
      <c r="G423" s="43" t="s">
        <v>234</v>
      </c>
      <c r="H423" s="43" t="s">
        <v>226</v>
      </c>
      <c r="I423" s="44">
        <v>45591</v>
      </c>
      <c r="J423" s="44">
        <v>45630</v>
      </c>
      <c r="K423" s="45">
        <v>0</v>
      </c>
      <c r="L423" s="45">
        <v>0</v>
      </c>
      <c r="M423" s="45">
        <v>0</v>
      </c>
      <c r="N423" s="45">
        <v>7</v>
      </c>
      <c r="O423" s="45">
        <v>364.2149</v>
      </c>
      <c r="P423" s="62">
        <f t="shared" si="7"/>
        <v>7</v>
      </c>
    </row>
    <row r="424" spans="1:16" x14ac:dyDescent="0.25">
      <c r="A424" s="43" t="s">
        <v>200</v>
      </c>
      <c r="B424" s="43" t="s">
        <v>291</v>
      </c>
      <c r="C424" s="43" t="s">
        <v>292</v>
      </c>
      <c r="D424" s="43" t="s">
        <v>370</v>
      </c>
      <c r="E424" s="43" t="s">
        <v>381</v>
      </c>
      <c r="F424" s="43" t="s">
        <v>372</v>
      </c>
      <c r="G424" s="43" t="s">
        <v>259</v>
      </c>
      <c r="H424" s="43" t="s">
        <v>226</v>
      </c>
      <c r="I424" s="44">
        <v>45591</v>
      </c>
      <c r="J424" s="44">
        <v>45636</v>
      </c>
      <c r="K424" s="45">
        <v>0</v>
      </c>
      <c r="L424" s="45">
        <v>0</v>
      </c>
      <c r="M424" s="45">
        <v>0</v>
      </c>
      <c r="N424" s="45">
        <v>4</v>
      </c>
      <c r="O424" s="45">
        <v>213.964</v>
      </c>
      <c r="P424" s="62">
        <f t="shared" si="7"/>
        <v>4</v>
      </c>
    </row>
    <row r="425" spans="1:16" x14ac:dyDescent="0.25">
      <c r="A425" s="43" t="s">
        <v>200</v>
      </c>
      <c r="B425" s="43" t="s">
        <v>291</v>
      </c>
      <c r="C425" s="43" t="s">
        <v>292</v>
      </c>
      <c r="D425" s="43" t="s">
        <v>370</v>
      </c>
      <c r="E425" s="43" t="s">
        <v>381</v>
      </c>
      <c r="F425" s="43" t="s">
        <v>372</v>
      </c>
      <c r="G425" s="43" t="s">
        <v>296</v>
      </c>
      <c r="H425" s="43" t="s">
        <v>226</v>
      </c>
      <c r="I425" s="44">
        <v>45591</v>
      </c>
      <c r="J425" s="44">
        <v>45618</v>
      </c>
      <c r="K425" s="45">
        <v>0</v>
      </c>
      <c r="L425" s="45">
        <v>0</v>
      </c>
      <c r="M425" s="45">
        <v>0</v>
      </c>
      <c r="N425" s="45">
        <v>5</v>
      </c>
      <c r="O425" s="45">
        <v>259.94900000000001</v>
      </c>
      <c r="P425" s="62">
        <f t="shared" si="7"/>
        <v>5</v>
      </c>
    </row>
    <row r="426" spans="1:16" x14ac:dyDescent="0.25">
      <c r="A426" s="43" t="s">
        <v>200</v>
      </c>
      <c r="B426" s="43" t="s">
        <v>291</v>
      </c>
      <c r="C426" s="43" t="s">
        <v>292</v>
      </c>
      <c r="D426" s="43" t="s">
        <v>370</v>
      </c>
      <c r="E426" s="43" t="s">
        <v>383</v>
      </c>
      <c r="F426" s="43" t="s">
        <v>323</v>
      </c>
      <c r="G426" s="43" t="s">
        <v>232</v>
      </c>
      <c r="H426" s="43" t="s">
        <v>207</v>
      </c>
      <c r="I426" s="44">
        <v>45593</v>
      </c>
      <c r="J426" s="44">
        <v>45643</v>
      </c>
      <c r="K426" s="45">
        <v>15</v>
      </c>
      <c r="L426" s="45">
        <v>635.67079999999999</v>
      </c>
      <c r="M426" s="45">
        <v>1541.25</v>
      </c>
      <c r="N426" s="45">
        <v>6</v>
      </c>
      <c r="O426" s="45">
        <v>258.57240000000002</v>
      </c>
      <c r="P426" s="62">
        <f t="shared" si="7"/>
        <v>21</v>
      </c>
    </row>
    <row r="427" spans="1:16" x14ac:dyDescent="0.25">
      <c r="A427" s="43" t="s">
        <v>200</v>
      </c>
      <c r="B427" s="43" t="s">
        <v>291</v>
      </c>
      <c r="C427" s="43" t="s">
        <v>292</v>
      </c>
      <c r="D427" s="43" t="s">
        <v>370</v>
      </c>
      <c r="E427" s="43" t="s">
        <v>383</v>
      </c>
      <c r="F427" s="43" t="s">
        <v>323</v>
      </c>
      <c r="G427" s="43" t="s">
        <v>233</v>
      </c>
      <c r="H427" s="43" t="s">
        <v>207</v>
      </c>
      <c r="I427" s="44">
        <v>45593</v>
      </c>
      <c r="J427" s="44">
        <v>45647</v>
      </c>
      <c r="K427" s="45">
        <v>22</v>
      </c>
      <c r="L427" s="45">
        <v>935.34280000000001</v>
      </c>
      <c r="M427" s="45">
        <v>2255.33</v>
      </c>
      <c r="N427" s="45">
        <v>5</v>
      </c>
      <c r="O427" s="45">
        <v>215.60300000000001</v>
      </c>
      <c r="P427" s="62">
        <f t="shared" si="7"/>
        <v>27</v>
      </c>
    </row>
    <row r="428" spans="1:16" x14ac:dyDescent="0.25">
      <c r="A428" s="43" t="s">
        <v>200</v>
      </c>
      <c r="B428" s="43" t="s">
        <v>291</v>
      </c>
      <c r="C428" s="43" t="s">
        <v>292</v>
      </c>
      <c r="D428" s="43" t="s">
        <v>370</v>
      </c>
      <c r="E428" s="43" t="s">
        <v>383</v>
      </c>
      <c r="F428" s="43" t="s">
        <v>323</v>
      </c>
      <c r="G428" s="43" t="s">
        <v>234</v>
      </c>
      <c r="H428" s="43" t="s">
        <v>207</v>
      </c>
      <c r="I428" s="44">
        <v>45593</v>
      </c>
      <c r="J428" s="44">
        <v>45647</v>
      </c>
      <c r="K428" s="45">
        <v>10</v>
      </c>
      <c r="L428" s="45">
        <v>422.2629</v>
      </c>
      <c r="M428" s="45">
        <v>1054</v>
      </c>
      <c r="N428" s="45">
        <v>4</v>
      </c>
      <c r="O428" s="45">
        <v>171.76480000000001</v>
      </c>
      <c r="P428" s="62">
        <f t="shared" si="7"/>
        <v>14</v>
      </c>
    </row>
    <row r="429" spans="1:16" x14ac:dyDescent="0.25">
      <c r="A429" s="43" t="s">
        <v>200</v>
      </c>
      <c r="B429" s="43" t="s">
        <v>291</v>
      </c>
      <c r="C429" s="43" t="s">
        <v>292</v>
      </c>
      <c r="D429" s="43" t="s">
        <v>370</v>
      </c>
      <c r="E429" s="43" t="s">
        <v>383</v>
      </c>
      <c r="F429" s="43" t="s">
        <v>323</v>
      </c>
      <c r="G429" s="43" t="s">
        <v>296</v>
      </c>
      <c r="H429" s="43" t="s">
        <v>207</v>
      </c>
      <c r="I429" s="44">
        <v>45593</v>
      </c>
      <c r="J429" s="44">
        <v>45644</v>
      </c>
      <c r="K429" s="45">
        <v>2</v>
      </c>
      <c r="L429" s="45">
        <v>82.827699999999993</v>
      </c>
      <c r="M429" s="45">
        <v>215.33</v>
      </c>
      <c r="N429" s="45">
        <v>3</v>
      </c>
      <c r="O429" s="45">
        <v>126.7323</v>
      </c>
      <c r="P429" s="62">
        <f t="shared" si="7"/>
        <v>5</v>
      </c>
    </row>
    <row r="430" spans="1:16" x14ac:dyDescent="0.25">
      <c r="A430" s="43" t="s">
        <v>200</v>
      </c>
      <c r="B430" s="43" t="s">
        <v>291</v>
      </c>
      <c r="C430" s="43" t="s">
        <v>292</v>
      </c>
      <c r="D430" s="43" t="s">
        <v>370</v>
      </c>
      <c r="E430" s="43" t="s">
        <v>384</v>
      </c>
      <c r="F430" s="43" t="s">
        <v>323</v>
      </c>
      <c r="G430" s="43" t="s">
        <v>232</v>
      </c>
      <c r="H430" s="43" t="s">
        <v>207</v>
      </c>
      <c r="I430" s="44">
        <v>45593</v>
      </c>
      <c r="J430" s="44">
        <v>45630</v>
      </c>
      <c r="K430" s="45">
        <v>2</v>
      </c>
      <c r="L430" s="45">
        <v>82.543199999999999</v>
      </c>
      <c r="M430" s="45">
        <v>204</v>
      </c>
      <c r="N430" s="45">
        <v>6</v>
      </c>
      <c r="O430" s="45">
        <v>250.61879999999999</v>
      </c>
      <c r="P430" s="62">
        <f t="shared" si="7"/>
        <v>8</v>
      </c>
    </row>
    <row r="431" spans="1:16" x14ac:dyDescent="0.25">
      <c r="A431" s="43" t="s">
        <v>200</v>
      </c>
      <c r="B431" s="43" t="s">
        <v>291</v>
      </c>
      <c r="C431" s="43" t="s">
        <v>292</v>
      </c>
      <c r="D431" s="43" t="s">
        <v>370</v>
      </c>
      <c r="E431" s="43" t="s">
        <v>384</v>
      </c>
      <c r="F431" s="43" t="s">
        <v>323</v>
      </c>
      <c r="G431" s="43" t="s">
        <v>233</v>
      </c>
      <c r="H431" s="43" t="s">
        <v>207</v>
      </c>
      <c r="I431" s="44">
        <v>45593</v>
      </c>
      <c r="J431" s="44">
        <v>45643</v>
      </c>
      <c r="K431" s="45">
        <v>1</v>
      </c>
      <c r="L431" s="45">
        <v>41.058100000000003</v>
      </c>
      <c r="M431" s="45">
        <v>102</v>
      </c>
      <c r="N431" s="45">
        <v>7</v>
      </c>
      <c r="O431" s="45">
        <v>289.54169999999999</v>
      </c>
      <c r="P431" s="62">
        <f t="shared" si="7"/>
        <v>8</v>
      </c>
    </row>
    <row r="432" spans="1:16" x14ac:dyDescent="0.25">
      <c r="A432" s="43" t="s">
        <v>200</v>
      </c>
      <c r="B432" s="43" t="s">
        <v>291</v>
      </c>
      <c r="C432" s="43" t="s">
        <v>292</v>
      </c>
      <c r="D432" s="43" t="s">
        <v>370</v>
      </c>
      <c r="E432" s="43" t="s">
        <v>384</v>
      </c>
      <c r="F432" s="43" t="s">
        <v>323</v>
      </c>
      <c r="G432" s="43" t="s">
        <v>234</v>
      </c>
      <c r="H432" s="43" t="s">
        <v>207</v>
      </c>
      <c r="I432" s="44">
        <v>45593</v>
      </c>
      <c r="J432" s="44">
        <v>45630</v>
      </c>
      <c r="K432" s="45">
        <v>1</v>
      </c>
      <c r="L432" s="45">
        <v>41.058100000000003</v>
      </c>
      <c r="M432" s="45">
        <v>102</v>
      </c>
      <c r="N432" s="45">
        <v>5</v>
      </c>
      <c r="O432" s="45">
        <v>207.4255</v>
      </c>
      <c r="P432" s="62">
        <f t="shared" si="7"/>
        <v>6</v>
      </c>
    </row>
    <row r="433" spans="1:16" x14ac:dyDescent="0.25">
      <c r="A433" s="43" t="s">
        <v>200</v>
      </c>
      <c r="B433" s="43" t="s">
        <v>291</v>
      </c>
      <c r="C433" s="43" t="s">
        <v>292</v>
      </c>
      <c r="D433" s="43" t="s">
        <v>370</v>
      </c>
      <c r="E433" s="43" t="s">
        <v>384</v>
      </c>
      <c r="F433" s="43" t="s">
        <v>323</v>
      </c>
      <c r="G433" s="43" t="s">
        <v>259</v>
      </c>
      <c r="H433" s="43" t="s">
        <v>207</v>
      </c>
      <c r="I433" s="44">
        <v>45593</v>
      </c>
      <c r="J433" s="44">
        <v>45593</v>
      </c>
      <c r="K433" s="45">
        <v>0</v>
      </c>
      <c r="L433" s="45">
        <v>0</v>
      </c>
      <c r="M433" s="45">
        <v>0</v>
      </c>
      <c r="N433" s="45">
        <v>3</v>
      </c>
      <c r="O433" s="45">
        <v>123.1743</v>
      </c>
      <c r="P433" s="62">
        <f t="shared" si="7"/>
        <v>3</v>
      </c>
    </row>
    <row r="434" spans="1:16" x14ac:dyDescent="0.25">
      <c r="A434" s="43" t="s">
        <v>200</v>
      </c>
      <c r="B434" s="43" t="s">
        <v>291</v>
      </c>
      <c r="C434" s="43" t="s">
        <v>292</v>
      </c>
      <c r="D434" s="43" t="s">
        <v>370</v>
      </c>
      <c r="E434" s="43" t="s">
        <v>384</v>
      </c>
      <c r="F434" s="43" t="s">
        <v>323</v>
      </c>
      <c r="G434" s="43" t="s">
        <v>296</v>
      </c>
      <c r="H434" s="43" t="s">
        <v>207</v>
      </c>
      <c r="I434" s="44">
        <v>45593</v>
      </c>
      <c r="J434" s="44">
        <v>45593</v>
      </c>
      <c r="K434" s="45">
        <v>0</v>
      </c>
      <c r="L434" s="45">
        <v>0</v>
      </c>
      <c r="M434" s="45">
        <v>0</v>
      </c>
      <c r="N434" s="45">
        <v>2</v>
      </c>
      <c r="O434" s="45">
        <v>82.116200000000006</v>
      </c>
      <c r="P434" s="62">
        <f t="shared" si="7"/>
        <v>2</v>
      </c>
    </row>
    <row r="435" spans="1:16" x14ac:dyDescent="0.25">
      <c r="A435" s="43" t="s">
        <v>200</v>
      </c>
      <c r="B435" s="43" t="s">
        <v>291</v>
      </c>
      <c r="C435" s="43" t="s">
        <v>292</v>
      </c>
      <c r="D435" s="43" t="s">
        <v>370</v>
      </c>
      <c r="E435" s="43" t="s">
        <v>385</v>
      </c>
      <c r="F435" s="43" t="s">
        <v>323</v>
      </c>
      <c r="G435" s="43" t="s">
        <v>234</v>
      </c>
      <c r="H435" s="43" t="s">
        <v>207</v>
      </c>
      <c r="I435" s="44">
        <v>45593</v>
      </c>
      <c r="J435" s="44">
        <v>45625</v>
      </c>
      <c r="K435" s="45">
        <v>1</v>
      </c>
      <c r="L435" s="45">
        <v>41.058</v>
      </c>
      <c r="M435" s="45">
        <v>102</v>
      </c>
      <c r="N435" s="45">
        <v>0</v>
      </c>
      <c r="O435" s="45">
        <v>0</v>
      </c>
      <c r="P435" s="62">
        <f t="shared" si="7"/>
        <v>1</v>
      </c>
    </row>
    <row r="436" spans="1:16" x14ac:dyDescent="0.25">
      <c r="A436" s="43" t="s">
        <v>200</v>
      </c>
      <c r="B436" s="43" t="s">
        <v>291</v>
      </c>
      <c r="C436" s="43" t="s">
        <v>292</v>
      </c>
      <c r="D436" s="43" t="s">
        <v>370</v>
      </c>
      <c r="E436" s="43" t="s">
        <v>386</v>
      </c>
      <c r="F436" s="43" t="s">
        <v>323</v>
      </c>
      <c r="G436" s="43" t="s">
        <v>232</v>
      </c>
      <c r="H436" s="43" t="s">
        <v>218</v>
      </c>
      <c r="I436" s="44">
        <v>45593</v>
      </c>
      <c r="J436" s="44">
        <v>45647</v>
      </c>
      <c r="K436" s="45">
        <v>10</v>
      </c>
      <c r="L436" s="45">
        <v>386.14789999999999</v>
      </c>
      <c r="M436" s="45">
        <v>1053.99</v>
      </c>
      <c r="N436" s="45">
        <v>6</v>
      </c>
      <c r="O436" s="45">
        <v>236.0532</v>
      </c>
      <c r="P436" s="62">
        <f t="shared" si="7"/>
        <v>16</v>
      </c>
    </row>
    <row r="437" spans="1:16" x14ac:dyDescent="0.25">
      <c r="A437" s="43" t="s">
        <v>200</v>
      </c>
      <c r="B437" s="43" t="s">
        <v>291</v>
      </c>
      <c r="C437" s="43" t="s">
        <v>292</v>
      </c>
      <c r="D437" s="43" t="s">
        <v>370</v>
      </c>
      <c r="E437" s="43" t="s">
        <v>386</v>
      </c>
      <c r="F437" s="43" t="s">
        <v>323</v>
      </c>
      <c r="G437" s="43" t="s">
        <v>233</v>
      </c>
      <c r="H437" s="43" t="s">
        <v>218</v>
      </c>
      <c r="I437" s="44">
        <v>45593</v>
      </c>
      <c r="J437" s="44">
        <v>45647</v>
      </c>
      <c r="K437" s="45">
        <v>14</v>
      </c>
      <c r="L437" s="45">
        <v>542.18730000000005</v>
      </c>
      <c r="M437" s="45">
        <v>1428</v>
      </c>
      <c r="N437" s="45">
        <v>6</v>
      </c>
      <c r="O437" s="45">
        <v>236.54339999999999</v>
      </c>
      <c r="P437" s="62">
        <f t="shared" si="7"/>
        <v>20</v>
      </c>
    </row>
    <row r="438" spans="1:16" x14ac:dyDescent="0.25">
      <c r="A438" s="43" t="s">
        <v>200</v>
      </c>
      <c r="B438" s="43" t="s">
        <v>291</v>
      </c>
      <c r="C438" s="43" t="s">
        <v>292</v>
      </c>
      <c r="D438" s="43" t="s">
        <v>370</v>
      </c>
      <c r="E438" s="43" t="s">
        <v>386</v>
      </c>
      <c r="F438" s="43" t="s">
        <v>323</v>
      </c>
      <c r="G438" s="43" t="s">
        <v>234</v>
      </c>
      <c r="H438" s="43" t="s">
        <v>218</v>
      </c>
      <c r="I438" s="44">
        <v>45593</v>
      </c>
      <c r="J438" s="44">
        <v>45646</v>
      </c>
      <c r="K438" s="45">
        <v>2</v>
      </c>
      <c r="L438" s="45">
        <v>75.719899999999996</v>
      </c>
      <c r="M438" s="45">
        <v>215.33</v>
      </c>
      <c r="N438" s="45">
        <v>5</v>
      </c>
      <c r="O438" s="45">
        <v>191.846</v>
      </c>
      <c r="P438" s="62">
        <f t="shared" si="7"/>
        <v>7</v>
      </c>
    </row>
    <row r="439" spans="1:16" x14ac:dyDescent="0.25">
      <c r="A439" s="43" t="s">
        <v>200</v>
      </c>
      <c r="B439" s="43" t="s">
        <v>291</v>
      </c>
      <c r="C439" s="43" t="s">
        <v>292</v>
      </c>
      <c r="D439" s="43" t="s">
        <v>370</v>
      </c>
      <c r="E439" s="43" t="s">
        <v>386</v>
      </c>
      <c r="F439" s="43" t="s">
        <v>323</v>
      </c>
      <c r="G439" s="43" t="s">
        <v>259</v>
      </c>
      <c r="H439" s="43" t="s">
        <v>218</v>
      </c>
      <c r="I439" s="44">
        <v>45593</v>
      </c>
      <c r="J439" s="44">
        <v>45622</v>
      </c>
      <c r="K439" s="45">
        <v>4</v>
      </c>
      <c r="L439" s="45">
        <v>152.61240000000001</v>
      </c>
      <c r="M439" s="45">
        <v>408</v>
      </c>
      <c r="N439" s="45">
        <v>0</v>
      </c>
      <c r="O439" s="45">
        <v>0</v>
      </c>
      <c r="P439" s="62">
        <f t="shared" si="7"/>
        <v>4</v>
      </c>
    </row>
    <row r="440" spans="1:16" x14ac:dyDescent="0.25">
      <c r="A440" s="43" t="s">
        <v>200</v>
      </c>
      <c r="B440" s="43" t="s">
        <v>291</v>
      </c>
      <c r="C440" s="43" t="s">
        <v>292</v>
      </c>
      <c r="D440" s="43" t="s">
        <v>370</v>
      </c>
      <c r="E440" s="43" t="s">
        <v>386</v>
      </c>
      <c r="F440" s="43" t="s">
        <v>323</v>
      </c>
      <c r="G440" s="43" t="s">
        <v>296</v>
      </c>
      <c r="H440" s="43" t="s">
        <v>218</v>
      </c>
      <c r="I440" s="44">
        <v>45593</v>
      </c>
      <c r="J440" s="44">
        <v>45643</v>
      </c>
      <c r="K440" s="45">
        <v>1</v>
      </c>
      <c r="L440" s="45">
        <v>37.663499999999999</v>
      </c>
      <c r="M440" s="45">
        <v>102</v>
      </c>
      <c r="N440" s="45">
        <v>3</v>
      </c>
      <c r="O440" s="45">
        <v>114.94889999999999</v>
      </c>
      <c r="P440" s="62">
        <f t="shared" si="7"/>
        <v>4</v>
      </c>
    </row>
    <row r="441" spans="1:16" x14ac:dyDescent="0.25">
      <c r="A441" s="43" t="s">
        <v>200</v>
      </c>
      <c r="B441" s="43" t="s">
        <v>291</v>
      </c>
      <c r="C441" s="43" t="s">
        <v>292</v>
      </c>
      <c r="D441" s="43" t="s">
        <v>370</v>
      </c>
      <c r="E441" s="43" t="s">
        <v>387</v>
      </c>
      <c r="F441" s="43" t="s">
        <v>323</v>
      </c>
      <c r="G441" s="43" t="s">
        <v>232</v>
      </c>
      <c r="H441" s="43" t="s">
        <v>207</v>
      </c>
      <c r="I441" s="44">
        <v>45593</v>
      </c>
      <c r="J441" s="44">
        <v>45647</v>
      </c>
      <c r="K441" s="45">
        <v>8</v>
      </c>
      <c r="L441" s="45">
        <v>320.4391</v>
      </c>
      <c r="M441" s="45">
        <v>815.9</v>
      </c>
      <c r="N441" s="45">
        <v>6</v>
      </c>
      <c r="O441" s="45">
        <v>245.39519999999999</v>
      </c>
      <c r="P441" s="62">
        <f t="shared" si="7"/>
        <v>14</v>
      </c>
    </row>
    <row r="442" spans="1:16" x14ac:dyDescent="0.25">
      <c r="A442" s="43" t="s">
        <v>200</v>
      </c>
      <c r="B442" s="43" t="s">
        <v>291</v>
      </c>
      <c r="C442" s="43" t="s">
        <v>292</v>
      </c>
      <c r="D442" s="43" t="s">
        <v>370</v>
      </c>
      <c r="E442" s="43" t="s">
        <v>387</v>
      </c>
      <c r="F442" s="43" t="s">
        <v>323</v>
      </c>
      <c r="G442" s="43" t="s">
        <v>233</v>
      </c>
      <c r="H442" s="43" t="s">
        <v>207</v>
      </c>
      <c r="I442" s="44">
        <v>45593</v>
      </c>
      <c r="J442" s="44">
        <v>45647</v>
      </c>
      <c r="K442" s="45">
        <v>14</v>
      </c>
      <c r="L442" s="45">
        <v>548.08240000000001</v>
      </c>
      <c r="M442" s="45">
        <v>1439.34</v>
      </c>
      <c r="N442" s="45">
        <v>8</v>
      </c>
      <c r="O442" s="45">
        <v>318.99200000000002</v>
      </c>
      <c r="P442" s="62">
        <f t="shared" si="7"/>
        <v>22</v>
      </c>
    </row>
    <row r="443" spans="1:16" x14ac:dyDescent="0.25">
      <c r="A443" s="43" t="s">
        <v>200</v>
      </c>
      <c r="B443" s="43" t="s">
        <v>291</v>
      </c>
      <c r="C443" s="43" t="s">
        <v>292</v>
      </c>
      <c r="D443" s="43" t="s">
        <v>370</v>
      </c>
      <c r="E443" s="43" t="s">
        <v>387</v>
      </c>
      <c r="F443" s="43" t="s">
        <v>323</v>
      </c>
      <c r="G443" s="43" t="s">
        <v>234</v>
      </c>
      <c r="H443" s="43" t="s">
        <v>207</v>
      </c>
      <c r="I443" s="44">
        <v>45593</v>
      </c>
      <c r="J443" s="44">
        <v>45647</v>
      </c>
      <c r="K443" s="45">
        <v>8</v>
      </c>
      <c r="L443" s="45">
        <v>309.22789999999998</v>
      </c>
      <c r="M443" s="45">
        <v>804.67</v>
      </c>
      <c r="N443" s="45">
        <v>5</v>
      </c>
      <c r="O443" s="45">
        <v>197.12350000000001</v>
      </c>
      <c r="P443" s="62">
        <f t="shared" si="7"/>
        <v>13</v>
      </c>
    </row>
    <row r="444" spans="1:16" x14ac:dyDescent="0.25">
      <c r="A444" s="43" t="s">
        <v>200</v>
      </c>
      <c r="B444" s="43" t="s">
        <v>291</v>
      </c>
      <c r="C444" s="43" t="s">
        <v>292</v>
      </c>
      <c r="D444" s="43" t="s">
        <v>370</v>
      </c>
      <c r="E444" s="43" t="s">
        <v>387</v>
      </c>
      <c r="F444" s="43" t="s">
        <v>323</v>
      </c>
      <c r="G444" s="43" t="s">
        <v>259</v>
      </c>
      <c r="H444" s="43" t="s">
        <v>207</v>
      </c>
      <c r="I444" s="44">
        <v>45593</v>
      </c>
      <c r="J444" s="44">
        <v>45637</v>
      </c>
      <c r="K444" s="45">
        <v>6</v>
      </c>
      <c r="L444" s="45">
        <v>240.0839</v>
      </c>
      <c r="M444" s="45">
        <v>612</v>
      </c>
      <c r="N444" s="45">
        <v>3</v>
      </c>
      <c r="O444" s="45">
        <v>120.7251</v>
      </c>
      <c r="P444" s="62">
        <f t="shared" si="7"/>
        <v>9</v>
      </c>
    </row>
    <row r="445" spans="1:16" x14ac:dyDescent="0.25">
      <c r="A445" s="43" t="s">
        <v>200</v>
      </c>
      <c r="B445" s="43" t="s">
        <v>291</v>
      </c>
      <c r="C445" s="43" t="s">
        <v>292</v>
      </c>
      <c r="D445" s="43" t="s">
        <v>370</v>
      </c>
      <c r="E445" s="43" t="s">
        <v>387</v>
      </c>
      <c r="F445" s="43" t="s">
        <v>323</v>
      </c>
      <c r="G445" s="43" t="s">
        <v>296</v>
      </c>
      <c r="H445" s="43" t="s">
        <v>207</v>
      </c>
      <c r="I445" s="44">
        <v>45593</v>
      </c>
      <c r="J445" s="44">
        <v>45643</v>
      </c>
      <c r="K445" s="45">
        <v>0</v>
      </c>
      <c r="L445" s="45">
        <v>0</v>
      </c>
      <c r="M445" s="45">
        <v>0</v>
      </c>
      <c r="N445" s="45">
        <v>3</v>
      </c>
      <c r="O445" s="45">
        <v>112.9905</v>
      </c>
      <c r="P445" s="62">
        <f t="shared" si="7"/>
        <v>3</v>
      </c>
    </row>
    <row r="446" spans="1:16" x14ac:dyDescent="0.25">
      <c r="A446" s="43" t="s">
        <v>200</v>
      </c>
      <c r="B446" s="43" t="s">
        <v>291</v>
      </c>
      <c r="C446" s="43" t="s">
        <v>292</v>
      </c>
      <c r="D446" s="43" t="s">
        <v>370</v>
      </c>
      <c r="E446" s="43" t="s">
        <v>388</v>
      </c>
      <c r="F446" s="43" t="s">
        <v>286</v>
      </c>
      <c r="G446" s="43" t="s">
        <v>232</v>
      </c>
      <c r="H446" s="43" t="s">
        <v>207</v>
      </c>
      <c r="I446" s="44">
        <v>45432</v>
      </c>
      <c r="J446" s="44">
        <v>45617</v>
      </c>
      <c r="K446" s="45">
        <v>21</v>
      </c>
      <c r="L446" s="45">
        <v>1318.9469999999999</v>
      </c>
      <c r="M446" s="45">
        <v>3563.02</v>
      </c>
      <c r="N446" s="45">
        <v>0</v>
      </c>
      <c r="O446" s="45">
        <v>0</v>
      </c>
      <c r="P446" s="62">
        <f t="shared" si="7"/>
        <v>21</v>
      </c>
    </row>
    <row r="447" spans="1:16" x14ac:dyDescent="0.25">
      <c r="A447" s="43" t="s">
        <v>200</v>
      </c>
      <c r="B447" s="43" t="s">
        <v>291</v>
      </c>
      <c r="C447" s="43" t="s">
        <v>292</v>
      </c>
      <c r="D447" s="43" t="s">
        <v>370</v>
      </c>
      <c r="E447" s="43" t="s">
        <v>388</v>
      </c>
      <c r="F447" s="43" t="s">
        <v>286</v>
      </c>
      <c r="G447" s="43" t="s">
        <v>233</v>
      </c>
      <c r="H447" s="43" t="s">
        <v>207</v>
      </c>
      <c r="I447" s="44">
        <v>45432</v>
      </c>
      <c r="J447" s="44">
        <v>45617</v>
      </c>
      <c r="K447" s="45">
        <v>23</v>
      </c>
      <c r="L447" s="45">
        <v>1433.9366</v>
      </c>
      <c r="M447" s="45">
        <v>3998.95</v>
      </c>
      <c r="N447" s="45">
        <v>2</v>
      </c>
      <c r="O447" s="45">
        <v>128.15559999999999</v>
      </c>
      <c r="P447" s="62">
        <f t="shared" si="7"/>
        <v>25</v>
      </c>
    </row>
    <row r="448" spans="1:16" x14ac:dyDescent="0.25">
      <c r="A448" s="43" t="s">
        <v>200</v>
      </c>
      <c r="B448" s="43" t="s">
        <v>291</v>
      </c>
      <c r="C448" s="43" t="s">
        <v>292</v>
      </c>
      <c r="D448" s="43" t="s">
        <v>370</v>
      </c>
      <c r="E448" s="43" t="s">
        <v>388</v>
      </c>
      <c r="F448" s="43" t="s">
        <v>286</v>
      </c>
      <c r="G448" s="43" t="s">
        <v>234</v>
      </c>
      <c r="H448" s="43" t="s">
        <v>207</v>
      </c>
      <c r="I448" s="44">
        <v>45432</v>
      </c>
      <c r="J448" s="44">
        <v>45617</v>
      </c>
      <c r="K448" s="45">
        <v>11</v>
      </c>
      <c r="L448" s="45">
        <v>690.26700000000005</v>
      </c>
      <c r="M448" s="45">
        <v>1895.24</v>
      </c>
      <c r="N448" s="45">
        <v>3</v>
      </c>
      <c r="O448" s="45">
        <v>194.36850000000001</v>
      </c>
      <c r="P448" s="62">
        <f t="shared" si="7"/>
        <v>14</v>
      </c>
    </row>
    <row r="449" spans="1:16" x14ac:dyDescent="0.25">
      <c r="A449" s="43" t="s">
        <v>200</v>
      </c>
      <c r="B449" s="43" t="s">
        <v>291</v>
      </c>
      <c r="C449" s="43" t="s">
        <v>292</v>
      </c>
      <c r="D449" s="43" t="s">
        <v>370</v>
      </c>
      <c r="E449" s="43" t="s">
        <v>388</v>
      </c>
      <c r="F449" s="43" t="s">
        <v>286</v>
      </c>
      <c r="G449" s="43" t="s">
        <v>259</v>
      </c>
      <c r="H449" s="43" t="s">
        <v>207</v>
      </c>
      <c r="I449" s="44">
        <v>45432</v>
      </c>
      <c r="J449" s="44">
        <v>45608</v>
      </c>
      <c r="K449" s="45">
        <v>5</v>
      </c>
      <c r="L449" s="45">
        <v>307.935</v>
      </c>
      <c r="M449" s="45">
        <v>852.85</v>
      </c>
      <c r="N449" s="45">
        <v>0</v>
      </c>
      <c r="O449" s="45">
        <v>0</v>
      </c>
      <c r="P449" s="62">
        <f t="shared" si="7"/>
        <v>5</v>
      </c>
    </row>
    <row r="450" spans="1:16" x14ac:dyDescent="0.25">
      <c r="A450" s="43" t="s">
        <v>200</v>
      </c>
      <c r="B450" s="43" t="s">
        <v>291</v>
      </c>
      <c r="C450" s="43" t="s">
        <v>292</v>
      </c>
      <c r="D450" s="43" t="s">
        <v>370</v>
      </c>
      <c r="E450" s="43" t="s">
        <v>388</v>
      </c>
      <c r="F450" s="43" t="s">
        <v>286</v>
      </c>
      <c r="G450" s="43" t="s">
        <v>296</v>
      </c>
      <c r="H450" s="43" t="s">
        <v>207</v>
      </c>
      <c r="I450" s="44">
        <v>45432</v>
      </c>
      <c r="J450" s="44">
        <v>45617</v>
      </c>
      <c r="K450" s="45">
        <v>4</v>
      </c>
      <c r="L450" s="45">
        <v>246.34800000000001</v>
      </c>
      <c r="M450" s="45">
        <v>644.38</v>
      </c>
      <c r="N450" s="45">
        <v>2</v>
      </c>
      <c r="O450" s="45">
        <v>129.57900000000001</v>
      </c>
      <c r="P450" s="62">
        <f t="shared" si="7"/>
        <v>6</v>
      </c>
    </row>
    <row r="451" spans="1:16" x14ac:dyDescent="0.25">
      <c r="A451" s="43" t="s">
        <v>200</v>
      </c>
      <c r="B451" s="43" t="s">
        <v>291</v>
      </c>
      <c r="C451" s="43" t="s">
        <v>292</v>
      </c>
      <c r="D451" s="43" t="s">
        <v>370</v>
      </c>
      <c r="E451" s="43" t="s">
        <v>389</v>
      </c>
      <c r="F451" s="43" t="s">
        <v>390</v>
      </c>
      <c r="G451" s="43" t="s">
        <v>232</v>
      </c>
      <c r="H451" s="43" t="s">
        <v>218</v>
      </c>
      <c r="I451" s="44">
        <v>45591</v>
      </c>
      <c r="J451" s="44">
        <v>45610</v>
      </c>
      <c r="K451" s="45">
        <v>8</v>
      </c>
      <c r="L451" s="45">
        <v>492.69600000000003</v>
      </c>
      <c r="M451" s="45">
        <v>1383.53</v>
      </c>
      <c r="N451" s="45">
        <v>0</v>
      </c>
      <c r="O451" s="45">
        <v>0</v>
      </c>
      <c r="P451" s="62">
        <f t="shared" si="7"/>
        <v>8</v>
      </c>
    </row>
    <row r="452" spans="1:16" x14ac:dyDescent="0.25">
      <c r="A452" s="43" t="s">
        <v>200</v>
      </c>
      <c r="B452" s="43" t="s">
        <v>291</v>
      </c>
      <c r="C452" s="43" t="s">
        <v>292</v>
      </c>
      <c r="D452" s="43" t="s">
        <v>370</v>
      </c>
      <c r="E452" s="43" t="s">
        <v>389</v>
      </c>
      <c r="F452" s="43" t="s">
        <v>390</v>
      </c>
      <c r="G452" s="43" t="s">
        <v>233</v>
      </c>
      <c r="H452" s="43" t="s">
        <v>218</v>
      </c>
      <c r="I452" s="44">
        <v>45590</v>
      </c>
      <c r="J452" s="44">
        <v>45610</v>
      </c>
      <c r="K452" s="45">
        <v>11</v>
      </c>
      <c r="L452" s="45">
        <v>677.45699999999999</v>
      </c>
      <c r="M452" s="45">
        <v>1876.27</v>
      </c>
      <c r="N452" s="45">
        <v>1</v>
      </c>
      <c r="O452" s="45">
        <v>61.587000000000003</v>
      </c>
      <c r="P452" s="62">
        <f t="shared" si="7"/>
        <v>12</v>
      </c>
    </row>
    <row r="453" spans="1:16" x14ac:dyDescent="0.25">
      <c r="A453" s="43" t="s">
        <v>200</v>
      </c>
      <c r="B453" s="43" t="s">
        <v>291</v>
      </c>
      <c r="C453" s="43" t="s">
        <v>292</v>
      </c>
      <c r="D453" s="43" t="s">
        <v>370</v>
      </c>
      <c r="E453" s="43" t="s">
        <v>389</v>
      </c>
      <c r="F453" s="43" t="s">
        <v>390</v>
      </c>
      <c r="G453" s="43" t="s">
        <v>234</v>
      </c>
      <c r="H453" s="43" t="s">
        <v>218</v>
      </c>
      <c r="I453" s="44">
        <v>45591</v>
      </c>
      <c r="J453" s="44">
        <v>45611</v>
      </c>
      <c r="K453" s="45">
        <v>8</v>
      </c>
      <c r="L453" s="45">
        <v>492.69600000000003</v>
      </c>
      <c r="M453" s="45">
        <v>1364.59</v>
      </c>
      <c r="N453" s="45">
        <v>0</v>
      </c>
      <c r="O453" s="45">
        <v>0</v>
      </c>
      <c r="P453" s="62">
        <f t="shared" si="7"/>
        <v>8</v>
      </c>
    </row>
    <row r="454" spans="1:16" x14ac:dyDescent="0.25">
      <c r="A454" s="43" t="s">
        <v>200</v>
      </c>
      <c r="B454" s="43" t="s">
        <v>291</v>
      </c>
      <c r="C454" s="43" t="s">
        <v>292</v>
      </c>
      <c r="D454" s="43" t="s">
        <v>370</v>
      </c>
      <c r="E454" s="43" t="s">
        <v>389</v>
      </c>
      <c r="F454" s="43" t="s">
        <v>390</v>
      </c>
      <c r="G454" s="43" t="s">
        <v>259</v>
      </c>
      <c r="H454" s="43" t="s">
        <v>218</v>
      </c>
      <c r="I454" s="44">
        <v>45591</v>
      </c>
      <c r="J454" s="44">
        <v>45591</v>
      </c>
      <c r="K454" s="45">
        <v>3</v>
      </c>
      <c r="L454" s="45">
        <v>184.761</v>
      </c>
      <c r="M454" s="45">
        <v>511.73</v>
      </c>
      <c r="N454" s="45">
        <v>0</v>
      </c>
      <c r="O454" s="45">
        <v>0</v>
      </c>
      <c r="P454" s="62">
        <f t="shared" si="7"/>
        <v>3</v>
      </c>
    </row>
    <row r="455" spans="1:16" x14ac:dyDescent="0.25">
      <c r="A455" s="43" t="s">
        <v>200</v>
      </c>
      <c r="B455" s="43" t="s">
        <v>291</v>
      </c>
      <c r="C455" s="43" t="s">
        <v>292</v>
      </c>
      <c r="D455" s="43" t="s">
        <v>370</v>
      </c>
      <c r="E455" s="43" t="s">
        <v>389</v>
      </c>
      <c r="F455" s="43" t="s">
        <v>390</v>
      </c>
      <c r="G455" s="43" t="s">
        <v>296</v>
      </c>
      <c r="H455" s="43" t="s">
        <v>218</v>
      </c>
      <c r="I455" s="44">
        <v>45590</v>
      </c>
      <c r="J455" s="44">
        <v>45611</v>
      </c>
      <c r="K455" s="45">
        <v>4</v>
      </c>
      <c r="L455" s="45">
        <v>246.34800000000001</v>
      </c>
      <c r="M455" s="45">
        <v>682.28</v>
      </c>
      <c r="N455" s="45">
        <v>0</v>
      </c>
      <c r="O455" s="45">
        <v>0</v>
      </c>
      <c r="P455" s="62">
        <f t="shared" si="7"/>
        <v>4</v>
      </c>
    </row>
    <row r="456" spans="1:16" x14ac:dyDescent="0.25">
      <c r="A456" s="43" t="s">
        <v>200</v>
      </c>
      <c r="B456" s="43" t="s">
        <v>291</v>
      </c>
      <c r="C456" s="43" t="s">
        <v>292</v>
      </c>
      <c r="D456" s="43" t="s">
        <v>370</v>
      </c>
      <c r="E456" s="43" t="s">
        <v>391</v>
      </c>
      <c r="F456" s="43" t="s">
        <v>286</v>
      </c>
      <c r="G456" s="43" t="s">
        <v>232</v>
      </c>
      <c r="H456" s="43" t="s">
        <v>349</v>
      </c>
      <c r="I456" s="44">
        <v>45593</v>
      </c>
      <c r="J456" s="44">
        <v>45643</v>
      </c>
      <c r="K456" s="45">
        <v>4</v>
      </c>
      <c r="L456" s="45">
        <v>249.29429999999999</v>
      </c>
      <c r="M456" s="45">
        <v>720.2</v>
      </c>
      <c r="N456" s="45">
        <v>4</v>
      </c>
      <c r="O456" s="45">
        <v>253.00919999999999</v>
      </c>
      <c r="P456" s="62">
        <f t="shared" ref="P456:P519" si="8">K456+N456</f>
        <v>8</v>
      </c>
    </row>
    <row r="457" spans="1:16" x14ac:dyDescent="0.25">
      <c r="A457" s="43" t="s">
        <v>200</v>
      </c>
      <c r="B457" s="43" t="s">
        <v>291</v>
      </c>
      <c r="C457" s="43" t="s">
        <v>292</v>
      </c>
      <c r="D457" s="43" t="s">
        <v>370</v>
      </c>
      <c r="E457" s="43" t="s">
        <v>391</v>
      </c>
      <c r="F457" s="43" t="s">
        <v>286</v>
      </c>
      <c r="G457" s="43" t="s">
        <v>233</v>
      </c>
      <c r="H457" s="43" t="s">
        <v>349</v>
      </c>
      <c r="I457" s="44">
        <v>45593</v>
      </c>
      <c r="J457" s="44">
        <v>45647</v>
      </c>
      <c r="K457" s="45">
        <v>4</v>
      </c>
      <c r="L457" s="45">
        <v>249.2097</v>
      </c>
      <c r="M457" s="45">
        <v>701.24</v>
      </c>
      <c r="N457" s="45">
        <v>6</v>
      </c>
      <c r="O457" s="45">
        <v>379.47120000000001</v>
      </c>
      <c r="P457" s="62">
        <f t="shared" si="8"/>
        <v>10</v>
      </c>
    </row>
    <row r="458" spans="1:16" x14ac:dyDescent="0.25">
      <c r="A458" s="43" t="s">
        <v>200</v>
      </c>
      <c r="B458" s="43" t="s">
        <v>291</v>
      </c>
      <c r="C458" s="43" t="s">
        <v>292</v>
      </c>
      <c r="D458" s="43" t="s">
        <v>370</v>
      </c>
      <c r="E458" s="43" t="s">
        <v>391</v>
      </c>
      <c r="F458" s="43" t="s">
        <v>286</v>
      </c>
      <c r="G458" s="43" t="s">
        <v>234</v>
      </c>
      <c r="H458" s="43" t="s">
        <v>349</v>
      </c>
      <c r="I458" s="44">
        <v>45593</v>
      </c>
      <c r="J458" s="44">
        <v>45643</v>
      </c>
      <c r="K458" s="45">
        <v>0</v>
      </c>
      <c r="L458" s="45">
        <v>0</v>
      </c>
      <c r="M458" s="45">
        <v>0</v>
      </c>
      <c r="N458" s="45">
        <v>4</v>
      </c>
      <c r="O458" s="45">
        <v>246.34800000000001</v>
      </c>
      <c r="P458" s="62">
        <f t="shared" si="8"/>
        <v>4</v>
      </c>
    </row>
    <row r="459" spans="1:16" x14ac:dyDescent="0.25">
      <c r="A459" s="43" t="s">
        <v>200</v>
      </c>
      <c r="B459" s="43" t="s">
        <v>291</v>
      </c>
      <c r="C459" s="43" t="s">
        <v>292</v>
      </c>
      <c r="D459" s="43" t="s">
        <v>370</v>
      </c>
      <c r="E459" s="43" t="s">
        <v>391</v>
      </c>
      <c r="F459" s="43" t="s">
        <v>286</v>
      </c>
      <c r="G459" s="43" t="s">
        <v>259</v>
      </c>
      <c r="H459" s="43" t="s">
        <v>349</v>
      </c>
      <c r="I459" s="44">
        <v>45593</v>
      </c>
      <c r="J459" s="44">
        <v>45593</v>
      </c>
      <c r="K459" s="45">
        <v>0</v>
      </c>
      <c r="L459" s="45">
        <v>0</v>
      </c>
      <c r="M459" s="45">
        <v>0</v>
      </c>
      <c r="N459" s="45">
        <v>2</v>
      </c>
      <c r="O459" s="45">
        <v>123.17400000000001</v>
      </c>
      <c r="P459" s="62">
        <f t="shared" si="8"/>
        <v>2</v>
      </c>
    </row>
    <row r="460" spans="1:16" x14ac:dyDescent="0.25">
      <c r="A460" s="43" t="s">
        <v>200</v>
      </c>
      <c r="B460" s="43" t="s">
        <v>291</v>
      </c>
      <c r="C460" s="43" t="s">
        <v>292</v>
      </c>
      <c r="D460" s="43" t="s">
        <v>370</v>
      </c>
      <c r="E460" s="43" t="s">
        <v>391</v>
      </c>
      <c r="F460" s="43" t="s">
        <v>286</v>
      </c>
      <c r="G460" s="43" t="s">
        <v>296</v>
      </c>
      <c r="H460" s="43" t="s">
        <v>349</v>
      </c>
      <c r="I460" s="44">
        <v>45593</v>
      </c>
      <c r="J460" s="44">
        <v>45593</v>
      </c>
      <c r="K460" s="45">
        <v>0</v>
      </c>
      <c r="L460" s="45">
        <v>0</v>
      </c>
      <c r="M460" s="45">
        <v>0</v>
      </c>
      <c r="N460" s="45">
        <v>1</v>
      </c>
      <c r="O460" s="45">
        <v>61.587000000000003</v>
      </c>
      <c r="P460" s="62">
        <f t="shared" si="8"/>
        <v>1</v>
      </c>
    </row>
    <row r="461" spans="1:16" x14ac:dyDescent="0.25">
      <c r="A461" s="43" t="s">
        <v>200</v>
      </c>
      <c r="B461" s="43" t="s">
        <v>291</v>
      </c>
      <c r="C461" s="43" t="s">
        <v>292</v>
      </c>
      <c r="D461" s="43" t="s">
        <v>370</v>
      </c>
      <c r="E461" s="43" t="s">
        <v>392</v>
      </c>
      <c r="F461" s="43" t="s">
        <v>286</v>
      </c>
      <c r="G461" s="43" t="s">
        <v>232</v>
      </c>
      <c r="H461" s="43" t="s">
        <v>207</v>
      </c>
      <c r="I461" s="44">
        <v>45591</v>
      </c>
      <c r="J461" s="44">
        <v>45611</v>
      </c>
      <c r="K461" s="45">
        <v>8</v>
      </c>
      <c r="L461" s="45">
        <v>492.69600000000003</v>
      </c>
      <c r="M461" s="45">
        <v>1383.54</v>
      </c>
      <c r="N461" s="45">
        <v>0</v>
      </c>
      <c r="O461" s="45">
        <v>0</v>
      </c>
      <c r="P461" s="62">
        <f t="shared" si="8"/>
        <v>8</v>
      </c>
    </row>
    <row r="462" spans="1:16" x14ac:dyDescent="0.25">
      <c r="A462" s="43" t="s">
        <v>200</v>
      </c>
      <c r="B462" s="43" t="s">
        <v>291</v>
      </c>
      <c r="C462" s="43" t="s">
        <v>292</v>
      </c>
      <c r="D462" s="43" t="s">
        <v>370</v>
      </c>
      <c r="E462" s="43" t="s">
        <v>392</v>
      </c>
      <c r="F462" s="43" t="s">
        <v>286</v>
      </c>
      <c r="G462" s="43" t="s">
        <v>233</v>
      </c>
      <c r="H462" s="43" t="s">
        <v>207</v>
      </c>
      <c r="I462" s="44">
        <v>45591</v>
      </c>
      <c r="J462" s="44">
        <v>45610</v>
      </c>
      <c r="K462" s="45">
        <v>8</v>
      </c>
      <c r="L462" s="45">
        <v>492.69600000000003</v>
      </c>
      <c r="M462" s="45">
        <v>1383.56</v>
      </c>
      <c r="N462" s="45">
        <v>1</v>
      </c>
      <c r="O462" s="45">
        <v>61.587000000000003</v>
      </c>
      <c r="P462" s="62">
        <f t="shared" si="8"/>
        <v>9</v>
      </c>
    </row>
    <row r="463" spans="1:16" x14ac:dyDescent="0.25">
      <c r="A463" s="43" t="s">
        <v>200</v>
      </c>
      <c r="B463" s="43" t="s">
        <v>291</v>
      </c>
      <c r="C463" s="43" t="s">
        <v>292</v>
      </c>
      <c r="D463" s="43" t="s">
        <v>370</v>
      </c>
      <c r="E463" s="43" t="s">
        <v>392</v>
      </c>
      <c r="F463" s="43" t="s">
        <v>286</v>
      </c>
      <c r="G463" s="43" t="s">
        <v>234</v>
      </c>
      <c r="H463" s="43" t="s">
        <v>207</v>
      </c>
      <c r="I463" s="44">
        <v>45591</v>
      </c>
      <c r="J463" s="44">
        <v>45608</v>
      </c>
      <c r="K463" s="45">
        <v>5</v>
      </c>
      <c r="L463" s="45">
        <v>307.935</v>
      </c>
      <c r="M463" s="45">
        <v>852.86</v>
      </c>
      <c r="N463" s="45">
        <v>0</v>
      </c>
      <c r="O463" s="45">
        <v>0</v>
      </c>
      <c r="P463" s="62">
        <f t="shared" si="8"/>
        <v>5</v>
      </c>
    </row>
    <row r="464" spans="1:16" x14ac:dyDescent="0.25">
      <c r="A464" s="43" t="s">
        <v>200</v>
      </c>
      <c r="B464" s="43" t="s">
        <v>291</v>
      </c>
      <c r="C464" s="43" t="s">
        <v>292</v>
      </c>
      <c r="D464" s="43" t="s">
        <v>370</v>
      </c>
      <c r="E464" s="43" t="s">
        <v>392</v>
      </c>
      <c r="F464" s="43" t="s">
        <v>286</v>
      </c>
      <c r="G464" s="43" t="s">
        <v>259</v>
      </c>
      <c r="H464" s="43" t="s">
        <v>207</v>
      </c>
      <c r="I464" s="44">
        <v>45591</v>
      </c>
      <c r="J464" s="44">
        <v>45609</v>
      </c>
      <c r="K464" s="45">
        <v>5</v>
      </c>
      <c r="L464" s="45">
        <v>307.935</v>
      </c>
      <c r="M464" s="45">
        <v>852.85</v>
      </c>
      <c r="N464" s="45">
        <v>0</v>
      </c>
      <c r="O464" s="45">
        <v>0</v>
      </c>
      <c r="P464" s="62">
        <f t="shared" si="8"/>
        <v>5</v>
      </c>
    </row>
    <row r="465" spans="1:16" x14ac:dyDescent="0.25">
      <c r="A465" s="43" t="s">
        <v>200</v>
      </c>
      <c r="B465" s="43" t="s">
        <v>291</v>
      </c>
      <c r="C465" s="43" t="s">
        <v>292</v>
      </c>
      <c r="D465" s="43" t="s">
        <v>370</v>
      </c>
      <c r="E465" s="43" t="s">
        <v>392</v>
      </c>
      <c r="F465" s="43" t="s">
        <v>286</v>
      </c>
      <c r="G465" s="43" t="s">
        <v>296</v>
      </c>
      <c r="H465" s="43" t="s">
        <v>207</v>
      </c>
      <c r="I465" s="44">
        <v>45590</v>
      </c>
      <c r="J465" s="44">
        <v>45590</v>
      </c>
      <c r="K465" s="45">
        <v>1</v>
      </c>
      <c r="L465" s="45">
        <v>61.587000000000003</v>
      </c>
      <c r="M465" s="45">
        <v>170.57</v>
      </c>
      <c r="N465" s="45">
        <v>0</v>
      </c>
      <c r="O465" s="45">
        <v>0</v>
      </c>
      <c r="P465" s="62">
        <f t="shared" si="8"/>
        <v>1</v>
      </c>
    </row>
    <row r="466" spans="1:16" x14ac:dyDescent="0.25">
      <c r="A466" s="43" t="s">
        <v>200</v>
      </c>
      <c r="B466" s="43" t="s">
        <v>291</v>
      </c>
      <c r="C466" s="43" t="s">
        <v>292</v>
      </c>
      <c r="D466" s="43" t="s">
        <v>370</v>
      </c>
      <c r="E466" s="43" t="s">
        <v>393</v>
      </c>
      <c r="F466" s="43" t="s">
        <v>344</v>
      </c>
      <c r="G466" s="43" t="s">
        <v>233</v>
      </c>
      <c r="H466" s="43" t="s">
        <v>207</v>
      </c>
      <c r="I466" s="44">
        <v>45590</v>
      </c>
      <c r="J466" s="44">
        <v>45617</v>
      </c>
      <c r="K466" s="45">
        <v>1</v>
      </c>
      <c r="L466" s="45">
        <v>76.983800000000002</v>
      </c>
      <c r="M466" s="45">
        <v>204.86</v>
      </c>
      <c r="N466" s="45">
        <v>0</v>
      </c>
      <c r="O466" s="45">
        <v>0</v>
      </c>
      <c r="P466" s="62">
        <f t="shared" si="8"/>
        <v>1</v>
      </c>
    </row>
    <row r="467" spans="1:16" x14ac:dyDescent="0.25">
      <c r="A467" s="43" t="s">
        <v>200</v>
      </c>
      <c r="B467" s="43" t="s">
        <v>291</v>
      </c>
      <c r="C467" s="43" t="s">
        <v>292</v>
      </c>
      <c r="D467" s="43" t="s">
        <v>370</v>
      </c>
      <c r="E467" s="43" t="s">
        <v>393</v>
      </c>
      <c r="F467" s="43" t="s">
        <v>344</v>
      </c>
      <c r="G467" s="43" t="s">
        <v>259</v>
      </c>
      <c r="H467" s="43" t="s">
        <v>207</v>
      </c>
      <c r="I467" s="44">
        <v>45590</v>
      </c>
      <c r="J467" s="44">
        <v>45590</v>
      </c>
      <c r="K467" s="45">
        <v>1</v>
      </c>
      <c r="L467" s="45">
        <v>76.983800000000002</v>
      </c>
      <c r="M467" s="45">
        <v>227.62</v>
      </c>
      <c r="N467" s="45">
        <v>0</v>
      </c>
      <c r="O467" s="45">
        <v>0</v>
      </c>
      <c r="P467" s="62">
        <f t="shared" si="8"/>
        <v>1</v>
      </c>
    </row>
    <row r="468" spans="1:16" x14ac:dyDescent="0.25">
      <c r="A468" s="43" t="s">
        <v>200</v>
      </c>
      <c r="B468" s="43" t="s">
        <v>291</v>
      </c>
      <c r="C468" s="43" t="s">
        <v>292</v>
      </c>
      <c r="D468" s="43" t="s">
        <v>370</v>
      </c>
      <c r="E468" s="43" t="s">
        <v>393</v>
      </c>
      <c r="F468" s="43" t="s">
        <v>344</v>
      </c>
      <c r="G468" s="43" t="s">
        <v>296</v>
      </c>
      <c r="H468" s="43" t="s">
        <v>207</v>
      </c>
      <c r="I468" s="44">
        <v>45590</v>
      </c>
      <c r="J468" s="44">
        <v>45590</v>
      </c>
      <c r="K468" s="45">
        <v>1</v>
      </c>
      <c r="L468" s="45">
        <v>76.983800000000002</v>
      </c>
      <c r="M468" s="45">
        <v>204.86</v>
      </c>
      <c r="N468" s="45">
        <v>0</v>
      </c>
      <c r="O468" s="45">
        <v>0</v>
      </c>
      <c r="P468" s="62">
        <f t="shared" si="8"/>
        <v>1</v>
      </c>
    </row>
    <row r="469" spans="1:16" x14ac:dyDescent="0.25">
      <c r="A469" s="43" t="s">
        <v>200</v>
      </c>
      <c r="B469" s="43" t="s">
        <v>291</v>
      </c>
      <c r="C469" s="43" t="s">
        <v>292</v>
      </c>
      <c r="D469" s="43" t="s">
        <v>370</v>
      </c>
      <c r="E469" s="43" t="s">
        <v>394</v>
      </c>
      <c r="F469" s="43" t="s">
        <v>344</v>
      </c>
      <c r="G469" s="43" t="s">
        <v>232</v>
      </c>
      <c r="H469" s="43" t="s">
        <v>207</v>
      </c>
      <c r="I469" s="44">
        <v>45432</v>
      </c>
      <c r="J469" s="44">
        <v>45590</v>
      </c>
      <c r="K469" s="45">
        <v>0</v>
      </c>
      <c r="L469" s="45">
        <v>0</v>
      </c>
      <c r="M469" s="45">
        <v>0</v>
      </c>
      <c r="N469" s="45">
        <v>6</v>
      </c>
      <c r="O469" s="45">
        <v>461.90280000000001</v>
      </c>
      <c r="P469" s="62">
        <f t="shared" si="8"/>
        <v>6</v>
      </c>
    </row>
    <row r="470" spans="1:16" x14ac:dyDescent="0.25">
      <c r="A470" s="43" t="s">
        <v>200</v>
      </c>
      <c r="B470" s="43" t="s">
        <v>291</v>
      </c>
      <c r="C470" s="43" t="s">
        <v>292</v>
      </c>
      <c r="D470" s="43" t="s">
        <v>370</v>
      </c>
      <c r="E470" s="43" t="s">
        <v>394</v>
      </c>
      <c r="F470" s="43" t="s">
        <v>344</v>
      </c>
      <c r="G470" s="43" t="s">
        <v>233</v>
      </c>
      <c r="H470" s="43" t="s">
        <v>207</v>
      </c>
      <c r="I470" s="44">
        <v>45432</v>
      </c>
      <c r="J470" s="44">
        <v>45590</v>
      </c>
      <c r="K470" s="45">
        <v>0</v>
      </c>
      <c r="L470" s="45">
        <v>0</v>
      </c>
      <c r="M470" s="45">
        <v>0</v>
      </c>
      <c r="N470" s="45">
        <v>6</v>
      </c>
      <c r="O470" s="45">
        <v>461.90280000000001</v>
      </c>
      <c r="P470" s="62">
        <f t="shared" si="8"/>
        <v>6</v>
      </c>
    </row>
    <row r="471" spans="1:16" x14ac:dyDescent="0.25">
      <c r="A471" s="43" t="s">
        <v>200</v>
      </c>
      <c r="B471" s="43" t="s">
        <v>291</v>
      </c>
      <c r="C471" s="43" t="s">
        <v>292</v>
      </c>
      <c r="D471" s="43" t="s">
        <v>370</v>
      </c>
      <c r="E471" s="43" t="s">
        <v>394</v>
      </c>
      <c r="F471" s="43" t="s">
        <v>344</v>
      </c>
      <c r="G471" s="43" t="s">
        <v>234</v>
      </c>
      <c r="H471" s="43" t="s">
        <v>207</v>
      </c>
      <c r="I471" s="44">
        <v>45432</v>
      </c>
      <c r="J471" s="44">
        <v>45590</v>
      </c>
      <c r="K471" s="45">
        <v>0</v>
      </c>
      <c r="L471" s="45">
        <v>0</v>
      </c>
      <c r="M471" s="45">
        <v>0</v>
      </c>
      <c r="N471" s="45">
        <v>5</v>
      </c>
      <c r="O471" s="45">
        <v>384.91899999999998</v>
      </c>
      <c r="P471" s="62">
        <f t="shared" si="8"/>
        <v>5</v>
      </c>
    </row>
    <row r="472" spans="1:16" x14ac:dyDescent="0.25">
      <c r="A472" s="43" t="s">
        <v>200</v>
      </c>
      <c r="B472" s="43" t="s">
        <v>291</v>
      </c>
      <c r="C472" s="43" t="s">
        <v>292</v>
      </c>
      <c r="D472" s="43" t="s">
        <v>370</v>
      </c>
      <c r="E472" s="43" t="s">
        <v>394</v>
      </c>
      <c r="F472" s="43" t="s">
        <v>344</v>
      </c>
      <c r="G472" s="43" t="s">
        <v>259</v>
      </c>
      <c r="H472" s="43" t="s">
        <v>207</v>
      </c>
      <c r="I472" s="44">
        <v>45432</v>
      </c>
      <c r="J472" s="44">
        <v>45590</v>
      </c>
      <c r="K472" s="45">
        <v>0</v>
      </c>
      <c r="L472" s="45">
        <v>0</v>
      </c>
      <c r="M472" s="45">
        <v>0</v>
      </c>
      <c r="N472" s="45">
        <v>3</v>
      </c>
      <c r="O472" s="45">
        <v>230.95140000000001</v>
      </c>
      <c r="P472" s="62">
        <f t="shared" si="8"/>
        <v>3</v>
      </c>
    </row>
    <row r="473" spans="1:16" x14ac:dyDescent="0.25">
      <c r="A473" s="43" t="s">
        <v>200</v>
      </c>
      <c r="B473" s="43" t="s">
        <v>291</v>
      </c>
      <c r="C473" s="43" t="s">
        <v>292</v>
      </c>
      <c r="D473" s="43" t="s">
        <v>370</v>
      </c>
      <c r="E473" s="43" t="s">
        <v>394</v>
      </c>
      <c r="F473" s="43" t="s">
        <v>344</v>
      </c>
      <c r="G473" s="43" t="s">
        <v>296</v>
      </c>
      <c r="H473" s="43" t="s">
        <v>207</v>
      </c>
      <c r="I473" s="44">
        <v>45432</v>
      </c>
      <c r="J473" s="44">
        <v>45590</v>
      </c>
      <c r="K473" s="45">
        <v>0</v>
      </c>
      <c r="L473" s="45">
        <v>0</v>
      </c>
      <c r="M473" s="45">
        <v>0</v>
      </c>
      <c r="N473" s="45">
        <v>3</v>
      </c>
      <c r="O473" s="45">
        <v>230.95140000000001</v>
      </c>
      <c r="P473" s="62">
        <f t="shared" si="8"/>
        <v>3</v>
      </c>
    </row>
    <row r="474" spans="1:16" x14ac:dyDescent="0.25">
      <c r="A474" s="43" t="s">
        <v>200</v>
      </c>
      <c r="B474" s="43" t="s">
        <v>291</v>
      </c>
      <c r="C474" s="43" t="s">
        <v>292</v>
      </c>
      <c r="D474" s="43" t="s">
        <v>370</v>
      </c>
      <c r="E474" s="43" t="s">
        <v>395</v>
      </c>
      <c r="F474" s="43" t="s">
        <v>372</v>
      </c>
      <c r="G474" s="43" t="s">
        <v>259</v>
      </c>
      <c r="H474" s="43" t="s">
        <v>349</v>
      </c>
      <c r="I474" s="44">
        <v>45590</v>
      </c>
      <c r="J474" s="44">
        <v>45590</v>
      </c>
      <c r="K474" s="45">
        <v>0</v>
      </c>
      <c r="L474" s="45">
        <v>0</v>
      </c>
      <c r="M474" s="45">
        <v>0</v>
      </c>
      <c r="N474" s="45">
        <v>1</v>
      </c>
      <c r="O474" s="45">
        <v>54.797899999999998</v>
      </c>
      <c r="P474" s="62">
        <f t="shared" si="8"/>
        <v>1</v>
      </c>
    </row>
    <row r="475" spans="1:16" x14ac:dyDescent="0.25">
      <c r="A475" s="43" t="s">
        <v>200</v>
      </c>
      <c r="B475" s="43" t="s">
        <v>291</v>
      </c>
      <c r="C475" s="43" t="s">
        <v>292</v>
      </c>
      <c r="D475" s="43" t="s">
        <v>370</v>
      </c>
      <c r="E475" s="43" t="s">
        <v>396</v>
      </c>
      <c r="F475" s="43" t="s">
        <v>304</v>
      </c>
      <c r="G475" s="43" t="s">
        <v>232</v>
      </c>
      <c r="H475" s="43" t="s">
        <v>207</v>
      </c>
      <c r="I475" s="44">
        <v>45593</v>
      </c>
      <c r="J475" s="44">
        <v>45646</v>
      </c>
      <c r="K475" s="45">
        <v>8</v>
      </c>
      <c r="L475" s="45">
        <v>419.64280000000002</v>
      </c>
      <c r="M475" s="45">
        <v>1142.76</v>
      </c>
      <c r="N475" s="45">
        <v>6</v>
      </c>
      <c r="O475" s="45">
        <v>320.22480000000002</v>
      </c>
      <c r="P475" s="62">
        <f t="shared" si="8"/>
        <v>14</v>
      </c>
    </row>
    <row r="476" spans="1:16" x14ac:dyDescent="0.25">
      <c r="A476" s="43" t="s">
        <v>200</v>
      </c>
      <c r="B476" s="43" t="s">
        <v>291</v>
      </c>
      <c r="C476" s="43" t="s">
        <v>292</v>
      </c>
      <c r="D476" s="43" t="s">
        <v>370</v>
      </c>
      <c r="E476" s="43" t="s">
        <v>396</v>
      </c>
      <c r="F476" s="43" t="s">
        <v>304</v>
      </c>
      <c r="G476" s="43" t="s">
        <v>233</v>
      </c>
      <c r="H476" s="43" t="s">
        <v>207</v>
      </c>
      <c r="I476" s="44">
        <v>45593</v>
      </c>
      <c r="J476" s="44">
        <v>45646</v>
      </c>
      <c r="K476" s="45">
        <v>13</v>
      </c>
      <c r="L476" s="45">
        <v>684.71929999999998</v>
      </c>
      <c r="M476" s="45">
        <v>1899.25</v>
      </c>
      <c r="N476" s="45">
        <v>6</v>
      </c>
      <c r="O476" s="45">
        <v>322.43700000000001</v>
      </c>
      <c r="P476" s="62">
        <f t="shared" si="8"/>
        <v>19</v>
      </c>
    </row>
    <row r="477" spans="1:16" x14ac:dyDescent="0.25">
      <c r="A477" s="43" t="s">
        <v>200</v>
      </c>
      <c r="B477" s="43" t="s">
        <v>291</v>
      </c>
      <c r="C477" s="43" t="s">
        <v>292</v>
      </c>
      <c r="D477" s="43" t="s">
        <v>370</v>
      </c>
      <c r="E477" s="43" t="s">
        <v>396</v>
      </c>
      <c r="F477" s="43" t="s">
        <v>304</v>
      </c>
      <c r="G477" s="43" t="s">
        <v>234</v>
      </c>
      <c r="H477" s="43" t="s">
        <v>207</v>
      </c>
      <c r="I477" s="44">
        <v>45593</v>
      </c>
      <c r="J477" s="44">
        <v>45646</v>
      </c>
      <c r="K477" s="45">
        <v>10</v>
      </c>
      <c r="L477" s="45">
        <v>527.61959999999999</v>
      </c>
      <c r="M477" s="45">
        <v>1512.98</v>
      </c>
      <c r="N477" s="45">
        <v>5</v>
      </c>
      <c r="O477" s="45">
        <v>268.90800000000002</v>
      </c>
      <c r="P477" s="62">
        <f t="shared" si="8"/>
        <v>15</v>
      </c>
    </row>
    <row r="478" spans="1:16" x14ac:dyDescent="0.25">
      <c r="A478" s="43" t="s">
        <v>200</v>
      </c>
      <c r="B478" s="43" t="s">
        <v>291</v>
      </c>
      <c r="C478" s="43" t="s">
        <v>292</v>
      </c>
      <c r="D478" s="43" t="s">
        <v>370</v>
      </c>
      <c r="E478" s="43" t="s">
        <v>396</v>
      </c>
      <c r="F478" s="43" t="s">
        <v>304</v>
      </c>
      <c r="G478" s="43" t="s">
        <v>296</v>
      </c>
      <c r="H478" s="43" t="s">
        <v>207</v>
      </c>
      <c r="I478" s="44">
        <v>45593</v>
      </c>
      <c r="J478" s="44">
        <v>45644</v>
      </c>
      <c r="K478" s="45">
        <v>1</v>
      </c>
      <c r="L478" s="45">
        <v>51.322600000000001</v>
      </c>
      <c r="M478" s="45">
        <v>160.94999999999999</v>
      </c>
      <c r="N478" s="45">
        <v>3</v>
      </c>
      <c r="O478" s="45">
        <v>156.63659999999999</v>
      </c>
      <c r="P478" s="62">
        <f t="shared" si="8"/>
        <v>4</v>
      </c>
    </row>
    <row r="479" spans="1:16" x14ac:dyDescent="0.25">
      <c r="A479" s="43" t="s">
        <v>200</v>
      </c>
      <c r="B479" s="43" t="s">
        <v>291</v>
      </c>
      <c r="C479" s="43" t="s">
        <v>292</v>
      </c>
      <c r="D479" s="43" t="s">
        <v>370</v>
      </c>
      <c r="E479" s="43" t="s">
        <v>397</v>
      </c>
      <c r="F479" s="43" t="s">
        <v>304</v>
      </c>
      <c r="G479" s="43" t="s">
        <v>232</v>
      </c>
      <c r="H479" s="43" t="s">
        <v>218</v>
      </c>
      <c r="I479" s="44">
        <v>45593</v>
      </c>
      <c r="J479" s="44">
        <v>45643</v>
      </c>
      <c r="K479" s="45">
        <v>5</v>
      </c>
      <c r="L479" s="45">
        <v>260.37950000000001</v>
      </c>
      <c r="M479" s="45">
        <v>740.37</v>
      </c>
      <c r="N479" s="45">
        <v>5</v>
      </c>
      <c r="O479" s="45">
        <v>263.52199999999999</v>
      </c>
      <c r="P479" s="62">
        <f t="shared" si="8"/>
        <v>10</v>
      </c>
    </row>
    <row r="480" spans="1:16" x14ac:dyDescent="0.25">
      <c r="A480" s="43" t="s">
        <v>200</v>
      </c>
      <c r="B480" s="43" t="s">
        <v>291</v>
      </c>
      <c r="C480" s="43" t="s">
        <v>292</v>
      </c>
      <c r="D480" s="43" t="s">
        <v>370</v>
      </c>
      <c r="E480" s="43" t="s">
        <v>397</v>
      </c>
      <c r="F480" s="43" t="s">
        <v>304</v>
      </c>
      <c r="G480" s="43" t="s">
        <v>233</v>
      </c>
      <c r="H480" s="43" t="s">
        <v>218</v>
      </c>
      <c r="I480" s="44">
        <v>45593</v>
      </c>
      <c r="J480" s="44">
        <v>45636</v>
      </c>
      <c r="K480" s="45">
        <v>3</v>
      </c>
      <c r="L480" s="45">
        <v>155.05719999999999</v>
      </c>
      <c r="M480" s="45">
        <v>434.58</v>
      </c>
      <c r="N480" s="45">
        <v>7</v>
      </c>
      <c r="O480" s="45">
        <v>366.17559999999997</v>
      </c>
      <c r="P480" s="62">
        <f t="shared" si="8"/>
        <v>10</v>
      </c>
    </row>
    <row r="481" spans="1:16" x14ac:dyDescent="0.25">
      <c r="A481" s="43" t="s">
        <v>200</v>
      </c>
      <c r="B481" s="43" t="s">
        <v>291</v>
      </c>
      <c r="C481" s="43" t="s">
        <v>292</v>
      </c>
      <c r="D481" s="43" t="s">
        <v>370</v>
      </c>
      <c r="E481" s="43" t="s">
        <v>397</v>
      </c>
      <c r="F481" s="43" t="s">
        <v>304</v>
      </c>
      <c r="G481" s="43" t="s">
        <v>234</v>
      </c>
      <c r="H481" s="43" t="s">
        <v>218</v>
      </c>
      <c r="I481" s="44">
        <v>45593</v>
      </c>
      <c r="J481" s="44">
        <v>45636</v>
      </c>
      <c r="K481" s="45">
        <v>1</v>
      </c>
      <c r="L481" s="45">
        <v>51.322600000000001</v>
      </c>
      <c r="M481" s="45">
        <v>144.86000000000001</v>
      </c>
      <c r="N481" s="45">
        <v>5</v>
      </c>
      <c r="O481" s="45">
        <v>259.28199999999998</v>
      </c>
      <c r="P481" s="62">
        <f t="shared" si="8"/>
        <v>6</v>
      </c>
    </row>
    <row r="482" spans="1:16" x14ac:dyDescent="0.25">
      <c r="A482" s="43" t="s">
        <v>200</v>
      </c>
      <c r="B482" s="43" t="s">
        <v>291</v>
      </c>
      <c r="C482" s="43" t="s">
        <v>292</v>
      </c>
      <c r="D482" s="43" t="s">
        <v>370</v>
      </c>
      <c r="E482" s="43" t="s">
        <v>397</v>
      </c>
      <c r="F482" s="43" t="s">
        <v>304</v>
      </c>
      <c r="G482" s="43" t="s">
        <v>259</v>
      </c>
      <c r="H482" s="43" t="s">
        <v>218</v>
      </c>
      <c r="I482" s="44">
        <v>45593</v>
      </c>
      <c r="J482" s="44">
        <v>45593</v>
      </c>
      <c r="K482" s="45">
        <v>1</v>
      </c>
      <c r="L482" s="45">
        <v>51.322600000000001</v>
      </c>
      <c r="M482" s="45">
        <v>144.86000000000001</v>
      </c>
      <c r="N482" s="45">
        <v>1</v>
      </c>
      <c r="O482" s="45">
        <v>51.322600000000001</v>
      </c>
      <c r="P482" s="62">
        <f t="shared" si="8"/>
        <v>2</v>
      </c>
    </row>
    <row r="483" spans="1:16" x14ac:dyDescent="0.25">
      <c r="A483" s="43" t="s">
        <v>200</v>
      </c>
      <c r="B483" s="43" t="s">
        <v>291</v>
      </c>
      <c r="C483" s="43" t="s">
        <v>292</v>
      </c>
      <c r="D483" s="43" t="s">
        <v>370</v>
      </c>
      <c r="E483" s="43" t="s">
        <v>397</v>
      </c>
      <c r="F483" s="43" t="s">
        <v>304</v>
      </c>
      <c r="G483" s="43" t="s">
        <v>296</v>
      </c>
      <c r="H483" s="43" t="s">
        <v>218</v>
      </c>
      <c r="I483" s="44">
        <v>45593</v>
      </c>
      <c r="J483" s="44">
        <v>45593</v>
      </c>
      <c r="K483" s="45">
        <v>0</v>
      </c>
      <c r="L483" s="45">
        <v>0</v>
      </c>
      <c r="M483" s="45">
        <v>0</v>
      </c>
      <c r="N483" s="45">
        <v>3</v>
      </c>
      <c r="O483" s="45">
        <v>153.96780000000001</v>
      </c>
      <c r="P483" s="62">
        <f t="shared" si="8"/>
        <v>3</v>
      </c>
    </row>
    <row r="484" spans="1:16" x14ac:dyDescent="0.25">
      <c r="A484" s="43" t="s">
        <v>200</v>
      </c>
      <c r="B484" s="43" t="s">
        <v>291</v>
      </c>
      <c r="C484" s="43" t="s">
        <v>292</v>
      </c>
      <c r="D484" s="43" t="s">
        <v>370</v>
      </c>
      <c r="E484" s="43" t="s">
        <v>398</v>
      </c>
      <c r="F484" s="43" t="s">
        <v>354</v>
      </c>
      <c r="G484" s="43" t="s">
        <v>232</v>
      </c>
      <c r="H484" s="43" t="s">
        <v>207</v>
      </c>
      <c r="I484" s="44">
        <v>45591</v>
      </c>
      <c r="J484" s="44">
        <v>45617</v>
      </c>
      <c r="K484" s="45">
        <v>18</v>
      </c>
      <c r="L484" s="45">
        <v>983.04570000000001</v>
      </c>
      <c r="M484" s="45">
        <v>2639.61</v>
      </c>
      <c r="N484" s="45">
        <v>3</v>
      </c>
      <c r="O484" s="45">
        <v>172.0461</v>
      </c>
      <c r="P484" s="62">
        <f t="shared" si="8"/>
        <v>21</v>
      </c>
    </row>
    <row r="485" spans="1:16" x14ac:dyDescent="0.25">
      <c r="A485" s="43" t="s">
        <v>200</v>
      </c>
      <c r="B485" s="43" t="s">
        <v>291</v>
      </c>
      <c r="C485" s="43" t="s">
        <v>292</v>
      </c>
      <c r="D485" s="43" t="s">
        <v>370</v>
      </c>
      <c r="E485" s="43" t="s">
        <v>398</v>
      </c>
      <c r="F485" s="43" t="s">
        <v>354</v>
      </c>
      <c r="G485" s="43" t="s">
        <v>233</v>
      </c>
      <c r="H485" s="43" t="s">
        <v>207</v>
      </c>
      <c r="I485" s="44">
        <v>45591</v>
      </c>
      <c r="J485" s="44">
        <v>45617</v>
      </c>
      <c r="K485" s="45">
        <v>18</v>
      </c>
      <c r="L485" s="45">
        <v>985.63679999999999</v>
      </c>
      <c r="M485" s="45">
        <v>2615.5300000000002</v>
      </c>
      <c r="N485" s="45">
        <v>1</v>
      </c>
      <c r="O485" s="45">
        <v>57.386000000000003</v>
      </c>
      <c r="P485" s="62">
        <f t="shared" si="8"/>
        <v>19</v>
      </c>
    </row>
    <row r="486" spans="1:16" x14ac:dyDescent="0.25">
      <c r="A486" s="43" t="s">
        <v>200</v>
      </c>
      <c r="B486" s="43" t="s">
        <v>291</v>
      </c>
      <c r="C486" s="43" t="s">
        <v>292</v>
      </c>
      <c r="D486" s="43" t="s">
        <v>370</v>
      </c>
      <c r="E486" s="43" t="s">
        <v>398</v>
      </c>
      <c r="F486" s="43" t="s">
        <v>354</v>
      </c>
      <c r="G486" s="43" t="s">
        <v>234</v>
      </c>
      <c r="H486" s="43" t="s">
        <v>207</v>
      </c>
      <c r="I486" s="44">
        <v>45591</v>
      </c>
      <c r="J486" s="44">
        <v>45617</v>
      </c>
      <c r="K486" s="45">
        <v>8</v>
      </c>
      <c r="L486" s="45">
        <v>438.06079999999997</v>
      </c>
      <c r="M486" s="45">
        <v>1174.97</v>
      </c>
      <c r="N486" s="45">
        <v>9</v>
      </c>
      <c r="O486" s="45">
        <v>518.44500000000005</v>
      </c>
      <c r="P486" s="62">
        <f t="shared" si="8"/>
        <v>17</v>
      </c>
    </row>
    <row r="487" spans="1:16" x14ac:dyDescent="0.25">
      <c r="A487" s="43" t="s">
        <v>200</v>
      </c>
      <c r="B487" s="43" t="s">
        <v>291</v>
      </c>
      <c r="C487" s="43" t="s">
        <v>292</v>
      </c>
      <c r="D487" s="43" t="s">
        <v>370</v>
      </c>
      <c r="E487" s="43" t="s">
        <v>398</v>
      </c>
      <c r="F487" s="43" t="s">
        <v>354</v>
      </c>
      <c r="G487" s="43" t="s">
        <v>259</v>
      </c>
      <c r="H487" s="43" t="s">
        <v>207</v>
      </c>
      <c r="I487" s="44">
        <v>45590</v>
      </c>
      <c r="J487" s="44">
        <v>45609</v>
      </c>
      <c r="K487" s="45">
        <v>6</v>
      </c>
      <c r="L487" s="45">
        <v>328.54559999999998</v>
      </c>
      <c r="M487" s="45">
        <v>869.16</v>
      </c>
      <c r="N487" s="45">
        <v>0</v>
      </c>
      <c r="O487" s="45">
        <v>0</v>
      </c>
      <c r="P487" s="62">
        <f t="shared" si="8"/>
        <v>6</v>
      </c>
    </row>
    <row r="488" spans="1:16" x14ac:dyDescent="0.25">
      <c r="A488" s="43" t="s">
        <v>200</v>
      </c>
      <c r="B488" s="43" t="s">
        <v>291</v>
      </c>
      <c r="C488" s="43" t="s">
        <v>292</v>
      </c>
      <c r="D488" s="43" t="s">
        <v>370</v>
      </c>
      <c r="E488" s="43" t="s">
        <v>399</v>
      </c>
      <c r="F488" s="43" t="s">
        <v>354</v>
      </c>
      <c r="G488" s="43" t="s">
        <v>232</v>
      </c>
      <c r="H488" s="43" t="s">
        <v>218</v>
      </c>
      <c r="I488" s="44">
        <v>45591</v>
      </c>
      <c r="J488" s="44">
        <v>45617</v>
      </c>
      <c r="K488" s="45">
        <v>0</v>
      </c>
      <c r="L488" s="45">
        <v>0</v>
      </c>
      <c r="M488" s="45">
        <v>0</v>
      </c>
      <c r="N488" s="45">
        <v>6</v>
      </c>
      <c r="O488" s="45">
        <v>345.63</v>
      </c>
      <c r="P488" s="62">
        <f t="shared" si="8"/>
        <v>6</v>
      </c>
    </row>
    <row r="489" spans="1:16" x14ac:dyDescent="0.25">
      <c r="A489" s="43" t="s">
        <v>200</v>
      </c>
      <c r="B489" s="43" t="s">
        <v>291</v>
      </c>
      <c r="C489" s="43" t="s">
        <v>292</v>
      </c>
      <c r="D489" s="43" t="s">
        <v>370</v>
      </c>
      <c r="E489" s="43" t="s">
        <v>399</v>
      </c>
      <c r="F489" s="43" t="s">
        <v>354</v>
      </c>
      <c r="G489" s="43" t="s">
        <v>233</v>
      </c>
      <c r="H489" s="43" t="s">
        <v>218</v>
      </c>
      <c r="I489" s="44">
        <v>45591</v>
      </c>
      <c r="J489" s="44">
        <v>45617</v>
      </c>
      <c r="K489" s="45">
        <v>0</v>
      </c>
      <c r="L489" s="45">
        <v>0</v>
      </c>
      <c r="M489" s="45">
        <v>0</v>
      </c>
      <c r="N489" s="45">
        <v>7</v>
      </c>
      <c r="O489" s="45">
        <v>403.23500000000001</v>
      </c>
      <c r="P489" s="62">
        <f t="shared" si="8"/>
        <v>7</v>
      </c>
    </row>
    <row r="490" spans="1:16" x14ac:dyDescent="0.25">
      <c r="A490" s="43" t="s">
        <v>200</v>
      </c>
      <c r="B490" s="43" t="s">
        <v>291</v>
      </c>
      <c r="C490" s="43" t="s">
        <v>292</v>
      </c>
      <c r="D490" s="43" t="s">
        <v>370</v>
      </c>
      <c r="E490" s="43" t="s">
        <v>399</v>
      </c>
      <c r="F490" s="43" t="s">
        <v>354</v>
      </c>
      <c r="G490" s="43" t="s">
        <v>296</v>
      </c>
      <c r="H490" s="43" t="s">
        <v>218</v>
      </c>
      <c r="I490" s="44">
        <v>45591</v>
      </c>
      <c r="J490" s="44">
        <v>45617</v>
      </c>
      <c r="K490" s="45">
        <v>0</v>
      </c>
      <c r="L490" s="45">
        <v>0</v>
      </c>
      <c r="M490" s="45">
        <v>0</v>
      </c>
      <c r="N490" s="45">
        <v>1</v>
      </c>
      <c r="O490" s="45">
        <v>56.655900000000003</v>
      </c>
      <c r="P490" s="62">
        <f t="shared" si="8"/>
        <v>1</v>
      </c>
    </row>
    <row r="491" spans="1:16" x14ac:dyDescent="0.25">
      <c r="A491" s="43" t="s">
        <v>200</v>
      </c>
      <c r="B491" s="43" t="s">
        <v>291</v>
      </c>
      <c r="C491" s="43" t="s">
        <v>292</v>
      </c>
      <c r="D491" s="43" t="s">
        <v>370</v>
      </c>
      <c r="E491" s="43" t="s">
        <v>400</v>
      </c>
      <c r="F491" s="43" t="s">
        <v>354</v>
      </c>
      <c r="G491" s="43" t="s">
        <v>232</v>
      </c>
      <c r="H491" s="43" t="s">
        <v>218</v>
      </c>
      <c r="I491" s="44">
        <v>45591</v>
      </c>
      <c r="J491" s="44">
        <v>45610</v>
      </c>
      <c r="K491" s="45">
        <v>3</v>
      </c>
      <c r="L491" s="45">
        <v>164.27279999999999</v>
      </c>
      <c r="M491" s="45">
        <v>434.58</v>
      </c>
      <c r="N491" s="45">
        <v>0</v>
      </c>
      <c r="O491" s="45">
        <v>0</v>
      </c>
      <c r="P491" s="62">
        <f t="shared" si="8"/>
        <v>3</v>
      </c>
    </row>
    <row r="492" spans="1:16" x14ac:dyDescent="0.25">
      <c r="A492" s="43" t="s">
        <v>200</v>
      </c>
      <c r="B492" s="43" t="s">
        <v>291</v>
      </c>
      <c r="C492" s="43" t="s">
        <v>292</v>
      </c>
      <c r="D492" s="43" t="s">
        <v>370</v>
      </c>
      <c r="E492" s="43" t="s">
        <v>400</v>
      </c>
      <c r="F492" s="43" t="s">
        <v>354</v>
      </c>
      <c r="G492" s="43" t="s">
        <v>233</v>
      </c>
      <c r="H492" s="43" t="s">
        <v>218</v>
      </c>
      <c r="I492" s="44">
        <v>45591</v>
      </c>
      <c r="J492" s="44">
        <v>45610</v>
      </c>
      <c r="K492" s="45">
        <v>6</v>
      </c>
      <c r="L492" s="45">
        <v>328.54559999999998</v>
      </c>
      <c r="M492" s="45">
        <v>869.15</v>
      </c>
      <c r="N492" s="45">
        <v>1</v>
      </c>
      <c r="O492" s="45">
        <v>54.757599999999996</v>
      </c>
      <c r="P492" s="62">
        <f t="shared" si="8"/>
        <v>7</v>
      </c>
    </row>
    <row r="493" spans="1:16" x14ac:dyDescent="0.25">
      <c r="A493" s="43" t="s">
        <v>200</v>
      </c>
      <c r="B493" s="43" t="s">
        <v>291</v>
      </c>
      <c r="C493" s="43" t="s">
        <v>292</v>
      </c>
      <c r="D493" s="43" t="s">
        <v>370</v>
      </c>
      <c r="E493" s="43" t="s">
        <v>400</v>
      </c>
      <c r="F493" s="43" t="s">
        <v>354</v>
      </c>
      <c r="G493" s="43" t="s">
        <v>234</v>
      </c>
      <c r="H493" s="43" t="s">
        <v>218</v>
      </c>
      <c r="I493" s="44">
        <v>45590</v>
      </c>
      <c r="J493" s="44">
        <v>45608</v>
      </c>
      <c r="K493" s="45">
        <v>3</v>
      </c>
      <c r="L493" s="45">
        <v>164.27279999999999</v>
      </c>
      <c r="M493" s="45">
        <v>450.66</v>
      </c>
      <c r="N493" s="45">
        <v>0</v>
      </c>
      <c r="O493" s="45">
        <v>0</v>
      </c>
      <c r="P493" s="62">
        <f t="shared" si="8"/>
        <v>3</v>
      </c>
    </row>
    <row r="494" spans="1:16" x14ac:dyDescent="0.25">
      <c r="A494" s="43" t="s">
        <v>200</v>
      </c>
      <c r="B494" s="43" t="s">
        <v>291</v>
      </c>
      <c r="C494" s="43" t="s">
        <v>292</v>
      </c>
      <c r="D494" s="43" t="s">
        <v>370</v>
      </c>
      <c r="E494" s="43" t="s">
        <v>400</v>
      </c>
      <c r="F494" s="43" t="s">
        <v>354</v>
      </c>
      <c r="G494" s="43" t="s">
        <v>259</v>
      </c>
      <c r="H494" s="43" t="s">
        <v>218</v>
      </c>
      <c r="I494" s="44">
        <v>45591</v>
      </c>
      <c r="J494" s="44">
        <v>45591</v>
      </c>
      <c r="K494" s="45">
        <v>3</v>
      </c>
      <c r="L494" s="45">
        <v>164.27279999999999</v>
      </c>
      <c r="M494" s="45">
        <v>434.57</v>
      </c>
      <c r="N494" s="45">
        <v>0</v>
      </c>
      <c r="O494" s="45">
        <v>0</v>
      </c>
      <c r="P494" s="62">
        <f t="shared" si="8"/>
        <v>3</v>
      </c>
    </row>
    <row r="495" spans="1:16" x14ac:dyDescent="0.25">
      <c r="A495" s="43" t="s">
        <v>200</v>
      </c>
      <c r="B495" s="43" t="s">
        <v>291</v>
      </c>
      <c r="C495" s="43" t="s">
        <v>292</v>
      </c>
      <c r="D495" s="43" t="s">
        <v>370</v>
      </c>
      <c r="E495" s="43" t="s">
        <v>400</v>
      </c>
      <c r="F495" s="43" t="s">
        <v>354</v>
      </c>
      <c r="G495" s="43" t="s">
        <v>296</v>
      </c>
      <c r="H495" s="43" t="s">
        <v>218</v>
      </c>
      <c r="I495" s="44">
        <v>45590</v>
      </c>
      <c r="J495" s="44">
        <v>45590</v>
      </c>
      <c r="K495" s="45">
        <v>1</v>
      </c>
      <c r="L495" s="45">
        <v>54.757599999999996</v>
      </c>
      <c r="M495" s="45">
        <v>144.86000000000001</v>
      </c>
      <c r="N495" s="45">
        <v>0</v>
      </c>
      <c r="O495" s="45">
        <v>0</v>
      </c>
      <c r="P495" s="62">
        <f t="shared" si="8"/>
        <v>1</v>
      </c>
    </row>
    <row r="496" spans="1:16" x14ac:dyDescent="0.25">
      <c r="A496" s="43" t="s">
        <v>200</v>
      </c>
      <c r="B496" s="43" t="s">
        <v>291</v>
      </c>
      <c r="C496" s="43" t="s">
        <v>292</v>
      </c>
      <c r="D496" s="43" t="s">
        <v>370</v>
      </c>
      <c r="E496" s="43" t="s">
        <v>401</v>
      </c>
      <c r="F496" s="43" t="s">
        <v>356</v>
      </c>
      <c r="G496" s="43" t="s">
        <v>232</v>
      </c>
      <c r="H496" s="43" t="s">
        <v>207</v>
      </c>
      <c r="I496" s="44">
        <v>45638</v>
      </c>
      <c r="J496" s="44">
        <v>45647</v>
      </c>
      <c r="K496" s="45">
        <v>0</v>
      </c>
      <c r="L496" s="45">
        <v>0</v>
      </c>
      <c r="M496" s="45">
        <v>0</v>
      </c>
      <c r="N496" s="45">
        <v>6</v>
      </c>
      <c r="O496" s="45">
        <v>485.92200000000003</v>
      </c>
      <c r="P496" s="62">
        <f t="shared" si="8"/>
        <v>6</v>
      </c>
    </row>
    <row r="497" spans="1:16" x14ac:dyDescent="0.25">
      <c r="A497" s="43" t="s">
        <v>200</v>
      </c>
      <c r="B497" s="43" t="s">
        <v>291</v>
      </c>
      <c r="C497" s="43" t="s">
        <v>292</v>
      </c>
      <c r="D497" s="43" t="s">
        <v>370</v>
      </c>
      <c r="E497" s="43" t="s">
        <v>401</v>
      </c>
      <c r="F497" s="43" t="s">
        <v>356</v>
      </c>
      <c r="G497" s="43" t="s">
        <v>233</v>
      </c>
      <c r="H497" s="43" t="s">
        <v>207</v>
      </c>
      <c r="I497" s="44">
        <v>45638</v>
      </c>
      <c r="J497" s="44">
        <v>45647</v>
      </c>
      <c r="K497" s="45">
        <v>0</v>
      </c>
      <c r="L497" s="45">
        <v>0</v>
      </c>
      <c r="M497" s="45">
        <v>0</v>
      </c>
      <c r="N497" s="45">
        <v>7</v>
      </c>
      <c r="O497" s="45">
        <v>566.90899999999999</v>
      </c>
      <c r="P497" s="62">
        <f t="shared" si="8"/>
        <v>7</v>
      </c>
    </row>
    <row r="498" spans="1:16" x14ac:dyDescent="0.25">
      <c r="A498" s="43" t="s">
        <v>200</v>
      </c>
      <c r="B498" s="43" t="s">
        <v>291</v>
      </c>
      <c r="C498" s="43" t="s">
        <v>292</v>
      </c>
      <c r="D498" s="43" t="s">
        <v>370</v>
      </c>
      <c r="E498" s="43" t="s">
        <v>401</v>
      </c>
      <c r="F498" s="43" t="s">
        <v>356</v>
      </c>
      <c r="G498" s="43" t="s">
        <v>234</v>
      </c>
      <c r="H498" s="43" t="s">
        <v>207</v>
      </c>
      <c r="I498" s="44">
        <v>45638</v>
      </c>
      <c r="J498" s="44">
        <v>45647</v>
      </c>
      <c r="K498" s="45">
        <v>0</v>
      </c>
      <c r="L498" s="45">
        <v>0</v>
      </c>
      <c r="M498" s="45">
        <v>0</v>
      </c>
      <c r="N498" s="45">
        <v>5</v>
      </c>
      <c r="O498" s="45">
        <v>404.935</v>
      </c>
      <c r="P498" s="62">
        <f t="shared" si="8"/>
        <v>5</v>
      </c>
    </row>
    <row r="499" spans="1:16" x14ac:dyDescent="0.25">
      <c r="A499" s="43" t="s">
        <v>200</v>
      </c>
      <c r="B499" s="43" t="s">
        <v>291</v>
      </c>
      <c r="C499" s="43" t="s">
        <v>292</v>
      </c>
      <c r="D499" s="43" t="s">
        <v>370</v>
      </c>
      <c r="E499" s="43" t="s">
        <v>401</v>
      </c>
      <c r="F499" s="43" t="s">
        <v>356</v>
      </c>
      <c r="G499" s="43" t="s">
        <v>259</v>
      </c>
      <c r="H499" s="43" t="s">
        <v>207</v>
      </c>
      <c r="I499" s="44">
        <v>45638</v>
      </c>
      <c r="J499" s="44">
        <v>45644</v>
      </c>
      <c r="K499" s="45">
        <v>0</v>
      </c>
      <c r="L499" s="45">
        <v>0</v>
      </c>
      <c r="M499" s="45">
        <v>0</v>
      </c>
      <c r="N499" s="45">
        <v>3</v>
      </c>
      <c r="O499" s="45">
        <v>242.96100000000001</v>
      </c>
      <c r="P499" s="62">
        <f t="shared" si="8"/>
        <v>3</v>
      </c>
    </row>
    <row r="500" spans="1:16" x14ac:dyDescent="0.25">
      <c r="A500" s="43" t="s">
        <v>200</v>
      </c>
      <c r="B500" s="43" t="s">
        <v>291</v>
      </c>
      <c r="C500" s="43" t="s">
        <v>292</v>
      </c>
      <c r="D500" s="43" t="s">
        <v>370</v>
      </c>
      <c r="E500" s="43" t="s">
        <v>401</v>
      </c>
      <c r="F500" s="43" t="s">
        <v>356</v>
      </c>
      <c r="G500" s="43" t="s">
        <v>296</v>
      </c>
      <c r="H500" s="43" t="s">
        <v>207</v>
      </c>
      <c r="I500" s="44">
        <v>45638</v>
      </c>
      <c r="J500" s="44">
        <v>45644</v>
      </c>
      <c r="K500" s="45">
        <v>0</v>
      </c>
      <c r="L500" s="45">
        <v>0</v>
      </c>
      <c r="M500" s="45">
        <v>0</v>
      </c>
      <c r="N500" s="45">
        <v>3</v>
      </c>
      <c r="O500" s="45">
        <v>242.96100000000001</v>
      </c>
      <c r="P500" s="62">
        <f t="shared" si="8"/>
        <v>3</v>
      </c>
    </row>
    <row r="501" spans="1:16" x14ac:dyDescent="0.25">
      <c r="A501" s="43" t="s">
        <v>200</v>
      </c>
      <c r="B501" s="43" t="s">
        <v>291</v>
      </c>
      <c r="C501" s="43" t="s">
        <v>292</v>
      </c>
      <c r="D501" s="43" t="s">
        <v>370</v>
      </c>
      <c r="E501" s="43" t="s">
        <v>402</v>
      </c>
      <c r="F501" s="43" t="s">
        <v>356</v>
      </c>
      <c r="G501" s="43" t="s">
        <v>232</v>
      </c>
      <c r="H501" s="43" t="s">
        <v>218</v>
      </c>
      <c r="I501" s="44">
        <v>45638</v>
      </c>
      <c r="J501" s="44">
        <v>45647</v>
      </c>
      <c r="K501" s="45">
        <v>0</v>
      </c>
      <c r="L501" s="45">
        <v>0</v>
      </c>
      <c r="M501" s="45">
        <v>0</v>
      </c>
      <c r="N501" s="45">
        <v>6</v>
      </c>
      <c r="O501" s="45">
        <v>485.92200000000003</v>
      </c>
      <c r="P501" s="62">
        <f t="shared" si="8"/>
        <v>6</v>
      </c>
    </row>
    <row r="502" spans="1:16" x14ac:dyDescent="0.25">
      <c r="A502" s="43" t="s">
        <v>200</v>
      </c>
      <c r="B502" s="43" t="s">
        <v>291</v>
      </c>
      <c r="C502" s="43" t="s">
        <v>292</v>
      </c>
      <c r="D502" s="43" t="s">
        <v>370</v>
      </c>
      <c r="E502" s="43" t="s">
        <v>402</v>
      </c>
      <c r="F502" s="43" t="s">
        <v>356</v>
      </c>
      <c r="G502" s="43" t="s">
        <v>233</v>
      </c>
      <c r="H502" s="43" t="s">
        <v>218</v>
      </c>
      <c r="I502" s="44">
        <v>45638</v>
      </c>
      <c r="J502" s="44">
        <v>45645</v>
      </c>
      <c r="K502" s="45">
        <v>0</v>
      </c>
      <c r="L502" s="45">
        <v>0</v>
      </c>
      <c r="M502" s="45">
        <v>0</v>
      </c>
      <c r="N502" s="45">
        <v>7</v>
      </c>
      <c r="O502" s="45">
        <v>566.90899999999999</v>
      </c>
      <c r="P502" s="62">
        <f t="shared" si="8"/>
        <v>7</v>
      </c>
    </row>
    <row r="503" spans="1:16" x14ac:dyDescent="0.25">
      <c r="A503" s="43" t="s">
        <v>200</v>
      </c>
      <c r="B503" s="43" t="s">
        <v>291</v>
      </c>
      <c r="C503" s="43" t="s">
        <v>292</v>
      </c>
      <c r="D503" s="43" t="s">
        <v>370</v>
      </c>
      <c r="E503" s="43" t="s">
        <v>402</v>
      </c>
      <c r="F503" s="43" t="s">
        <v>356</v>
      </c>
      <c r="G503" s="43" t="s">
        <v>234</v>
      </c>
      <c r="H503" s="43" t="s">
        <v>218</v>
      </c>
      <c r="I503" s="44">
        <v>45638</v>
      </c>
      <c r="J503" s="44">
        <v>45647</v>
      </c>
      <c r="K503" s="45">
        <v>0</v>
      </c>
      <c r="L503" s="45">
        <v>0</v>
      </c>
      <c r="M503" s="45">
        <v>0</v>
      </c>
      <c r="N503" s="45">
        <v>5</v>
      </c>
      <c r="O503" s="45">
        <v>404.935</v>
      </c>
      <c r="P503" s="62">
        <f t="shared" si="8"/>
        <v>5</v>
      </c>
    </row>
    <row r="504" spans="1:16" x14ac:dyDescent="0.25">
      <c r="A504" s="43" t="s">
        <v>200</v>
      </c>
      <c r="B504" s="43" t="s">
        <v>291</v>
      </c>
      <c r="C504" s="43" t="s">
        <v>292</v>
      </c>
      <c r="D504" s="43" t="s">
        <v>370</v>
      </c>
      <c r="E504" s="43" t="s">
        <v>402</v>
      </c>
      <c r="F504" s="43" t="s">
        <v>356</v>
      </c>
      <c r="G504" s="43" t="s">
        <v>259</v>
      </c>
      <c r="H504" s="43" t="s">
        <v>218</v>
      </c>
      <c r="I504" s="44">
        <v>45638</v>
      </c>
      <c r="J504" s="44">
        <v>45638</v>
      </c>
      <c r="K504" s="45">
        <v>0</v>
      </c>
      <c r="L504" s="45">
        <v>0</v>
      </c>
      <c r="M504" s="45">
        <v>0</v>
      </c>
      <c r="N504" s="45">
        <v>3</v>
      </c>
      <c r="O504" s="45">
        <v>242.96100000000001</v>
      </c>
      <c r="P504" s="62">
        <f t="shared" si="8"/>
        <v>3</v>
      </c>
    </row>
    <row r="505" spans="1:16" x14ac:dyDescent="0.25">
      <c r="A505" s="43" t="s">
        <v>200</v>
      </c>
      <c r="B505" s="43" t="s">
        <v>291</v>
      </c>
      <c r="C505" s="43" t="s">
        <v>292</v>
      </c>
      <c r="D505" s="43" t="s">
        <v>370</v>
      </c>
      <c r="E505" s="43" t="s">
        <v>402</v>
      </c>
      <c r="F505" s="43" t="s">
        <v>356</v>
      </c>
      <c r="G505" s="43" t="s">
        <v>296</v>
      </c>
      <c r="H505" s="43" t="s">
        <v>218</v>
      </c>
      <c r="I505" s="44">
        <v>45638</v>
      </c>
      <c r="J505" s="44">
        <v>45645</v>
      </c>
      <c r="K505" s="45">
        <v>0</v>
      </c>
      <c r="L505" s="45">
        <v>0</v>
      </c>
      <c r="M505" s="45">
        <v>0</v>
      </c>
      <c r="N505" s="45">
        <v>3</v>
      </c>
      <c r="O505" s="45">
        <v>242.96100000000001</v>
      </c>
      <c r="P505" s="62">
        <f t="shared" si="8"/>
        <v>3</v>
      </c>
    </row>
    <row r="506" spans="1:16" x14ac:dyDescent="0.25">
      <c r="A506" s="43" t="s">
        <v>200</v>
      </c>
      <c r="B506" s="43" t="s">
        <v>291</v>
      </c>
      <c r="C506" s="43" t="s">
        <v>292</v>
      </c>
      <c r="D506" s="43" t="s">
        <v>370</v>
      </c>
      <c r="E506" s="43" t="s">
        <v>403</v>
      </c>
      <c r="F506" s="43" t="s">
        <v>356</v>
      </c>
      <c r="G506" s="43" t="s">
        <v>232</v>
      </c>
      <c r="H506" s="43" t="s">
        <v>218</v>
      </c>
      <c r="I506" s="44">
        <v>45633</v>
      </c>
      <c r="J506" s="44">
        <v>45643</v>
      </c>
      <c r="K506" s="45">
        <v>4</v>
      </c>
      <c r="L506" s="45">
        <v>323.94799999999998</v>
      </c>
      <c r="M506" s="45">
        <v>819.44</v>
      </c>
      <c r="N506" s="45">
        <v>5</v>
      </c>
      <c r="O506" s="45">
        <v>404.935</v>
      </c>
      <c r="P506" s="62">
        <f t="shared" si="8"/>
        <v>9</v>
      </c>
    </row>
    <row r="507" spans="1:16" x14ac:dyDescent="0.25">
      <c r="A507" s="43" t="s">
        <v>200</v>
      </c>
      <c r="B507" s="43" t="s">
        <v>291</v>
      </c>
      <c r="C507" s="43" t="s">
        <v>292</v>
      </c>
      <c r="D507" s="43" t="s">
        <v>370</v>
      </c>
      <c r="E507" s="43" t="s">
        <v>403</v>
      </c>
      <c r="F507" s="43" t="s">
        <v>356</v>
      </c>
      <c r="G507" s="43" t="s">
        <v>233</v>
      </c>
      <c r="H507" s="43" t="s">
        <v>218</v>
      </c>
      <c r="I507" s="44">
        <v>45635</v>
      </c>
      <c r="J507" s="44">
        <v>45643</v>
      </c>
      <c r="K507" s="45">
        <v>4</v>
      </c>
      <c r="L507" s="45">
        <v>323.94799999999998</v>
      </c>
      <c r="M507" s="45">
        <v>864.96</v>
      </c>
      <c r="N507" s="45">
        <v>6</v>
      </c>
      <c r="O507" s="45">
        <v>485.92200000000003</v>
      </c>
      <c r="P507" s="62">
        <f t="shared" si="8"/>
        <v>10</v>
      </c>
    </row>
    <row r="508" spans="1:16" x14ac:dyDescent="0.25">
      <c r="A508" s="43" t="s">
        <v>200</v>
      </c>
      <c r="B508" s="43" t="s">
        <v>291</v>
      </c>
      <c r="C508" s="43" t="s">
        <v>292</v>
      </c>
      <c r="D508" s="43" t="s">
        <v>370</v>
      </c>
      <c r="E508" s="43" t="s">
        <v>403</v>
      </c>
      <c r="F508" s="43" t="s">
        <v>356</v>
      </c>
      <c r="G508" s="43" t="s">
        <v>234</v>
      </c>
      <c r="H508" s="43" t="s">
        <v>218</v>
      </c>
      <c r="I508" s="44">
        <v>45633</v>
      </c>
      <c r="J508" s="44">
        <v>45647</v>
      </c>
      <c r="K508" s="45">
        <v>1</v>
      </c>
      <c r="L508" s="45">
        <v>80.986999999999995</v>
      </c>
      <c r="M508" s="45">
        <v>204.86</v>
      </c>
      <c r="N508" s="45">
        <v>5</v>
      </c>
      <c r="O508" s="45">
        <v>404.935</v>
      </c>
      <c r="P508" s="62">
        <f t="shared" si="8"/>
        <v>6</v>
      </c>
    </row>
    <row r="509" spans="1:16" x14ac:dyDescent="0.25">
      <c r="A509" s="43" t="s">
        <v>200</v>
      </c>
      <c r="B509" s="43" t="s">
        <v>291</v>
      </c>
      <c r="C509" s="43" t="s">
        <v>292</v>
      </c>
      <c r="D509" s="43" t="s">
        <v>370</v>
      </c>
      <c r="E509" s="43" t="s">
        <v>403</v>
      </c>
      <c r="F509" s="43" t="s">
        <v>356</v>
      </c>
      <c r="G509" s="43" t="s">
        <v>259</v>
      </c>
      <c r="H509" s="43" t="s">
        <v>218</v>
      </c>
      <c r="I509" s="44">
        <v>45633</v>
      </c>
      <c r="J509" s="44">
        <v>45633</v>
      </c>
      <c r="K509" s="45">
        <v>0</v>
      </c>
      <c r="L509" s="45">
        <v>0</v>
      </c>
      <c r="M509" s="45">
        <v>0</v>
      </c>
      <c r="N509" s="45">
        <v>3</v>
      </c>
      <c r="O509" s="45">
        <v>242.96100000000001</v>
      </c>
      <c r="P509" s="62">
        <f t="shared" si="8"/>
        <v>3</v>
      </c>
    </row>
    <row r="510" spans="1:16" x14ac:dyDescent="0.25">
      <c r="A510" s="43" t="s">
        <v>200</v>
      </c>
      <c r="B510" s="43" t="s">
        <v>291</v>
      </c>
      <c r="C510" s="43" t="s">
        <v>292</v>
      </c>
      <c r="D510" s="43" t="s">
        <v>370</v>
      </c>
      <c r="E510" s="43" t="s">
        <v>403</v>
      </c>
      <c r="F510" s="43" t="s">
        <v>356</v>
      </c>
      <c r="G510" s="43" t="s">
        <v>296</v>
      </c>
      <c r="H510" s="43" t="s">
        <v>218</v>
      </c>
      <c r="I510" s="44">
        <v>45633</v>
      </c>
      <c r="J510" s="44">
        <v>45638</v>
      </c>
      <c r="K510" s="45">
        <v>1</v>
      </c>
      <c r="L510" s="45">
        <v>80.986999999999995</v>
      </c>
      <c r="M510" s="45">
        <v>227.62</v>
      </c>
      <c r="N510" s="45">
        <v>3</v>
      </c>
      <c r="O510" s="45">
        <v>242.96100000000001</v>
      </c>
      <c r="P510" s="62">
        <f t="shared" si="8"/>
        <v>4</v>
      </c>
    </row>
    <row r="511" spans="1:16" x14ac:dyDescent="0.25">
      <c r="A511" s="43" t="s">
        <v>200</v>
      </c>
      <c r="B511" s="43" t="s">
        <v>291</v>
      </c>
      <c r="C511" s="43" t="s">
        <v>292</v>
      </c>
      <c r="D511" s="43" t="s">
        <v>370</v>
      </c>
      <c r="E511" s="43" t="s">
        <v>404</v>
      </c>
      <c r="F511" s="43" t="s">
        <v>405</v>
      </c>
      <c r="G511" s="43" t="s">
        <v>233</v>
      </c>
      <c r="H511" s="43" t="s">
        <v>226</v>
      </c>
      <c r="I511" s="44">
        <v>45591</v>
      </c>
      <c r="J511" s="44">
        <v>45626</v>
      </c>
      <c r="K511" s="45">
        <v>0</v>
      </c>
      <c r="L511" s="45">
        <v>0</v>
      </c>
      <c r="M511" s="45">
        <v>0</v>
      </c>
      <c r="N511" s="45">
        <v>3</v>
      </c>
      <c r="O511" s="45">
        <v>301.26209999999998</v>
      </c>
      <c r="P511" s="62">
        <f t="shared" si="8"/>
        <v>3</v>
      </c>
    </row>
    <row r="512" spans="1:16" x14ac:dyDescent="0.25">
      <c r="A512" s="43" t="s">
        <v>200</v>
      </c>
      <c r="B512" s="43" t="s">
        <v>291</v>
      </c>
      <c r="C512" s="43" t="s">
        <v>292</v>
      </c>
      <c r="D512" s="43" t="s">
        <v>370</v>
      </c>
      <c r="E512" s="43" t="s">
        <v>406</v>
      </c>
      <c r="F512" s="43" t="s">
        <v>405</v>
      </c>
      <c r="G512" s="43" t="s">
        <v>232</v>
      </c>
      <c r="H512" s="43" t="s">
        <v>218</v>
      </c>
      <c r="I512" s="44">
        <v>45591</v>
      </c>
      <c r="J512" s="44">
        <v>45626</v>
      </c>
      <c r="K512" s="45">
        <v>4</v>
      </c>
      <c r="L512" s="45">
        <v>376.47320000000002</v>
      </c>
      <c r="M512" s="45">
        <v>1053.6099999999999</v>
      </c>
      <c r="N512" s="45">
        <v>3</v>
      </c>
      <c r="O512" s="45">
        <v>301.7901</v>
      </c>
      <c r="P512" s="62">
        <f t="shared" si="8"/>
        <v>7</v>
      </c>
    </row>
    <row r="513" spans="1:16" x14ac:dyDescent="0.25">
      <c r="A513" s="43" t="s">
        <v>200</v>
      </c>
      <c r="B513" s="43" t="s">
        <v>291</v>
      </c>
      <c r="C513" s="43" t="s">
        <v>292</v>
      </c>
      <c r="D513" s="43" t="s">
        <v>370</v>
      </c>
      <c r="E513" s="43" t="s">
        <v>406</v>
      </c>
      <c r="F513" s="43" t="s">
        <v>405</v>
      </c>
      <c r="G513" s="43" t="s">
        <v>233</v>
      </c>
      <c r="H513" s="43" t="s">
        <v>218</v>
      </c>
      <c r="I513" s="44">
        <v>45591</v>
      </c>
      <c r="J513" s="44">
        <v>45621</v>
      </c>
      <c r="K513" s="45">
        <v>3</v>
      </c>
      <c r="L513" s="45">
        <v>284.3526</v>
      </c>
      <c r="M513" s="45">
        <v>768.86</v>
      </c>
      <c r="N513" s="45">
        <v>0</v>
      </c>
      <c r="O513" s="45">
        <v>0</v>
      </c>
      <c r="P513" s="62">
        <f t="shared" si="8"/>
        <v>3</v>
      </c>
    </row>
    <row r="514" spans="1:16" x14ac:dyDescent="0.25">
      <c r="A514" s="43" t="s">
        <v>200</v>
      </c>
      <c r="B514" s="43" t="s">
        <v>291</v>
      </c>
      <c r="C514" s="43" t="s">
        <v>292</v>
      </c>
      <c r="D514" s="43" t="s">
        <v>370</v>
      </c>
      <c r="E514" s="43" t="s">
        <v>406</v>
      </c>
      <c r="F514" s="43" t="s">
        <v>405</v>
      </c>
      <c r="G514" s="43" t="s">
        <v>296</v>
      </c>
      <c r="H514" s="43" t="s">
        <v>218</v>
      </c>
      <c r="I514" s="44">
        <v>45591</v>
      </c>
      <c r="J514" s="44">
        <v>45619</v>
      </c>
      <c r="K514" s="45">
        <v>2</v>
      </c>
      <c r="L514" s="45">
        <v>189.86799999999999</v>
      </c>
      <c r="M514" s="45">
        <v>512.57000000000005</v>
      </c>
      <c r="N514" s="45">
        <v>0</v>
      </c>
      <c r="O514" s="45">
        <v>0</v>
      </c>
      <c r="P514" s="62">
        <f t="shared" si="8"/>
        <v>2</v>
      </c>
    </row>
    <row r="515" spans="1:16" x14ac:dyDescent="0.25">
      <c r="A515" s="43" t="s">
        <v>200</v>
      </c>
      <c r="B515" s="43" t="s">
        <v>291</v>
      </c>
      <c r="C515" s="43" t="s">
        <v>292</v>
      </c>
      <c r="D515" s="43" t="s">
        <v>407</v>
      </c>
      <c r="E515" s="43" t="s">
        <v>408</v>
      </c>
      <c r="F515" s="43" t="s">
        <v>372</v>
      </c>
      <c r="G515" s="43" t="s">
        <v>232</v>
      </c>
      <c r="H515" s="43" t="s">
        <v>226</v>
      </c>
      <c r="I515" s="44">
        <v>45593</v>
      </c>
      <c r="J515" s="44">
        <v>45647</v>
      </c>
      <c r="K515" s="45">
        <v>0</v>
      </c>
      <c r="L515" s="45">
        <v>0</v>
      </c>
      <c r="M515" s="45">
        <v>0</v>
      </c>
      <c r="N515" s="45">
        <v>6</v>
      </c>
      <c r="O515" s="45">
        <v>375.92700000000002</v>
      </c>
      <c r="P515" s="62">
        <f t="shared" si="8"/>
        <v>6</v>
      </c>
    </row>
    <row r="516" spans="1:16" x14ac:dyDescent="0.25">
      <c r="A516" s="43" t="s">
        <v>200</v>
      </c>
      <c r="B516" s="43" t="s">
        <v>291</v>
      </c>
      <c r="C516" s="43" t="s">
        <v>292</v>
      </c>
      <c r="D516" s="43" t="s">
        <v>407</v>
      </c>
      <c r="E516" s="43" t="s">
        <v>408</v>
      </c>
      <c r="F516" s="43" t="s">
        <v>372</v>
      </c>
      <c r="G516" s="43" t="s">
        <v>233</v>
      </c>
      <c r="H516" s="43" t="s">
        <v>226</v>
      </c>
      <c r="I516" s="44">
        <v>45593</v>
      </c>
      <c r="J516" s="44">
        <v>45644</v>
      </c>
      <c r="K516" s="45">
        <v>0</v>
      </c>
      <c r="L516" s="45">
        <v>0</v>
      </c>
      <c r="M516" s="45">
        <v>0</v>
      </c>
      <c r="N516" s="45">
        <v>6</v>
      </c>
      <c r="O516" s="45">
        <v>384.61860000000001</v>
      </c>
      <c r="P516" s="62">
        <f t="shared" si="8"/>
        <v>6</v>
      </c>
    </row>
    <row r="517" spans="1:16" x14ac:dyDescent="0.25">
      <c r="A517" s="43" t="s">
        <v>200</v>
      </c>
      <c r="B517" s="43" t="s">
        <v>291</v>
      </c>
      <c r="C517" s="43" t="s">
        <v>292</v>
      </c>
      <c r="D517" s="43" t="s">
        <v>407</v>
      </c>
      <c r="E517" s="43" t="s">
        <v>408</v>
      </c>
      <c r="F517" s="43" t="s">
        <v>372</v>
      </c>
      <c r="G517" s="43" t="s">
        <v>234</v>
      </c>
      <c r="H517" s="43" t="s">
        <v>226</v>
      </c>
      <c r="I517" s="44">
        <v>45593</v>
      </c>
      <c r="J517" s="44">
        <v>45647</v>
      </c>
      <c r="K517" s="45">
        <v>0</v>
      </c>
      <c r="L517" s="45">
        <v>0</v>
      </c>
      <c r="M517" s="45">
        <v>0</v>
      </c>
      <c r="N517" s="45">
        <v>4</v>
      </c>
      <c r="O517" s="45">
        <v>251.95240000000001</v>
      </c>
      <c r="P517" s="62">
        <f t="shared" si="8"/>
        <v>4</v>
      </c>
    </row>
    <row r="518" spans="1:16" x14ac:dyDescent="0.25">
      <c r="A518" s="43" t="s">
        <v>200</v>
      </c>
      <c r="B518" s="43" t="s">
        <v>291</v>
      </c>
      <c r="C518" s="43" t="s">
        <v>292</v>
      </c>
      <c r="D518" s="43" t="s">
        <v>407</v>
      </c>
      <c r="E518" s="43" t="s">
        <v>408</v>
      </c>
      <c r="F518" s="43" t="s">
        <v>372</v>
      </c>
      <c r="G518" s="43" t="s">
        <v>296</v>
      </c>
      <c r="H518" s="43" t="s">
        <v>226</v>
      </c>
      <c r="I518" s="44">
        <v>45593</v>
      </c>
      <c r="J518" s="44">
        <v>45645</v>
      </c>
      <c r="K518" s="45">
        <v>0</v>
      </c>
      <c r="L518" s="45">
        <v>0</v>
      </c>
      <c r="M518" s="45">
        <v>0</v>
      </c>
      <c r="N518" s="45">
        <v>2</v>
      </c>
      <c r="O518" s="45">
        <v>123.17400000000001</v>
      </c>
      <c r="P518" s="62">
        <f t="shared" si="8"/>
        <v>2</v>
      </c>
    </row>
    <row r="519" spans="1:16" x14ac:dyDescent="0.25">
      <c r="A519" s="43" t="s">
        <v>200</v>
      </c>
      <c r="B519" s="43" t="s">
        <v>291</v>
      </c>
      <c r="C519" s="43" t="s">
        <v>292</v>
      </c>
      <c r="D519" s="43" t="s">
        <v>407</v>
      </c>
      <c r="E519" s="43" t="s">
        <v>409</v>
      </c>
      <c r="F519" s="43" t="s">
        <v>372</v>
      </c>
      <c r="G519" s="43" t="s">
        <v>232</v>
      </c>
      <c r="H519" s="43" t="s">
        <v>226</v>
      </c>
      <c r="I519" s="44">
        <v>45593</v>
      </c>
      <c r="J519" s="44">
        <v>45644</v>
      </c>
      <c r="K519" s="45">
        <v>0</v>
      </c>
      <c r="L519" s="45">
        <v>0</v>
      </c>
      <c r="M519" s="45">
        <v>0</v>
      </c>
      <c r="N519" s="45">
        <v>6</v>
      </c>
      <c r="O519" s="45">
        <v>372.72480000000002</v>
      </c>
      <c r="P519" s="62">
        <f t="shared" si="8"/>
        <v>6</v>
      </c>
    </row>
    <row r="520" spans="1:16" x14ac:dyDescent="0.25">
      <c r="A520" s="43" t="s">
        <v>200</v>
      </c>
      <c r="B520" s="43" t="s">
        <v>291</v>
      </c>
      <c r="C520" s="43" t="s">
        <v>292</v>
      </c>
      <c r="D520" s="43" t="s">
        <v>407</v>
      </c>
      <c r="E520" s="43" t="s">
        <v>409</v>
      </c>
      <c r="F520" s="43" t="s">
        <v>372</v>
      </c>
      <c r="G520" s="43" t="s">
        <v>233</v>
      </c>
      <c r="H520" s="43" t="s">
        <v>226</v>
      </c>
      <c r="I520" s="44">
        <v>45593</v>
      </c>
      <c r="J520" s="44">
        <v>45644</v>
      </c>
      <c r="K520" s="45">
        <v>1</v>
      </c>
      <c r="L520" s="45">
        <v>63.306899999999999</v>
      </c>
      <c r="M520" s="45">
        <v>189.52</v>
      </c>
      <c r="N520" s="45">
        <v>6</v>
      </c>
      <c r="O520" s="45">
        <v>381.32400000000001</v>
      </c>
      <c r="P520" s="62">
        <f t="shared" ref="P520:P583" si="9">K520+N520</f>
        <v>7</v>
      </c>
    </row>
    <row r="521" spans="1:16" x14ac:dyDescent="0.25">
      <c r="A521" s="43" t="s">
        <v>200</v>
      </c>
      <c r="B521" s="43" t="s">
        <v>291</v>
      </c>
      <c r="C521" s="43" t="s">
        <v>292</v>
      </c>
      <c r="D521" s="43" t="s">
        <v>407</v>
      </c>
      <c r="E521" s="43" t="s">
        <v>409</v>
      </c>
      <c r="F521" s="43" t="s">
        <v>372</v>
      </c>
      <c r="G521" s="43" t="s">
        <v>234</v>
      </c>
      <c r="H521" s="43" t="s">
        <v>226</v>
      </c>
      <c r="I521" s="44">
        <v>45593</v>
      </c>
      <c r="J521" s="44">
        <v>45640</v>
      </c>
      <c r="K521" s="45">
        <v>2</v>
      </c>
      <c r="L521" s="45">
        <v>124.7752</v>
      </c>
      <c r="M521" s="45">
        <v>360.09</v>
      </c>
      <c r="N521" s="45">
        <v>4</v>
      </c>
      <c r="O521" s="45">
        <v>254.3544</v>
      </c>
      <c r="P521" s="62">
        <f t="shared" si="9"/>
        <v>6</v>
      </c>
    </row>
    <row r="522" spans="1:16" x14ac:dyDescent="0.25">
      <c r="A522" s="43" t="s">
        <v>200</v>
      </c>
      <c r="B522" s="43" t="s">
        <v>291</v>
      </c>
      <c r="C522" s="43" t="s">
        <v>292</v>
      </c>
      <c r="D522" s="43" t="s">
        <v>407</v>
      </c>
      <c r="E522" s="43" t="s">
        <v>409</v>
      </c>
      <c r="F522" s="43" t="s">
        <v>372</v>
      </c>
      <c r="G522" s="43" t="s">
        <v>296</v>
      </c>
      <c r="H522" s="43" t="s">
        <v>226</v>
      </c>
      <c r="I522" s="44">
        <v>45593</v>
      </c>
      <c r="J522" s="44">
        <v>45593</v>
      </c>
      <c r="K522" s="45">
        <v>0</v>
      </c>
      <c r="L522" s="45">
        <v>0</v>
      </c>
      <c r="M522" s="45">
        <v>0</v>
      </c>
      <c r="N522" s="45">
        <v>2</v>
      </c>
      <c r="O522" s="45">
        <v>123.17400000000001</v>
      </c>
      <c r="P522" s="62">
        <f t="shared" si="9"/>
        <v>2</v>
      </c>
    </row>
    <row r="523" spans="1:16" x14ac:dyDescent="0.25">
      <c r="A523" s="43" t="s">
        <v>200</v>
      </c>
      <c r="B523" s="43" t="s">
        <v>291</v>
      </c>
      <c r="C523" s="43" t="s">
        <v>292</v>
      </c>
      <c r="D523" s="43" t="s">
        <v>407</v>
      </c>
      <c r="E523" s="43" t="s">
        <v>410</v>
      </c>
      <c r="F523" s="43" t="s">
        <v>323</v>
      </c>
      <c r="G523" s="43" t="s">
        <v>232</v>
      </c>
      <c r="H523" s="43" t="s">
        <v>207</v>
      </c>
      <c r="I523" s="44">
        <v>45593</v>
      </c>
      <c r="J523" s="44">
        <v>45626</v>
      </c>
      <c r="K523" s="45">
        <v>4</v>
      </c>
      <c r="L523" s="45">
        <v>220.5283</v>
      </c>
      <c r="M523" s="45">
        <v>579.44000000000005</v>
      </c>
      <c r="N523" s="45">
        <v>2</v>
      </c>
      <c r="O523" s="45">
        <v>113.88760000000001</v>
      </c>
      <c r="P523" s="62">
        <f t="shared" si="9"/>
        <v>6</v>
      </c>
    </row>
    <row r="524" spans="1:16" x14ac:dyDescent="0.25">
      <c r="A524" s="43" t="s">
        <v>200</v>
      </c>
      <c r="B524" s="43" t="s">
        <v>291</v>
      </c>
      <c r="C524" s="43" t="s">
        <v>292</v>
      </c>
      <c r="D524" s="43" t="s">
        <v>407</v>
      </c>
      <c r="E524" s="43" t="s">
        <v>410</v>
      </c>
      <c r="F524" s="43" t="s">
        <v>323</v>
      </c>
      <c r="G524" s="43" t="s">
        <v>233</v>
      </c>
      <c r="H524" s="43" t="s">
        <v>207</v>
      </c>
      <c r="I524" s="44">
        <v>45593</v>
      </c>
      <c r="J524" s="44">
        <v>45625</v>
      </c>
      <c r="K524" s="45">
        <v>3</v>
      </c>
      <c r="L524" s="45">
        <v>164.86859999999999</v>
      </c>
      <c r="M524" s="45">
        <v>434.58</v>
      </c>
      <c r="N524" s="45">
        <v>0</v>
      </c>
      <c r="O524" s="45">
        <v>0</v>
      </c>
      <c r="P524" s="62">
        <f t="shared" si="9"/>
        <v>3</v>
      </c>
    </row>
    <row r="525" spans="1:16" x14ac:dyDescent="0.25">
      <c r="A525" s="43" t="s">
        <v>200</v>
      </c>
      <c r="B525" s="43" t="s">
        <v>291</v>
      </c>
      <c r="C525" s="43" t="s">
        <v>292</v>
      </c>
      <c r="D525" s="43" t="s">
        <v>407</v>
      </c>
      <c r="E525" s="43" t="s">
        <v>410</v>
      </c>
      <c r="F525" s="43" t="s">
        <v>323</v>
      </c>
      <c r="G525" s="43" t="s">
        <v>259</v>
      </c>
      <c r="H525" s="43" t="s">
        <v>207</v>
      </c>
      <c r="I525" s="44">
        <v>45593</v>
      </c>
      <c r="J525" s="44">
        <v>45625</v>
      </c>
      <c r="K525" s="45">
        <v>2</v>
      </c>
      <c r="L525" s="45">
        <v>111.0206</v>
      </c>
      <c r="M525" s="45">
        <v>289.72000000000003</v>
      </c>
      <c r="N525" s="45">
        <v>0</v>
      </c>
      <c r="O525" s="45">
        <v>0</v>
      </c>
      <c r="P525" s="62">
        <f t="shared" si="9"/>
        <v>2</v>
      </c>
    </row>
    <row r="526" spans="1:16" x14ac:dyDescent="0.25">
      <c r="A526" s="43" t="s">
        <v>200</v>
      </c>
      <c r="B526" s="43" t="s">
        <v>291</v>
      </c>
      <c r="C526" s="43" t="s">
        <v>292</v>
      </c>
      <c r="D526" s="43" t="s">
        <v>407</v>
      </c>
      <c r="E526" s="43" t="s">
        <v>411</v>
      </c>
      <c r="F526" s="43" t="s">
        <v>323</v>
      </c>
      <c r="G526" s="43" t="s">
        <v>232</v>
      </c>
      <c r="H526" s="43" t="s">
        <v>207</v>
      </c>
      <c r="I526" s="44">
        <v>45593</v>
      </c>
      <c r="J526" s="44">
        <v>45626</v>
      </c>
      <c r="K526" s="45">
        <v>2</v>
      </c>
      <c r="L526" s="45">
        <v>110.0707</v>
      </c>
      <c r="M526" s="45">
        <v>289.70999999999998</v>
      </c>
      <c r="N526" s="45">
        <v>1</v>
      </c>
      <c r="O526" s="45">
        <v>55.668599999999998</v>
      </c>
      <c r="P526" s="62">
        <f t="shared" si="9"/>
        <v>3</v>
      </c>
    </row>
    <row r="527" spans="1:16" x14ac:dyDescent="0.25">
      <c r="A527" s="43" t="s">
        <v>200</v>
      </c>
      <c r="B527" s="43" t="s">
        <v>291</v>
      </c>
      <c r="C527" s="43" t="s">
        <v>292</v>
      </c>
      <c r="D527" s="43" t="s">
        <v>407</v>
      </c>
      <c r="E527" s="43" t="s">
        <v>411</v>
      </c>
      <c r="F527" s="43" t="s">
        <v>323</v>
      </c>
      <c r="G527" s="43" t="s">
        <v>233</v>
      </c>
      <c r="H527" s="43" t="s">
        <v>207</v>
      </c>
      <c r="I527" s="44">
        <v>45593</v>
      </c>
      <c r="J527" s="44">
        <v>45625</v>
      </c>
      <c r="K527" s="45">
        <v>1</v>
      </c>
      <c r="L527" s="45">
        <v>54.797899999999998</v>
      </c>
      <c r="M527" s="45">
        <v>144.86000000000001</v>
      </c>
      <c r="N527" s="45">
        <v>0</v>
      </c>
      <c r="O527" s="45">
        <v>0</v>
      </c>
      <c r="P527" s="62">
        <f t="shared" si="9"/>
        <v>1</v>
      </c>
    </row>
    <row r="528" spans="1:16" x14ac:dyDescent="0.25">
      <c r="A528" s="43" t="s">
        <v>200</v>
      </c>
      <c r="B528" s="43" t="s">
        <v>291</v>
      </c>
      <c r="C528" s="43" t="s">
        <v>292</v>
      </c>
      <c r="D528" s="43" t="s">
        <v>407</v>
      </c>
      <c r="E528" s="43" t="s">
        <v>411</v>
      </c>
      <c r="F528" s="43" t="s">
        <v>323</v>
      </c>
      <c r="G528" s="43" t="s">
        <v>234</v>
      </c>
      <c r="H528" s="43" t="s">
        <v>207</v>
      </c>
      <c r="I528" s="44">
        <v>45593</v>
      </c>
      <c r="J528" s="44">
        <v>45624</v>
      </c>
      <c r="K528" s="45">
        <v>1</v>
      </c>
      <c r="L528" s="45">
        <v>54.797899999999998</v>
      </c>
      <c r="M528" s="45">
        <v>144.86000000000001</v>
      </c>
      <c r="N528" s="45">
        <v>0</v>
      </c>
      <c r="O528" s="45">
        <v>0</v>
      </c>
      <c r="P528" s="62">
        <f t="shared" si="9"/>
        <v>1</v>
      </c>
    </row>
    <row r="529" spans="1:16" x14ac:dyDescent="0.25">
      <c r="A529" s="43" t="s">
        <v>200</v>
      </c>
      <c r="B529" s="43" t="s">
        <v>291</v>
      </c>
      <c r="C529" s="43" t="s">
        <v>292</v>
      </c>
      <c r="D529" s="43" t="s">
        <v>407</v>
      </c>
      <c r="E529" s="43" t="s">
        <v>412</v>
      </c>
      <c r="F529" s="43" t="s">
        <v>304</v>
      </c>
      <c r="G529" s="43" t="s">
        <v>232</v>
      </c>
      <c r="H529" s="43" t="s">
        <v>207</v>
      </c>
      <c r="I529" s="44">
        <v>45593</v>
      </c>
      <c r="J529" s="44">
        <v>45647</v>
      </c>
      <c r="K529" s="45">
        <v>3</v>
      </c>
      <c r="L529" s="45">
        <v>186.27340000000001</v>
      </c>
      <c r="M529" s="45">
        <v>530.67999999999995</v>
      </c>
      <c r="N529" s="45">
        <v>6</v>
      </c>
      <c r="O529" s="45">
        <v>377.61779999999999</v>
      </c>
      <c r="P529" s="62">
        <f t="shared" si="9"/>
        <v>9</v>
      </c>
    </row>
    <row r="530" spans="1:16" x14ac:dyDescent="0.25">
      <c r="A530" s="43" t="s">
        <v>200</v>
      </c>
      <c r="B530" s="43" t="s">
        <v>291</v>
      </c>
      <c r="C530" s="43" t="s">
        <v>292</v>
      </c>
      <c r="D530" s="43" t="s">
        <v>407</v>
      </c>
      <c r="E530" s="43" t="s">
        <v>412</v>
      </c>
      <c r="F530" s="43" t="s">
        <v>304</v>
      </c>
      <c r="G530" s="43" t="s">
        <v>233</v>
      </c>
      <c r="H530" s="43" t="s">
        <v>207</v>
      </c>
      <c r="I530" s="44">
        <v>45593</v>
      </c>
      <c r="J530" s="44">
        <v>45643</v>
      </c>
      <c r="K530" s="45">
        <v>12</v>
      </c>
      <c r="L530" s="45">
        <v>760.54750000000001</v>
      </c>
      <c r="M530" s="45">
        <v>2084.75</v>
      </c>
      <c r="N530" s="45">
        <v>6</v>
      </c>
      <c r="O530" s="45">
        <v>386.44920000000002</v>
      </c>
      <c r="P530" s="62">
        <f t="shared" si="9"/>
        <v>18</v>
      </c>
    </row>
    <row r="531" spans="1:16" x14ac:dyDescent="0.25">
      <c r="A531" s="43" t="s">
        <v>200</v>
      </c>
      <c r="B531" s="43" t="s">
        <v>291</v>
      </c>
      <c r="C531" s="43" t="s">
        <v>292</v>
      </c>
      <c r="D531" s="43" t="s">
        <v>407</v>
      </c>
      <c r="E531" s="43" t="s">
        <v>412</v>
      </c>
      <c r="F531" s="43" t="s">
        <v>304</v>
      </c>
      <c r="G531" s="43" t="s">
        <v>234</v>
      </c>
      <c r="H531" s="43" t="s">
        <v>207</v>
      </c>
      <c r="I531" s="44">
        <v>45593</v>
      </c>
      <c r="J531" s="44">
        <v>45630</v>
      </c>
      <c r="K531" s="45">
        <v>3</v>
      </c>
      <c r="L531" s="45">
        <v>186.6249</v>
      </c>
      <c r="M531" s="45">
        <v>511.71</v>
      </c>
      <c r="N531" s="45">
        <v>5</v>
      </c>
      <c r="O531" s="45">
        <v>318.88150000000002</v>
      </c>
      <c r="P531" s="62">
        <f t="shared" si="9"/>
        <v>8</v>
      </c>
    </row>
    <row r="532" spans="1:16" x14ac:dyDescent="0.25">
      <c r="A532" s="43" t="s">
        <v>200</v>
      </c>
      <c r="B532" s="43" t="s">
        <v>291</v>
      </c>
      <c r="C532" s="43" t="s">
        <v>292</v>
      </c>
      <c r="D532" s="43" t="s">
        <v>407</v>
      </c>
      <c r="E532" s="43" t="s">
        <v>412</v>
      </c>
      <c r="F532" s="43" t="s">
        <v>304</v>
      </c>
      <c r="G532" s="43" t="s">
        <v>259</v>
      </c>
      <c r="H532" s="43" t="s">
        <v>207</v>
      </c>
      <c r="I532" s="44">
        <v>45593</v>
      </c>
      <c r="J532" s="44">
        <v>45623</v>
      </c>
      <c r="K532" s="45">
        <v>1</v>
      </c>
      <c r="L532" s="45">
        <v>61.587000000000003</v>
      </c>
      <c r="M532" s="45">
        <v>170.57</v>
      </c>
      <c r="N532" s="45">
        <v>2</v>
      </c>
      <c r="O532" s="45">
        <v>126.3766</v>
      </c>
      <c r="P532" s="62">
        <f t="shared" si="9"/>
        <v>3</v>
      </c>
    </row>
    <row r="533" spans="1:16" x14ac:dyDescent="0.25">
      <c r="A533" s="43" t="s">
        <v>200</v>
      </c>
      <c r="B533" s="43" t="s">
        <v>291</v>
      </c>
      <c r="C533" s="43" t="s">
        <v>292</v>
      </c>
      <c r="D533" s="43" t="s">
        <v>407</v>
      </c>
      <c r="E533" s="43" t="s">
        <v>412</v>
      </c>
      <c r="F533" s="43" t="s">
        <v>304</v>
      </c>
      <c r="G533" s="43" t="s">
        <v>296</v>
      </c>
      <c r="H533" s="43" t="s">
        <v>207</v>
      </c>
      <c r="I533" s="44">
        <v>45593</v>
      </c>
      <c r="J533" s="44">
        <v>45593</v>
      </c>
      <c r="K533" s="45">
        <v>0</v>
      </c>
      <c r="L533" s="45">
        <v>0</v>
      </c>
      <c r="M533" s="45">
        <v>0</v>
      </c>
      <c r="N533" s="45">
        <v>2</v>
      </c>
      <c r="O533" s="45">
        <v>123.17400000000001</v>
      </c>
      <c r="P533" s="62">
        <f t="shared" si="9"/>
        <v>2</v>
      </c>
    </row>
    <row r="534" spans="1:16" x14ac:dyDescent="0.25">
      <c r="A534" s="43" t="s">
        <v>200</v>
      </c>
      <c r="B534" s="43" t="s">
        <v>291</v>
      </c>
      <c r="C534" s="43" t="s">
        <v>292</v>
      </c>
      <c r="D534" s="43" t="s">
        <v>407</v>
      </c>
      <c r="E534" s="43" t="s">
        <v>413</v>
      </c>
      <c r="F534" s="43" t="s">
        <v>304</v>
      </c>
      <c r="G534" s="43" t="s">
        <v>232</v>
      </c>
      <c r="H534" s="43" t="s">
        <v>207</v>
      </c>
      <c r="I534" s="44">
        <v>45633</v>
      </c>
      <c r="J534" s="44">
        <v>45633</v>
      </c>
      <c r="K534" s="45">
        <v>0</v>
      </c>
      <c r="L534" s="45">
        <v>0</v>
      </c>
      <c r="M534" s="45">
        <v>0</v>
      </c>
      <c r="N534" s="45">
        <v>6</v>
      </c>
      <c r="O534" s="45">
        <v>388.73700000000002</v>
      </c>
      <c r="P534" s="62">
        <f t="shared" si="9"/>
        <v>6</v>
      </c>
    </row>
    <row r="535" spans="1:16" x14ac:dyDescent="0.25">
      <c r="A535" s="43" t="s">
        <v>200</v>
      </c>
      <c r="B535" s="43" t="s">
        <v>291</v>
      </c>
      <c r="C535" s="43" t="s">
        <v>292</v>
      </c>
      <c r="D535" s="43" t="s">
        <v>407</v>
      </c>
      <c r="E535" s="43" t="s">
        <v>413</v>
      </c>
      <c r="F535" s="43" t="s">
        <v>304</v>
      </c>
      <c r="G535" s="43" t="s">
        <v>233</v>
      </c>
      <c r="H535" s="43" t="s">
        <v>207</v>
      </c>
      <c r="I535" s="44">
        <v>45633</v>
      </c>
      <c r="J535" s="44">
        <v>45633</v>
      </c>
      <c r="K535" s="45">
        <v>0</v>
      </c>
      <c r="L535" s="45">
        <v>0</v>
      </c>
      <c r="M535" s="45">
        <v>0</v>
      </c>
      <c r="N535" s="45">
        <v>6</v>
      </c>
      <c r="O535" s="45">
        <v>388.73700000000002</v>
      </c>
      <c r="P535" s="62">
        <f t="shared" si="9"/>
        <v>6</v>
      </c>
    </row>
    <row r="536" spans="1:16" x14ac:dyDescent="0.25">
      <c r="A536" s="43" t="s">
        <v>200</v>
      </c>
      <c r="B536" s="43" t="s">
        <v>291</v>
      </c>
      <c r="C536" s="43" t="s">
        <v>292</v>
      </c>
      <c r="D536" s="43" t="s">
        <v>407</v>
      </c>
      <c r="E536" s="43" t="s">
        <v>413</v>
      </c>
      <c r="F536" s="43" t="s">
        <v>304</v>
      </c>
      <c r="G536" s="43" t="s">
        <v>234</v>
      </c>
      <c r="H536" s="43" t="s">
        <v>207</v>
      </c>
      <c r="I536" s="44">
        <v>45633</v>
      </c>
      <c r="J536" s="44">
        <v>45633</v>
      </c>
      <c r="K536" s="45">
        <v>0</v>
      </c>
      <c r="L536" s="45">
        <v>0</v>
      </c>
      <c r="M536" s="45">
        <v>0</v>
      </c>
      <c r="N536" s="45">
        <v>4</v>
      </c>
      <c r="O536" s="45">
        <v>259.15800000000002</v>
      </c>
      <c r="P536" s="62">
        <f t="shared" si="9"/>
        <v>4</v>
      </c>
    </row>
    <row r="537" spans="1:16" x14ac:dyDescent="0.25">
      <c r="A537" s="43" t="s">
        <v>200</v>
      </c>
      <c r="B537" s="43" t="s">
        <v>291</v>
      </c>
      <c r="C537" s="43" t="s">
        <v>292</v>
      </c>
      <c r="D537" s="43" t="s">
        <v>407</v>
      </c>
      <c r="E537" s="43" t="s">
        <v>413</v>
      </c>
      <c r="F537" s="43" t="s">
        <v>304</v>
      </c>
      <c r="G537" s="43" t="s">
        <v>259</v>
      </c>
      <c r="H537" s="43" t="s">
        <v>207</v>
      </c>
      <c r="I537" s="44">
        <v>45636</v>
      </c>
      <c r="J537" s="44">
        <v>45636</v>
      </c>
      <c r="K537" s="45">
        <v>0</v>
      </c>
      <c r="L537" s="45">
        <v>0</v>
      </c>
      <c r="M537" s="45">
        <v>0</v>
      </c>
      <c r="N537" s="45">
        <v>2</v>
      </c>
      <c r="O537" s="45">
        <v>129.57900000000001</v>
      </c>
      <c r="P537" s="62">
        <f t="shared" si="9"/>
        <v>2</v>
      </c>
    </row>
    <row r="538" spans="1:16" x14ac:dyDescent="0.25">
      <c r="A538" s="43" t="s">
        <v>200</v>
      </c>
      <c r="B538" s="43" t="s">
        <v>291</v>
      </c>
      <c r="C538" s="43" t="s">
        <v>292</v>
      </c>
      <c r="D538" s="43" t="s">
        <v>407</v>
      </c>
      <c r="E538" s="43" t="s">
        <v>413</v>
      </c>
      <c r="F538" s="43" t="s">
        <v>304</v>
      </c>
      <c r="G538" s="43" t="s">
        <v>296</v>
      </c>
      <c r="H538" s="43" t="s">
        <v>207</v>
      </c>
      <c r="I538" s="44">
        <v>45633</v>
      </c>
      <c r="J538" s="44">
        <v>45633</v>
      </c>
      <c r="K538" s="45">
        <v>0</v>
      </c>
      <c r="L538" s="45">
        <v>0</v>
      </c>
      <c r="M538" s="45">
        <v>0</v>
      </c>
      <c r="N538" s="45">
        <v>2</v>
      </c>
      <c r="O538" s="45">
        <v>129.57900000000001</v>
      </c>
      <c r="P538" s="62">
        <f t="shared" si="9"/>
        <v>2</v>
      </c>
    </row>
    <row r="539" spans="1:16" x14ac:dyDescent="0.25">
      <c r="A539" s="43" t="s">
        <v>200</v>
      </c>
      <c r="B539" s="43" t="s">
        <v>291</v>
      </c>
      <c r="C539" s="43" t="s">
        <v>292</v>
      </c>
      <c r="D539" s="43" t="s">
        <v>407</v>
      </c>
      <c r="E539" s="43" t="s">
        <v>414</v>
      </c>
      <c r="F539" s="43" t="s">
        <v>304</v>
      </c>
      <c r="G539" s="43" t="s">
        <v>234</v>
      </c>
      <c r="H539" s="43" t="s">
        <v>207</v>
      </c>
      <c r="I539" s="44">
        <v>45637</v>
      </c>
      <c r="J539" s="44">
        <v>45637</v>
      </c>
      <c r="K539" s="45">
        <v>0</v>
      </c>
      <c r="L539" s="45">
        <v>0</v>
      </c>
      <c r="M539" s="45">
        <v>0</v>
      </c>
      <c r="N539" s="45">
        <v>1</v>
      </c>
      <c r="O539" s="45">
        <v>64.789500000000004</v>
      </c>
      <c r="P539" s="62">
        <f t="shared" si="9"/>
        <v>1</v>
      </c>
    </row>
    <row r="540" spans="1:16" x14ac:dyDescent="0.25">
      <c r="A540" s="43" t="s">
        <v>200</v>
      </c>
      <c r="B540" s="43" t="s">
        <v>291</v>
      </c>
      <c r="C540" s="43" t="s">
        <v>292</v>
      </c>
      <c r="D540" s="43" t="s">
        <v>407</v>
      </c>
      <c r="E540" s="43" t="s">
        <v>415</v>
      </c>
      <c r="F540" s="43" t="s">
        <v>416</v>
      </c>
      <c r="G540" s="43" t="s">
        <v>232</v>
      </c>
      <c r="H540" s="43" t="s">
        <v>207</v>
      </c>
      <c r="I540" s="44">
        <v>45432</v>
      </c>
      <c r="J540" s="44">
        <v>45609</v>
      </c>
      <c r="K540" s="45">
        <v>3</v>
      </c>
      <c r="L540" s="45">
        <v>256.66199999999998</v>
      </c>
      <c r="M540" s="45">
        <v>691.71</v>
      </c>
      <c r="N540" s="45">
        <v>0</v>
      </c>
      <c r="O540" s="45">
        <v>0</v>
      </c>
      <c r="P540" s="62">
        <f t="shared" si="9"/>
        <v>3</v>
      </c>
    </row>
    <row r="541" spans="1:16" x14ac:dyDescent="0.25">
      <c r="A541" s="43" t="s">
        <v>200</v>
      </c>
      <c r="B541" s="43" t="s">
        <v>291</v>
      </c>
      <c r="C541" s="43" t="s">
        <v>292</v>
      </c>
      <c r="D541" s="43" t="s">
        <v>407</v>
      </c>
      <c r="E541" s="43" t="s">
        <v>415</v>
      </c>
      <c r="F541" s="43" t="s">
        <v>416</v>
      </c>
      <c r="G541" s="43" t="s">
        <v>233</v>
      </c>
      <c r="H541" s="43" t="s">
        <v>207</v>
      </c>
      <c r="I541" s="44">
        <v>45432</v>
      </c>
      <c r="J541" s="44">
        <v>45615</v>
      </c>
      <c r="K541" s="45">
        <v>7</v>
      </c>
      <c r="L541" s="45">
        <v>598.89340000000004</v>
      </c>
      <c r="M541" s="45">
        <v>1614</v>
      </c>
      <c r="N541" s="45">
        <v>0</v>
      </c>
      <c r="O541" s="45">
        <v>0</v>
      </c>
      <c r="P541" s="62">
        <f t="shared" si="9"/>
        <v>7</v>
      </c>
    </row>
    <row r="542" spans="1:16" x14ac:dyDescent="0.25">
      <c r="A542" s="43" t="s">
        <v>200</v>
      </c>
      <c r="B542" s="43" t="s">
        <v>291</v>
      </c>
      <c r="C542" s="43" t="s">
        <v>292</v>
      </c>
      <c r="D542" s="43" t="s">
        <v>407</v>
      </c>
      <c r="E542" s="43" t="s">
        <v>415</v>
      </c>
      <c r="F542" s="43" t="s">
        <v>416</v>
      </c>
      <c r="G542" s="43" t="s">
        <v>234</v>
      </c>
      <c r="H542" s="43" t="s">
        <v>207</v>
      </c>
      <c r="I542" s="44">
        <v>45432</v>
      </c>
      <c r="J542" s="44">
        <v>45615</v>
      </c>
      <c r="K542" s="45">
        <v>4</v>
      </c>
      <c r="L542" s="45">
        <v>342.22800000000001</v>
      </c>
      <c r="M542" s="45">
        <v>922.29</v>
      </c>
      <c r="N542" s="45">
        <v>0</v>
      </c>
      <c r="O542" s="45">
        <v>0</v>
      </c>
      <c r="P542" s="62">
        <f t="shared" si="9"/>
        <v>4</v>
      </c>
    </row>
    <row r="543" spans="1:16" x14ac:dyDescent="0.25">
      <c r="A543" s="43" t="s">
        <v>200</v>
      </c>
      <c r="B543" s="43" t="s">
        <v>291</v>
      </c>
      <c r="C543" s="43" t="s">
        <v>292</v>
      </c>
      <c r="D543" s="43" t="s">
        <v>407</v>
      </c>
      <c r="E543" s="43" t="s">
        <v>415</v>
      </c>
      <c r="F543" s="43" t="s">
        <v>416</v>
      </c>
      <c r="G543" s="43" t="s">
        <v>296</v>
      </c>
      <c r="H543" s="43" t="s">
        <v>207</v>
      </c>
      <c r="I543" s="44">
        <v>45591</v>
      </c>
      <c r="J543" s="44">
        <v>45591</v>
      </c>
      <c r="K543" s="45">
        <v>1</v>
      </c>
      <c r="L543" s="45">
        <v>85.551100000000005</v>
      </c>
      <c r="M543" s="45">
        <v>230.57</v>
      </c>
      <c r="N543" s="45">
        <v>0</v>
      </c>
      <c r="O543" s="45">
        <v>0</v>
      </c>
      <c r="P543" s="62">
        <f t="shared" si="9"/>
        <v>1</v>
      </c>
    </row>
    <row r="544" spans="1:16" x14ac:dyDescent="0.25">
      <c r="A544" s="43" t="s">
        <v>200</v>
      </c>
      <c r="B544" s="43" t="s">
        <v>291</v>
      </c>
      <c r="C544" s="43" t="s">
        <v>292</v>
      </c>
      <c r="D544" s="43" t="s">
        <v>407</v>
      </c>
      <c r="E544" s="43" t="s">
        <v>417</v>
      </c>
      <c r="F544" s="43" t="s">
        <v>416</v>
      </c>
      <c r="G544" s="43" t="s">
        <v>233</v>
      </c>
      <c r="H544" s="43" t="s">
        <v>218</v>
      </c>
      <c r="I544" s="44">
        <v>45591</v>
      </c>
      <c r="J544" s="44">
        <v>45609</v>
      </c>
      <c r="K544" s="45">
        <v>3</v>
      </c>
      <c r="L544" s="45">
        <v>256.6533</v>
      </c>
      <c r="M544" s="45">
        <v>717.33</v>
      </c>
      <c r="N544" s="45">
        <v>0</v>
      </c>
      <c r="O544" s="45">
        <v>0</v>
      </c>
      <c r="P544" s="62">
        <f t="shared" si="9"/>
        <v>3</v>
      </c>
    </row>
    <row r="545" spans="1:16" x14ac:dyDescent="0.25">
      <c r="A545" s="43" t="s">
        <v>200</v>
      </c>
      <c r="B545" s="43" t="s">
        <v>291</v>
      </c>
      <c r="C545" s="43" t="s">
        <v>292</v>
      </c>
      <c r="D545" s="43" t="s">
        <v>407</v>
      </c>
      <c r="E545" s="43" t="s">
        <v>417</v>
      </c>
      <c r="F545" s="43" t="s">
        <v>416</v>
      </c>
      <c r="G545" s="43" t="s">
        <v>234</v>
      </c>
      <c r="H545" s="43" t="s">
        <v>218</v>
      </c>
      <c r="I545" s="44">
        <v>45591</v>
      </c>
      <c r="J545" s="44">
        <v>45608</v>
      </c>
      <c r="K545" s="45">
        <v>1</v>
      </c>
      <c r="L545" s="45">
        <v>85.551100000000005</v>
      </c>
      <c r="M545" s="45">
        <v>230.57</v>
      </c>
      <c r="N545" s="45">
        <v>0</v>
      </c>
      <c r="O545" s="45">
        <v>0</v>
      </c>
      <c r="P545" s="62">
        <f t="shared" si="9"/>
        <v>1</v>
      </c>
    </row>
    <row r="546" spans="1:16" x14ac:dyDescent="0.25">
      <c r="A546" s="43" t="s">
        <v>200</v>
      </c>
      <c r="B546" s="43" t="s">
        <v>291</v>
      </c>
      <c r="C546" s="43" t="s">
        <v>292</v>
      </c>
      <c r="D546" s="43" t="s">
        <v>407</v>
      </c>
      <c r="E546" s="43" t="s">
        <v>417</v>
      </c>
      <c r="F546" s="43" t="s">
        <v>416</v>
      </c>
      <c r="G546" s="43" t="s">
        <v>296</v>
      </c>
      <c r="H546" s="43" t="s">
        <v>218</v>
      </c>
      <c r="I546" s="44">
        <v>45591</v>
      </c>
      <c r="J546" s="44">
        <v>45591</v>
      </c>
      <c r="K546" s="45">
        <v>2</v>
      </c>
      <c r="L546" s="45">
        <v>171.10220000000001</v>
      </c>
      <c r="M546" s="45">
        <v>461.15</v>
      </c>
      <c r="N546" s="45">
        <v>0</v>
      </c>
      <c r="O546" s="45">
        <v>0</v>
      </c>
      <c r="P546" s="62">
        <f t="shared" si="9"/>
        <v>2</v>
      </c>
    </row>
    <row r="547" spans="1:16" x14ac:dyDescent="0.25">
      <c r="A547" s="43" t="s">
        <v>200</v>
      </c>
      <c r="B547" s="43" t="s">
        <v>291</v>
      </c>
      <c r="C547" s="43" t="s">
        <v>292</v>
      </c>
      <c r="D547" s="43" t="s">
        <v>407</v>
      </c>
      <c r="E547" s="43" t="s">
        <v>418</v>
      </c>
      <c r="F547" s="43" t="s">
        <v>286</v>
      </c>
      <c r="G547" s="43" t="s">
        <v>232</v>
      </c>
      <c r="H547" s="43" t="s">
        <v>207</v>
      </c>
      <c r="I547" s="44">
        <v>45591</v>
      </c>
      <c r="J547" s="44">
        <v>45609</v>
      </c>
      <c r="K547" s="45">
        <v>7</v>
      </c>
      <c r="L547" s="45">
        <v>598.85770000000002</v>
      </c>
      <c r="M547" s="45">
        <v>1562.77</v>
      </c>
      <c r="N547" s="45">
        <v>0</v>
      </c>
      <c r="O547" s="45">
        <v>0</v>
      </c>
      <c r="P547" s="62">
        <f t="shared" si="9"/>
        <v>7</v>
      </c>
    </row>
    <row r="548" spans="1:16" x14ac:dyDescent="0.25">
      <c r="A548" s="43" t="s">
        <v>200</v>
      </c>
      <c r="B548" s="43" t="s">
        <v>291</v>
      </c>
      <c r="C548" s="43" t="s">
        <v>292</v>
      </c>
      <c r="D548" s="43" t="s">
        <v>407</v>
      </c>
      <c r="E548" s="43" t="s">
        <v>418</v>
      </c>
      <c r="F548" s="43" t="s">
        <v>286</v>
      </c>
      <c r="G548" s="43" t="s">
        <v>233</v>
      </c>
      <c r="H548" s="43" t="s">
        <v>207</v>
      </c>
      <c r="I548" s="44">
        <v>45591</v>
      </c>
      <c r="J548" s="44">
        <v>45611</v>
      </c>
      <c r="K548" s="45">
        <v>12</v>
      </c>
      <c r="L548" s="45">
        <v>1026.6132</v>
      </c>
      <c r="M548" s="45">
        <v>2766.86</v>
      </c>
      <c r="N548" s="45">
        <v>0</v>
      </c>
      <c r="O548" s="45">
        <v>0</v>
      </c>
      <c r="P548" s="62">
        <f t="shared" si="9"/>
        <v>12</v>
      </c>
    </row>
    <row r="549" spans="1:16" x14ac:dyDescent="0.25">
      <c r="A549" s="43" t="s">
        <v>200</v>
      </c>
      <c r="B549" s="43" t="s">
        <v>291</v>
      </c>
      <c r="C549" s="43" t="s">
        <v>292</v>
      </c>
      <c r="D549" s="43" t="s">
        <v>407</v>
      </c>
      <c r="E549" s="43" t="s">
        <v>418</v>
      </c>
      <c r="F549" s="43" t="s">
        <v>286</v>
      </c>
      <c r="G549" s="43" t="s">
        <v>234</v>
      </c>
      <c r="H549" s="43" t="s">
        <v>207</v>
      </c>
      <c r="I549" s="44">
        <v>45591</v>
      </c>
      <c r="J549" s="44">
        <v>45609</v>
      </c>
      <c r="K549" s="45">
        <v>5</v>
      </c>
      <c r="L549" s="45">
        <v>427.76049999999998</v>
      </c>
      <c r="M549" s="45">
        <v>1152.8699999999999</v>
      </c>
      <c r="N549" s="45">
        <v>0</v>
      </c>
      <c r="O549" s="45">
        <v>0</v>
      </c>
      <c r="P549" s="62">
        <f t="shared" si="9"/>
        <v>5</v>
      </c>
    </row>
    <row r="550" spans="1:16" x14ac:dyDescent="0.25">
      <c r="A550" s="43" t="s">
        <v>200</v>
      </c>
      <c r="B550" s="43" t="s">
        <v>291</v>
      </c>
      <c r="C550" s="43" t="s">
        <v>292</v>
      </c>
      <c r="D550" s="43" t="s">
        <v>407</v>
      </c>
      <c r="E550" s="43" t="s">
        <v>418</v>
      </c>
      <c r="F550" s="43" t="s">
        <v>286</v>
      </c>
      <c r="G550" s="43" t="s">
        <v>259</v>
      </c>
      <c r="H550" s="43" t="s">
        <v>207</v>
      </c>
      <c r="I550" s="44">
        <v>45591</v>
      </c>
      <c r="J550" s="44">
        <v>45591</v>
      </c>
      <c r="K550" s="45">
        <v>2</v>
      </c>
      <c r="L550" s="45">
        <v>171.10220000000001</v>
      </c>
      <c r="M550" s="45">
        <v>461.14</v>
      </c>
      <c r="N550" s="45">
        <v>0</v>
      </c>
      <c r="O550" s="45">
        <v>0</v>
      </c>
      <c r="P550" s="62">
        <f t="shared" si="9"/>
        <v>2</v>
      </c>
    </row>
    <row r="551" spans="1:16" x14ac:dyDescent="0.25">
      <c r="A551" s="43" t="s">
        <v>200</v>
      </c>
      <c r="B551" s="43" t="s">
        <v>291</v>
      </c>
      <c r="C551" s="43" t="s">
        <v>292</v>
      </c>
      <c r="D551" s="43" t="s">
        <v>407</v>
      </c>
      <c r="E551" s="43" t="s">
        <v>418</v>
      </c>
      <c r="F551" s="43" t="s">
        <v>286</v>
      </c>
      <c r="G551" s="43" t="s">
        <v>296</v>
      </c>
      <c r="H551" s="43" t="s">
        <v>207</v>
      </c>
      <c r="I551" s="44">
        <v>45591</v>
      </c>
      <c r="J551" s="44">
        <v>45609</v>
      </c>
      <c r="K551" s="45">
        <v>1</v>
      </c>
      <c r="L551" s="45">
        <v>85.551100000000005</v>
      </c>
      <c r="M551" s="45">
        <v>256.27999999999997</v>
      </c>
      <c r="N551" s="45">
        <v>1</v>
      </c>
      <c r="O551" s="45">
        <v>85.551100000000005</v>
      </c>
      <c r="P551" s="62">
        <f t="shared" si="9"/>
        <v>2</v>
      </c>
    </row>
    <row r="552" spans="1:16" x14ac:dyDescent="0.25">
      <c r="A552" s="43" t="s">
        <v>200</v>
      </c>
      <c r="B552" s="43" t="s">
        <v>291</v>
      </c>
      <c r="C552" s="43" t="s">
        <v>292</v>
      </c>
      <c r="D552" s="43" t="s">
        <v>407</v>
      </c>
      <c r="E552" s="43" t="s">
        <v>419</v>
      </c>
      <c r="F552" s="43" t="s">
        <v>390</v>
      </c>
      <c r="G552" s="43" t="s">
        <v>232</v>
      </c>
      <c r="H552" s="43" t="s">
        <v>218</v>
      </c>
      <c r="I552" s="44">
        <v>45590</v>
      </c>
      <c r="J552" s="44">
        <v>45605</v>
      </c>
      <c r="K552" s="45">
        <v>3</v>
      </c>
      <c r="L552" s="45">
        <v>256.6533</v>
      </c>
      <c r="M552" s="45">
        <v>691.71</v>
      </c>
      <c r="N552" s="45">
        <v>0</v>
      </c>
      <c r="O552" s="45">
        <v>0</v>
      </c>
      <c r="P552" s="62">
        <f t="shared" si="9"/>
        <v>3</v>
      </c>
    </row>
    <row r="553" spans="1:16" x14ac:dyDescent="0.25">
      <c r="A553" s="43" t="s">
        <v>200</v>
      </c>
      <c r="B553" s="43" t="s">
        <v>291</v>
      </c>
      <c r="C553" s="43" t="s">
        <v>292</v>
      </c>
      <c r="D553" s="43" t="s">
        <v>407</v>
      </c>
      <c r="E553" s="43" t="s">
        <v>419</v>
      </c>
      <c r="F553" s="43" t="s">
        <v>390</v>
      </c>
      <c r="G553" s="43" t="s">
        <v>233</v>
      </c>
      <c r="H553" s="43" t="s">
        <v>218</v>
      </c>
      <c r="I553" s="44">
        <v>45590</v>
      </c>
      <c r="J553" s="44">
        <v>45605</v>
      </c>
      <c r="K553" s="45">
        <v>4</v>
      </c>
      <c r="L553" s="45">
        <v>342.20440000000002</v>
      </c>
      <c r="M553" s="45">
        <v>922.28</v>
      </c>
      <c r="N553" s="45">
        <v>0</v>
      </c>
      <c r="O553" s="45">
        <v>0</v>
      </c>
      <c r="P553" s="62">
        <f t="shared" si="9"/>
        <v>4</v>
      </c>
    </row>
    <row r="554" spans="1:16" x14ac:dyDescent="0.25">
      <c r="A554" s="43" t="s">
        <v>200</v>
      </c>
      <c r="B554" s="43" t="s">
        <v>291</v>
      </c>
      <c r="C554" s="43" t="s">
        <v>292</v>
      </c>
      <c r="D554" s="43" t="s">
        <v>407</v>
      </c>
      <c r="E554" s="43" t="s">
        <v>419</v>
      </c>
      <c r="F554" s="43" t="s">
        <v>390</v>
      </c>
      <c r="G554" s="43" t="s">
        <v>234</v>
      </c>
      <c r="H554" s="43" t="s">
        <v>218</v>
      </c>
      <c r="I554" s="44">
        <v>45591</v>
      </c>
      <c r="J554" s="44">
        <v>45605</v>
      </c>
      <c r="K554" s="45">
        <v>1</v>
      </c>
      <c r="L554" s="45">
        <v>85.551100000000005</v>
      </c>
      <c r="M554" s="45">
        <v>230.58</v>
      </c>
      <c r="N554" s="45">
        <v>0</v>
      </c>
      <c r="O554" s="45">
        <v>0</v>
      </c>
      <c r="P554" s="62">
        <f t="shared" si="9"/>
        <v>1</v>
      </c>
    </row>
    <row r="555" spans="1:16" x14ac:dyDescent="0.25">
      <c r="A555" s="43" t="s">
        <v>200</v>
      </c>
      <c r="B555" s="43" t="s">
        <v>291</v>
      </c>
      <c r="C555" s="43" t="s">
        <v>292</v>
      </c>
      <c r="D555" s="43" t="s">
        <v>407</v>
      </c>
      <c r="E555" s="43" t="s">
        <v>419</v>
      </c>
      <c r="F555" s="43" t="s">
        <v>390</v>
      </c>
      <c r="G555" s="43" t="s">
        <v>259</v>
      </c>
      <c r="H555" s="43" t="s">
        <v>218</v>
      </c>
      <c r="I555" s="44">
        <v>45590</v>
      </c>
      <c r="J555" s="44">
        <v>45590</v>
      </c>
      <c r="K555" s="45">
        <v>1</v>
      </c>
      <c r="L555" s="45">
        <v>85.551100000000005</v>
      </c>
      <c r="M555" s="45">
        <v>230.57</v>
      </c>
      <c r="N555" s="45">
        <v>0</v>
      </c>
      <c r="O555" s="45">
        <v>0</v>
      </c>
      <c r="P555" s="62">
        <f t="shared" si="9"/>
        <v>1</v>
      </c>
    </row>
    <row r="556" spans="1:16" x14ac:dyDescent="0.25">
      <c r="A556" s="43" t="s">
        <v>200</v>
      </c>
      <c r="B556" s="43" t="s">
        <v>291</v>
      </c>
      <c r="C556" s="43" t="s">
        <v>292</v>
      </c>
      <c r="D556" s="43" t="s">
        <v>407</v>
      </c>
      <c r="E556" s="43" t="s">
        <v>420</v>
      </c>
      <c r="F556" s="43" t="s">
        <v>304</v>
      </c>
      <c r="G556" s="43" t="s">
        <v>232</v>
      </c>
      <c r="H556" s="43" t="s">
        <v>207</v>
      </c>
      <c r="I556" s="44">
        <v>45432</v>
      </c>
      <c r="J556" s="44">
        <v>45642</v>
      </c>
      <c r="K556" s="45">
        <v>23</v>
      </c>
      <c r="L556" s="45">
        <v>1609.1489999999999</v>
      </c>
      <c r="M556" s="45">
        <v>4421.7</v>
      </c>
      <c r="N556" s="45">
        <v>5</v>
      </c>
      <c r="O556" s="45">
        <v>358.77949999999998</v>
      </c>
      <c r="P556" s="62">
        <f t="shared" si="9"/>
        <v>28</v>
      </c>
    </row>
    <row r="557" spans="1:16" x14ac:dyDescent="0.25">
      <c r="A557" s="43" t="s">
        <v>200</v>
      </c>
      <c r="B557" s="43" t="s">
        <v>291</v>
      </c>
      <c r="C557" s="43" t="s">
        <v>292</v>
      </c>
      <c r="D557" s="43" t="s">
        <v>407</v>
      </c>
      <c r="E557" s="43" t="s">
        <v>420</v>
      </c>
      <c r="F557" s="43" t="s">
        <v>304</v>
      </c>
      <c r="G557" s="43" t="s">
        <v>233</v>
      </c>
      <c r="H557" s="43" t="s">
        <v>207</v>
      </c>
      <c r="I557" s="44">
        <v>45432</v>
      </c>
      <c r="J557" s="44">
        <v>45640</v>
      </c>
      <c r="K557" s="45">
        <v>28</v>
      </c>
      <c r="L557" s="45">
        <v>1954.1714999999999</v>
      </c>
      <c r="M557" s="45">
        <v>5318.54</v>
      </c>
      <c r="N557" s="45">
        <v>11</v>
      </c>
      <c r="O557" s="45">
        <v>788.65269999999998</v>
      </c>
      <c r="P557" s="62">
        <f t="shared" si="9"/>
        <v>39</v>
      </c>
    </row>
    <row r="558" spans="1:16" x14ac:dyDescent="0.25">
      <c r="A558" s="43" t="s">
        <v>200</v>
      </c>
      <c r="B558" s="43" t="s">
        <v>291</v>
      </c>
      <c r="C558" s="43" t="s">
        <v>292</v>
      </c>
      <c r="D558" s="43" t="s">
        <v>407</v>
      </c>
      <c r="E558" s="43" t="s">
        <v>420</v>
      </c>
      <c r="F558" s="43" t="s">
        <v>304</v>
      </c>
      <c r="G558" s="43" t="s">
        <v>234</v>
      </c>
      <c r="H558" s="43" t="s">
        <v>207</v>
      </c>
      <c r="I558" s="44">
        <v>45432</v>
      </c>
      <c r="J558" s="44">
        <v>45637</v>
      </c>
      <c r="K558" s="45">
        <v>21</v>
      </c>
      <c r="L558" s="45">
        <v>1472.1139000000001</v>
      </c>
      <c r="M558" s="45">
        <v>3983.69</v>
      </c>
      <c r="N558" s="45">
        <v>1</v>
      </c>
      <c r="O558" s="45">
        <v>71.521699999999996</v>
      </c>
      <c r="P558" s="62">
        <f t="shared" si="9"/>
        <v>22</v>
      </c>
    </row>
    <row r="559" spans="1:16" x14ac:dyDescent="0.25">
      <c r="A559" s="43" t="s">
        <v>200</v>
      </c>
      <c r="B559" s="43" t="s">
        <v>291</v>
      </c>
      <c r="C559" s="43" t="s">
        <v>292</v>
      </c>
      <c r="D559" s="43" t="s">
        <v>407</v>
      </c>
      <c r="E559" s="43" t="s">
        <v>420</v>
      </c>
      <c r="F559" s="43" t="s">
        <v>304</v>
      </c>
      <c r="G559" s="43" t="s">
        <v>259</v>
      </c>
      <c r="H559" s="43" t="s">
        <v>207</v>
      </c>
      <c r="I559" s="44">
        <v>45432</v>
      </c>
      <c r="J559" s="44">
        <v>45647</v>
      </c>
      <c r="K559" s="45">
        <v>4</v>
      </c>
      <c r="L559" s="45">
        <v>280.95940000000002</v>
      </c>
      <c r="M559" s="45">
        <v>792.57</v>
      </c>
      <c r="N559" s="45">
        <v>1</v>
      </c>
      <c r="O559" s="45">
        <v>72.016900000000007</v>
      </c>
      <c r="P559" s="62">
        <f t="shared" si="9"/>
        <v>5</v>
      </c>
    </row>
    <row r="560" spans="1:16" x14ac:dyDescent="0.25">
      <c r="A560" s="43" t="s">
        <v>200</v>
      </c>
      <c r="B560" s="43" t="s">
        <v>291</v>
      </c>
      <c r="C560" s="43" t="s">
        <v>292</v>
      </c>
      <c r="D560" s="43" t="s">
        <v>407</v>
      </c>
      <c r="E560" s="43" t="s">
        <v>420</v>
      </c>
      <c r="F560" s="43" t="s">
        <v>304</v>
      </c>
      <c r="G560" s="43" t="s">
        <v>296</v>
      </c>
      <c r="H560" s="43" t="s">
        <v>207</v>
      </c>
      <c r="I560" s="44">
        <v>45593</v>
      </c>
      <c r="J560" s="44">
        <v>45629</v>
      </c>
      <c r="K560" s="45">
        <v>7</v>
      </c>
      <c r="L560" s="45">
        <v>489.8793</v>
      </c>
      <c r="M560" s="45">
        <v>1355.7</v>
      </c>
      <c r="N560" s="45">
        <v>0</v>
      </c>
      <c r="O560" s="45">
        <v>0</v>
      </c>
      <c r="P560" s="62">
        <f t="shared" si="9"/>
        <v>7</v>
      </c>
    </row>
    <row r="561" spans="1:16" x14ac:dyDescent="0.25">
      <c r="A561" s="43" t="s">
        <v>200</v>
      </c>
      <c r="B561" s="43" t="s">
        <v>291</v>
      </c>
      <c r="C561" s="43" t="s">
        <v>292</v>
      </c>
      <c r="D561" s="43" t="s">
        <v>407</v>
      </c>
      <c r="E561" s="43" t="s">
        <v>421</v>
      </c>
      <c r="F561" s="43" t="s">
        <v>304</v>
      </c>
      <c r="G561" s="43" t="s">
        <v>232</v>
      </c>
      <c r="H561" s="43" t="s">
        <v>207</v>
      </c>
      <c r="I561" s="44">
        <v>45608</v>
      </c>
      <c r="J561" s="44">
        <v>45643</v>
      </c>
      <c r="K561" s="45">
        <v>15</v>
      </c>
      <c r="L561" s="45">
        <v>1052.9467</v>
      </c>
      <c r="M561" s="45">
        <v>2857.4</v>
      </c>
      <c r="N561" s="45">
        <v>4</v>
      </c>
      <c r="O561" s="45">
        <v>286.8956</v>
      </c>
      <c r="P561" s="62">
        <f t="shared" si="9"/>
        <v>19</v>
      </c>
    </row>
    <row r="562" spans="1:16" x14ac:dyDescent="0.25">
      <c r="A562" s="43" t="s">
        <v>200</v>
      </c>
      <c r="B562" s="43" t="s">
        <v>291</v>
      </c>
      <c r="C562" s="43" t="s">
        <v>292</v>
      </c>
      <c r="D562" s="43" t="s">
        <v>407</v>
      </c>
      <c r="E562" s="43" t="s">
        <v>421</v>
      </c>
      <c r="F562" s="43" t="s">
        <v>304</v>
      </c>
      <c r="G562" s="43" t="s">
        <v>233</v>
      </c>
      <c r="H562" s="43" t="s">
        <v>207</v>
      </c>
      <c r="I562" s="44">
        <v>45608</v>
      </c>
      <c r="J562" s="44">
        <v>45636</v>
      </c>
      <c r="K562" s="45">
        <v>27</v>
      </c>
      <c r="L562" s="45">
        <v>1898.5156999999999</v>
      </c>
      <c r="M562" s="45">
        <v>5109.95</v>
      </c>
      <c r="N562" s="45">
        <v>6</v>
      </c>
      <c r="O562" s="45">
        <v>431.78460000000001</v>
      </c>
      <c r="P562" s="62">
        <f t="shared" si="9"/>
        <v>33</v>
      </c>
    </row>
    <row r="563" spans="1:16" x14ac:dyDescent="0.25">
      <c r="A563" s="43" t="s">
        <v>200</v>
      </c>
      <c r="B563" s="43" t="s">
        <v>291</v>
      </c>
      <c r="C563" s="43" t="s">
        <v>292</v>
      </c>
      <c r="D563" s="43" t="s">
        <v>407</v>
      </c>
      <c r="E563" s="43" t="s">
        <v>421</v>
      </c>
      <c r="F563" s="43" t="s">
        <v>304</v>
      </c>
      <c r="G563" s="43" t="s">
        <v>234</v>
      </c>
      <c r="H563" s="43" t="s">
        <v>207</v>
      </c>
      <c r="I563" s="44">
        <v>45608</v>
      </c>
      <c r="J563" s="44">
        <v>45647</v>
      </c>
      <c r="K563" s="45">
        <v>10</v>
      </c>
      <c r="L563" s="45">
        <v>700.52670000000001</v>
      </c>
      <c r="M563" s="45">
        <v>1877.13</v>
      </c>
      <c r="N563" s="45">
        <v>4</v>
      </c>
      <c r="O563" s="45">
        <v>286.35120000000001</v>
      </c>
      <c r="P563" s="62">
        <f t="shared" si="9"/>
        <v>14</v>
      </c>
    </row>
    <row r="564" spans="1:16" x14ac:dyDescent="0.25">
      <c r="A564" s="43" t="s">
        <v>200</v>
      </c>
      <c r="B564" s="43" t="s">
        <v>291</v>
      </c>
      <c r="C564" s="43" t="s">
        <v>292</v>
      </c>
      <c r="D564" s="43" t="s">
        <v>407</v>
      </c>
      <c r="E564" s="43" t="s">
        <v>421</v>
      </c>
      <c r="F564" s="43" t="s">
        <v>304</v>
      </c>
      <c r="G564" s="43" t="s">
        <v>259</v>
      </c>
      <c r="H564" s="43" t="s">
        <v>207</v>
      </c>
      <c r="I564" s="44">
        <v>45608</v>
      </c>
      <c r="J564" s="44">
        <v>45642</v>
      </c>
      <c r="K564" s="45">
        <v>6</v>
      </c>
      <c r="L564" s="45">
        <v>415.19479999999999</v>
      </c>
      <c r="M564" s="45">
        <v>1147.1400000000001</v>
      </c>
      <c r="N564" s="45">
        <v>2</v>
      </c>
      <c r="O564" s="45">
        <v>143.14599999999999</v>
      </c>
      <c r="P564" s="62">
        <f t="shared" si="9"/>
        <v>8</v>
      </c>
    </row>
    <row r="565" spans="1:16" x14ac:dyDescent="0.25">
      <c r="A565" s="43" t="s">
        <v>200</v>
      </c>
      <c r="B565" s="43" t="s">
        <v>291</v>
      </c>
      <c r="C565" s="43" t="s">
        <v>292</v>
      </c>
      <c r="D565" s="43" t="s">
        <v>407</v>
      </c>
      <c r="E565" s="43" t="s">
        <v>421</v>
      </c>
      <c r="F565" s="43" t="s">
        <v>304</v>
      </c>
      <c r="G565" s="43" t="s">
        <v>296</v>
      </c>
      <c r="H565" s="43" t="s">
        <v>207</v>
      </c>
      <c r="I565" s="44">
        <v>45608</v>
      </c>
      <c r="J565" s="44">
        <v>45645</v>
      </c>
      <c r="K565" s="45">
        <v>6</v>
      </c>
      <c r="L565" s="45">
        <v>424.98180000000002</v>
      </c>
      <c r="M565" s="45">
        <v>1126.3800000000001</v>
      </c>
      <c r="N565" s="45">
        <v>2</v>
      </c>
      <c r="O565" s="45">
        <v>144.03380000000001</v>
      </c>
      <c r="P565" s="62">
        <f t="shared" si="9"/>
        <v>8</v>
      </c>
    </row>
    <row r="566" spans="1:16" x14ac:dyDescent="0.25">
      <c r="A566" s="43" t="s">
        <v>200</v>
      </c>
      <c r="B566" s="43" t="s">
        <v>291</v>
      </c>
      <c r="C566" s="43" t="s">
        <v>292</v>
      </c>
      <c r="D566" s="43" t="s">
        <v>407</v>
      </c>
      <c r="E566" s="43" t="s">
        <v>422</v>
      </c>
      <c r="F566" s="43" t="s">
        <v>304</v>
      </c>
      <c r="G566" s="43" t="s">
        <v>232</v>
      </c>
      <c r="H566" s="43" t="s">
        <v>218</v>
      </c>
      <c r="I566" s="44">
        <v>45593</v>
      </c>
      <c r="J566" s="44">
        <v>45639</v>
      </c>
      <c r="K566" s="45">
        <v>6</v>
      </c>
      <c r="L566" s="45">
        <v>417.60939999999999</v>
      </c>
      <c r="M566" s="45">
        <v>1147.1400000000001</v>
      </c>
      <c r="N566" s="45">
        <v>6</v>
      </c>
      <c r="O566" s="45">
        <v>425.23439999999999</v>
      </c>
      <c r="P566" s="62">
        <f t="shared" si="9"/>
        <v>12</v>
      </c>
    </row>
    <row r="567" spans="1:16" x14ac:dyDescent="0.25">
      <c r="A567" s="43" t="s">
        <v>200</v>
      </c>
      <c r="B567" s="43" t="s">
        <v>291</v>
      </c>
      <c r="C567" s="43" t="s">
        <v>292</v>
      </c>
      <c r="D567" s="43" t="s">
        <v>407</v>
      </c>
      <c r="E567" s="43" t="s">
        <v>422</v>
      </c>
      <c r="F567" s="43" t="s">
        <v>304</v>
      </c>
      <c r="G567" s="43" t="s">
        <v>233</v>
      </c>
      <c r="H567" s="43" t="s">
        <v>218</v>
      </c>
      <c r="I567" s="44">
        <v>45593</v>
      </c>
      <c r="J567" s="44">
        <v>45635</v>
      </c>
      <c r="K567" s="45">
        <v>13</v>
      </c>
      <c r="L567" s="45">
        <v>916.87159999999994</v>
      </c>
      <c r="M567" s="45">
        <v>2419.39</v>
      </c>
      <c r="N567" s="45">
        <v>2</v>
      </c>
      <c r="O567" s="45">
        <v>143.2098</v>
      </c>
      <c r="P567" s="62">
        <f t="shared" si="9"/>
        <v>15</v>
      </c>
    </row>
    <row r="568" spans="1:16" x14ac:dyDescent="0.25">
      <c r="A568" s="43" t="s">
        <v>200</v>
      </c>
      <c r="B568" s="43" t="s">
        <v>291</v>
      </c>
      <c r="C568" s="43" t="s">
        <v>292</v>
      </c>
      <c r="D568" s="43" t="s">
        <v>407</v>
      </c>
      <c r="E568" s="43" t="s">
        <v>422</v>
      </c>
      <c r="F568" s="43" t="s">
        <v>304</v>
      </c>
      <c r="G568" s="43" t="s">
        <v>234</v>
      </c>
      <c r="H568" s="43" t="s">
        <v>218</v>
      </c>
      <c r="I568" s="44">
        <v>45593</v>
      </c>
      <c r="J568" s="44">
        <v>45629</v>
      </c>
      <c r="K568" s="45">
        <v>9</v>
      </c>
      <c r="L568" s="45">
        <v>633.9135</v>
      </c>
      <c r="M568" s="45">
        <v>1731.13</v>
      </c>
      <c r="N568" s="45">
        <v>0</v>
      </c>
      <c r="O568" s="45">
        <v>0</v>
      </c>
      <c r="P568" s="62">
        <f t="shared" si="9"/>
        <v>9</v>
      </c>
    </row>
    <row r="569" spans="1:16" x14ac:dyDescent="0.25">
      <c r="A569" s="43" t="s">
        <v>200</v>
      </c>
      <c r="B569" s="43" t="s">
        <v>291</v>
      </c>
      <c r="C569" s="43" t="s">
        <v>292</v>
      </c>
      <c r="D569" s="43" t="s">
        <v>407</v>
      </c>
      <c r="E569" s="43" t="s">
        <v>422</v>
      </c>
      <c r="F569" s="43" t="s">
        <v>304</v>
      </c>
      <c r="G569" s="43" t="s">
        <v>296</v>
      </c>
      <c r="H569" s="43" t="s">
        <v>218</v>
      </c>
      <c r="I569" s="44">
        <v>45593</v>
      </c>
      <c r="J569" s="44">
        <v>45593</v>
      </c>
      <c r="K569" s="45">
        <v>2</v>
      </c>
      <c r="L569" s="45">
        <v>136.91419999999999</v>
      </c>
      <c r="M569" s="45">
        <v>375.42</v>
      </c>
      <c r="N569" s="45">
        <v>0</v>
      </c>
      <c r="O569" s="45">
        <v>0</v>
      </c>
      <c r="P569" s="62">
        <f t="shared" si="9"/>
        <v>2</v>
      </c>
    </row>
    <row r="570" spans="1:16" x14ac:dyDescent="0.25">
      <c r="A570" s="43" t="s">
        <v>200</v>
      </c>
      <c r="B570" s="43" t="s">
        <v>291</v>
      </c>
      <c r="C570" s="43" t="s">
        <v>292</v>
      </c>
      <c r="D570" s="43" t="s">
        <v>407</v>
      </c>
      <c r="E570" s="43" t="s">
        <v>423</v>
      </c>
      <c r="F570" s="43" t="s">
        <v>304</v>
      </c>
      <c r="G570" s="43" t="s">
        <v>234</v>
      </c>
      <c r="H570" s="43" t="s">
        <v>207</v>
      </c>
      <c r="I570" s="44">
        <v>45637</v>
      </c>
      <c r="J570" s="44">
        <v>45644</v>
      </c>
      <c r="K570" s="45">
        <v>0</v>
      </c>
      <c r="L570" s="45">
        <v>0</v>
      </c>
      <c r="M570" s="45">
        <v>0</v>
      </c>
      <c r="N570" s="45">
        <v>1</v>
      </c>
      <c r="O570" s="45">
        <v>72.016900000000007</v>
      </c>
      <c r="P570" s="62">
        <f t="shared" si="9"/>
        <v>1</v>
      </c>
    </row>
    <row r="571" spans="1:16" x14ac:dyDescent="0.25">
      <c r="A571" s="43" t="s">
        <v>200</v>
      </c>
      <c r="B571" s="43" t="s">
        <v>291</v>
      </c>
      <c r="C571" s="43" t="s">
        <v>292</v>
      </c>
      <c r="D571" s="43" t="s">
        <v>407</v>
      </c>
      <c r="E571" s="43" t="s">
        <v>424</v>
      </c>
      <c r="F571" s="43" t="s">
        <v>304</v>
      </c>
      <c r="G571" s="43" t="s">
        <v>234</v>
      </c>
      <c r="H571" s="43" t="s">
        <v>207</v>
      </c>
      <c r="I571" s="44">
        <v>45637</v>
      </c>
      <c r="J571" s="44">
        <v>45637</v>
      </c>
      <c r="K571" s="45">
        <v>0</v>
      </c>
      <c r="L571" s="45">
        <v>0</v>
      </c>
      <c r="M571" s="45">
        <v>0</v>
      </c>
      <c r="N571" s="45">
        <v>1</v>
      </c>
      <c r="O571" s="45">
        <v>72.018799999999999</v>
      </c>
      <c r="P571" s="62">
        <f t="shared" si="9"/>
        <v>1</v>
      </c>
    </row>
    <row r="572" spans="1:16" x14ac:dyDescent="0.25">
      <c r="A572" s="43" t="s">
        <v>200</v>
      </c>
      <c r="B572" s="43" t="s">
        <v>291</v>
      </c>
      <c r="C572" s="43" t="s">
        <v>292</v>
      </c>
      <c r="D572" s="43" t="s">
        <v>407</v>
      </c>
      <c r="E572" s="43" t="s">
        <v>425</v>
      </c>
      <c r="F572" s="43" t="s">
        <v>416</v>
      </c>
      <c r="G572" s="43" t="s">
        <v>233</v>
      </c>
      <c r="H572" s="43" t="s">
        <v>207</v>
      </c>
      <c r="I572" s="44">
        <v>45590</v>
      </c>
      <c r="J572" s="44">
        <v>45615</v>
      </c>
      <c r="K572" s="45">
        <v>2</v>
      </c>
      <c r="L572" s="45">
        <v>188.2466</v>
      </c>
      <c r="M572" s="45">
        <v>512.57000000000005</v>
      </c>
      <c r="N572" s="45">
        <v>0</v>
      </c>
      <c r="O572" s="45">
        <v>0</v>
      </c>
      <c r="P572" s="62">
        <f t="shared" si="9"/>
        <v>2</v>
      </c>
    </row>
    <row r="573" spans="1:16" x14ac:dyDescent="0.25">
      <c r="A573" s="43" t="s">
        <v>200</v>
      </c>
      <c r="B573" s="43" t="s">
        <v>291</v>
      </c>
      <c r="C573" s="43" t="s">
        <v>292</v>
      </c>
      <c r="D573" s="43" t="s">
        <v>407</v>
      </c>
      <c r="E573" s="43" t="s">
        <v>425</v>
      </c>
      <c r="F573" s="43" t="s">
        <v>416</v>
      </c>
      <c r="G573" s="43" t="s">
        <v>234</v>
      </c>
      <c r="H573" s="43" t="s">
        <v>207</v>
      </c>
      <c r="I573" s="44">
        <v>45590</v>
      </c>
      <c r="J573" s="44">
        <v>45615</v>
      </c>
      <c r="K573" s="45">
        <v>2</v>
      </c>
      <c r="L573" s="45">
        <v>188.25280000000001</v>
      </c>
      <c r="M573" s="45">
        <v>512.57000000000005</v>
      </c>
      <c r="N573" s="45">
        <v>2</v>
      </c>
      <c r="O573" s="45">
        <v>188.25280000000001</v>
      </c>
      <c r="P573" s="62">
        <f t="shared" si="9"/>
        <v>4</v>
      </c>
    </row>
    <row r="574" spans="1:16" x14ac:dyDescent="0.25">
      <c r="A574" s="43" t="s">
        <v>200</v>
      </c>
      <c r="B574" s="43" t="s">
        <v>291</v>
      </c>
      <c r="C574" s="43" t="s">
        <v>292</v>
      </c>
      <c r="D574" s="43" t="s">
        <v>407</v>
      </c>
      <c r="E574" s="43" t="s">
        <v>425</v>
      </c>
      <c r="F574" s="43" t="s">
        <v>416</v>
      </c>
      <c r="G574" s="43" t="s">
        <v>296</v>
      </c>
      <c r="H574" s="43" t="s">
        <v>207</v>
      </c>
      <c r="I574" s="44">
        <v>45590</v>
      </c>
      <c r="J574" s="44">
        <v>45615</v>
      </c>
      <c r="K574" s="45">
        <v>2</v>
      </c>
      <c r="L574" s="45">
        <v>188.2561</v>
      </c>
      <c r="M574" s="45">
        <v>512.57000000000005</v>
      </c>
      <c r="N574" s="45">
        <v>0</v>
      </c>
      <c r="O574" s="45">
        <v>0</v>
      </c>
      <c r="P574" s="62">
        <f t="shared" si="9"/>
        <v>2</v>
      </c>
    </row>
    <row r="575" spans="1:16" x14ac:dyDescent="0.25">
      <c r="A575" s="43" t="s">
        <v>200</v>
      </c>
      <c r="B575" s="43" t="s">
        <v>291</v>
      </c>
      <c r="C575" s="43" t="s">
        <v>292</v>
      </c>
      <c r="D575" s="43" t="s">
        <v>407</v>
      </c>
      <c r="E575" s="43" t="s">
        <v>426</v>
      </c>
      <c r="F575" s="43" t="s">
        <v>416</v>
      </c>
      <c r="G575" s="43" t="s">
        <v>232</v>
      </c>
      <c r="H575" s="43" t="s">
        <v>218</v>
      </c>
      <c r="I575" s="44">
        <v>45591</v>
      </c>
      <c r="J575" s="44">
        <v>45614</v>
      </c>
      <c r="K575" s="45">
        <v>1</v>
      </c>
      <c r="L575" s="45">
        <v>94.118300000000005</v>
      </c>
      <c r="M575" s="45">
        <v>256.29000000000002</v>
      </c>
      <c r="N575" s="45">
        <v>0</v>
      </c>
      <c r="O575" s="45">
        <v>0</v>
      </c>
      <c r="P575" s="62">
        <f t="shared" si="9"/>
        <v>1</v>
      </c>
    </row>
    <row r="576" spans="1:16" x14ac:dyDescent="0.25">
      <c r="A576" s="43" t="s">
        <v>200</v>
      </c>
      <c r="B576" s="43" t="s">
        <v>291</v>
      </c>
      <c r="C576" s="43" t="s">
        <v>292</v>
      </c>
      <c r="D576" s="43" t="s">
        <v>407</v>
      </c>
      <c r="E576" s="43" t="s">
        <v>426</v>
      </c>
      <c r="F576" s="43" t="s">
        <v>416</v>
      </c>
      <c r="G576" s="43" t="s">
        <v>233</v>
      </c>
      <c r="H576" s="43" t="s">
        <v>218</v>
      </c>
      <c r="I576" s="44">
        <v>45591</v>
      </c>
      <c r="J576" s="44">
        <v>45610</v>
      </c>
      <c r="K576" s="45">
        <v>3</v>
      </c>
      <c r="L576" s="45">
        <v>282.35849999999999</v>
      </c>
      <c r="M576" s="45">
        <v>768.87</v>
      </c>
      <c r="N576" s="45">
        <v>0</v>
      </c>
      <c r="O576" s="45">
        <v>0</v>
      </c>
      <c r="P576" s="62">
        <f t="shared" si="9"/>
        <v>3</v>
      </c>
    </row>
    <row r="577" spans="1:16" x14ac:dyDescent="0.25">
      <c r="A577" s="43" t="s">
        <v>200</v>
      </c>
      <c r="B577" s="43" t="s">
        <v>291</v>
      </c>
      <c r="C577" s="43" t="s">
        <v>292</v>
      </c>
      <c r="D577" s="43" t="s">
        <v>407</v>
      </c>
      <c r="E577" s="43" t="s">
        <v>426</v>
      </c>
      <c r="F577" s="43" t="s">
        <v>416</v>
      </c>
      <c r="G577" s="43" t="s">
        <v>234</v>
      </c>
      <c r="H577" s="43" t="s">
        <v>218</v>
      </c>
      <c r="I577" s="44">
        <v>45591</v>
      </c>
      <c r="J577" s="44">
        <v>45615</v>
      </c>
      <c r="K577" s="45">
        <v>2</v>
      </c>
      <c r="L577" s="45">
        <v>188.23660000000001</v>
      </c>
      <c r="M577" s="45">
        <v>512.57000000000005</v>
      </c>
      <c r="N577" s="45">
        <v>0</v>
      </c>
      <c r="O577" s="45">
        <v>0</v>
      </c>
      <c r="P577" s="62">
        <f t="shared" si="9"/>
        <v>2</v>
      </c>
    </row>
    <row r="578" spans="1:16" x14ac:dyDescent="0.25">
      <c r="A578" s="43" t="s">
        <v>200</v>
      </c>
      <c r="B578" s="43" t="s">
        <v>291</v>
      </c>
      <c r="C578" s="43" t="s">
        <v>292</v>
      </c>
      <c r="D578" s="43" t="s">
        <v>407</v>
      </c>
      <c r="E578" s="43" t="s">
        <v>427</v>
      </c>
      <c r="F578" s="43" t="s">
        <v>356</v>
      </c>
      <c r="G578" s="43" t="s">
        <v>232</v>
      </c>
      <c r="H578" s="43" t="s">
        <v>207</v>
      </c>
      <c r="I578" s="44">
        <v>45593</v>
      </c>
      <c r="J578" s="44">
        <v>45647</v>
      </c>
      <c r="K578" s="45">
        <v>6</v>
      </c>
      <c r="L578" s="45">
        <v>573.20690000000002</v>
      </c>
      <c r="M578" s="45">
        <v>1566.2</v>
      </c>
      <c r="N578" s="45">
        <v>5</v>
      </c>
      <c r="O578" s="45">
        <v>486.56599999999997</v>
      </c>
      <c r="P578" s="62">
        <f t="shared" si="9"/>
        <v>11</v>
      </c>
    </row>
    <row r="579" spans="1:16" x14ac:dyDescent="0.25">
      <c r="A579" s="43" t="s">
        <v>200</v>
      </c>
      <c r="B579" s="43" t="s">
        <v>291</v>
      </c>
      <c r="C579" s="43" t="s">
        <v>292</v>
      </c>
      <c r="D579" s="43" t="s">
        <v>407</v>
      </c>
      <c r="E579" s="43" t="s">
        <v>427</v>
      </c>
      <c r="F579" s="43" t="s">
        <v>356</v>
      </c>
      <c r="G579" s="43" t="s">
        <v>233</v>
      </c>
      <c r="H579" s="43" t="s">
        <v>207</v>
      </c>
      <c r="I579" s="44">
        <v>45593</v>
      </c>
      <c r="J579" s="44">
        <v>45645</v>
      </c>
      <c r="K579" s="45">
        <v>15</v>
      </c>
      <c r="L579" s="45">
        <v>1456.9418000000001</v>
      </c>
      <c r="M579" s="45">
        <v>3986.69</v>
      </c>
      <c r="N579" s="45">
        <v>5</v>
      </c>
      <c r="O579" s="45">
        <v>493.94400000000002</v>
      </c>
      <c r="P579" s="62">
        <f t="shared" si="9"/>
        <v>20</v>
      </c>
    </row>
    <row r="580" spans="1:16" x14ac:dyDescent="0.25">
      <c r="A580" s="43" t="s">
        <v>200</v>
      </c>
      <c r="B580" s="43" t="s">
        <v>291</v>
      </c>
      <c r="C580" s="43" t="s">
        <v>292</v>
      </c>
      <c r="D580" s="43" t="s">
        <v>407</v>
      </c>
      <c r="E580" s="43" t="s">
        <v>427</v>
      </c>
      <c r="F580" s="43" t="s">
        <v>356</v>
      </c>
      <c r="G580" s="43" t="s">
        <v>234</v>
      </c>
      <c r="H580" s="43" t="s">
        <v>207</v>
      </c>
      <c r="I580" s="44">
        <v>45593</v>
      </c>
      <c r="J580" s="44">
        <v>45638</v>
      </c>
      <c r="K580" s="45">
        <v>8</v>
      </c>
      <c r="L580" s="45">
        <v>774.07169999999996</v>
      </c>
      <c r="M580" s="45">
        <v>2050.3000000000002</v>
      </c>
      <c r="N580" s="45">
        <v>4</v>
      </c>
      <c r="O580" s="45">
        <v>394.5016</v>
      </c>
      <c r="P580" s="62">
        <f t="shared" si="9"/>
        <v>12</v>
      </c>
    </row>
    <row r="581" spans="1:16" x14ac:dyDescent="0.25">
      <c r="A581" s="43" t="s">
        <v>200</v>
      </c>
      <c r="B581" s="43" t="s">
        <v>291</v>
      </c>
      <c r="C581" s="43" t="s">
        <v>292</v>
      </c>
      <c r="D581" s="43" t="s">
        <v>407</v>
      </c>
      <c r="E581" s="43" t="s">
        <v>427</v>
      </c>
      <c r="F581" s="43" t="s">
        <v>356</v>
      </c>
      <c r="G581" s="43" t="s">
        <v>259</v>
      </c>
      <c r="H581" s="43" t="s">
        <v>207</v>
      </c>
      <c r="I581" s="44">
        <v>45593</v>
      </c>
      <c r="J581" s="44">
        <v>45647</v>
      </c>
      <c r="K581" s="45">
        <v>0</v>
      </c>
      <c r="L581" s="45">
        <v>0</v>
      </c>
      <c r="M581" s="45">
        <v>0</v>
      </c>
      <c r="N581" s="45">
        <v>2</v>
      </c>
      <c r="O581" s="45">
        <v>188.23660000000001</v>
      </c>
      <c r="P581" s="62">
        <f t="shared" si="9"/>
        <v>2</v>
      </c>
    </row>
    <row r="582" spans="1:16" x14ac:dyDescent="0.25">
      <c r="A582" s="43" t="s">
        <v>200</v>
      </c>
      <c r="B582" s="43" t="s">
        <v>291</v>
      </c>
      <c r="C582" s="43" t="s">
        <v>292</v>
      </c>
      <c r="D582" s="43" t="s">
        <v>407</v>
      </c>
      <c r="E582" s="43" t="s">
        <v>427</v>
      </c>
      <c r="F582" s="43" t="s">
        <v>356</v>
      </c>
      <c r="G582" s="43" t="s">
        <v>296</v>
      </c>
      <c r="H582" s="43" t="s">
        <v>207</v>
      </c>
      <c r="I582" s="44">
        <v>45593</v>
      </c>
      <c r="J582" s="44">
        <v>45644</v>
      </c>
      <c r="K582" s="45">
        <v>1</v>
      </c>
      <c r="L582" s="45">
        <v>94.118300000000005</v>
      </c>
      <c r="M582" s="45">
        <v>284.76</v>
      </c>
      <c r="N582" s="45">
        <v>2</v>
      </c>
      <c r="O582" s="45">
        <v>193.13079999999999</v>
      </c>
      <c r="P582" s="62">
        <f t="shared" si="9"/>
        <v>3</v>
      </c>
    </row>
    <row r="583" spans="1:16" x14ac:dyDescent="0.25">
      <c r="A583" s="43" t="s">
        <v>200</v>
      </c>
      <c r="B583" s="43" t="s">
        <v>291</v>
      </c>
      <c r="C583" s="43" t="s">
        <v>292</v>
      </c>
      <c r="D583" s="43" t="s">
        <v>407</v>
      </c>
      <c r="E583" s="43" t="s">
        <v>428</v>
      </c>
      <c r="F583" s="43" t="s">
        <v>356</v>
      </c>
      <c r="G583" s="43" t="s">
        <v>232</v>
      </c>
      <c r="H583" s="43" t="s">
        <v>218</v>
      </c>
      <c r="I583" s="44">
        <v>45638</v>
      </c>
      <c r="J583" s="44">
        <v>45647</v>
      </c>
      <c r="K583" s="45">
        <v>0</v>
      </c>
      <c r="L583" s="45">
        <v>0</v>
      </c>
      <c r="M583" s="45">
        <v>0</v>
      </c>
      <c r="N583" s="45">
        <v>6</v>
      </c>
      <c r="O583" s="45">
        <v>594.07500000000005</v>
      </c>
      <c r="P583" s="62">
        <f t="shared" si="9"/>
        <v>6</v>
      </c>
    </row>
    <row r="584" spans="1:16" x14ac:dyDescent="0.25">
      <c r="A584" s="43" t="s">
        <v>200</v>
      </c>
      <c r="B584" s="43" t="s">
        <v>291</v>
      </c>
      <c r="C584" s="43" t="s">
        <v>292</v>
      </c>
      <c r="D584" s="43" t="s">
        <v>407</v>
      </c>
      <c r="E584" s="43" t="s">
        <v>428</v>
      </c>
      <c r="F584" s="43" t="s">
        <v>356</v>
      </c>
      <c r="G584" s="43" t="s">
        <v>233</v>
      </c>
      <c r="H584" s="43" t="s">
        <v>218</v>
      </c>
      <c r="I584" s="44">
        <v>45638</v>
      </c>
      <c r="J584" s="44">
        <v>45646</v>
      </c>
      <c r="K584" s="45">
        <v>0</v>
      </c>
      <c r="L584" s="45">
        <v>0</v>
      </c>
      <c r="M584" s="45">
        <v>0</v>
      </c>
      <c r="N584" s="45">
        <v>6</v>
      </c>
      <c r="O584" s="45">
        <v>594.07500000000005</v>
      </c>
      <c r="P584" s="62">
        <f t="shared" ref="P584:P647" si="10">K584+N584</f>
        <v>6</v>
      </c>
    </row>
    <row r="585" spans="1:16" x14ac:dyDescent="0.25">
      <c r="A585" s="43" t="s">
        <v>200</v>
      </c>
      <c r="B585" s="43" t="s">
        <v>291</v>
      </c>
      <c r="C585" s="43" t="s">
        <v>292</v>
      </c>
      <c r="D585" s="43" t="s">
        <v>407</v>
      </c>
      <c r="E585" s="43" t="s">
        <v>428</v>
      </c>
      <c r="F585" s="43" t="s">
        <v>356</v>
      </c>
      <c r="G585" s="43" t="s">
        <v>234</v>
      </c>
      <c r="H585" s="43" t="s">
        <v>218</v>
      </c>
      <c r="I585" s="44">
        <v>45638</v>
      </c>
      <c r="J585" s="44">
        <v>45647</v>
      </c>
      <c r="K585" s="45">
        <v>0</v>
      </c>
      <c r="L585" s="45">
        <v>0</v>
      </c>
      <c r="M585" s="45">
        <v>0</v>
      </c>
      <c r="N585" s="45">
        <v>4</v>
      </c>
      <c r="O585" s="45">
        <v>396.05</v>
      </c>
      <c r="P585" s="62">
        <f t="shared" si="10"/>
        <v>4</v>
      </c>
    </row>
    <row r="586" spans="1:16" x14ac:dyDescent="0.25">
      <c r="A586" s="43" t="s">
        <v>200</v>
      </c>
      <c r="B586" s="43" t="s">
        <v>291</v>
      </c>
      <c r="C586" s="43" t="s">
        <v>292</v>
      </c>
      <c r="D586" s="43" t="s">
        <v>407</v>
      </c>
      <c r="E586" s="43" t="s">
        <v>428</v>
      </c>
      <c r="F586" s="43" t="s">
        <v>356</v>
      </c>
      <c r="G586" s="43" t="s">
        <v>259</v>
      </c>
      <c r="H586" s="43" t="s">
        <v>218</v>
      </c>
      <c r="I586" s="44">
        <v>45638</v>
      </c>
      <c r="J586" s="44">
        <v>45647</v>
      </c>
      <c r="K586" s="45">
        <v>0</v>
      </c>
      <c r="L586" s="45">
        <v>0</v>
      </c>
      <c r="M586" s="45">
        <v>0</v>
      </c>
      <c r="N586" s="45">
        <v>2</v>
      </c>
      <c r="O586" s="45">
        <v>198.02500000000001</v>
      </c>
      <c r="P586" s="62">
        <f t="shared" si="10"/>
        <v>2</v>
      </c>
    </row>
    <row r="587" spans="1:16" x14ac:dyDescent="0.25">
      <c r="A587" s="43" t="s">
        <v>200</v>
      </c>
      <c r="B587" s="43" t="s">
        <v>291</v>
      </c>
      <c r="C587" s="43" t="s">
        <v>292</v>
      </c>
      <c r="D587" s="43" t="s">
        <v>407</v>
      </c>
      <c r="E587" s="43" t="s">
        <v>428</v>
      </c>
      <c r="F587" s="43" t="s">
        <v>356</v>
      </c>
      <c r="G587" s="43" t="s">
        <v>296</v>
      </c>
      <c r="H587" s="43" t="s">
        <v>218</v>
      </c>
      <c r="I587" s="44">
        <v>45638</v>
      </c>
      <c r="J587" s="44">
        <v>45644</v>
      </c>
      <c r="K587" s="45">
        <v>0</v>
      </c>
      <c r="L587" s="45">
        <v>0</v>
      </c>
      <c r="M587" s="45">
        <v>0</v>
      </c>
      <c r="N587" s="45">
        <v>2</v>
      </c>
      <c r="O587" s="45">
        <v>198.02500000000001</v>
      </c>
      <c r="P587" s="62">
        <f t="shared" si="10"/>
        <v>2</v>
      </c>
    </row>
    <row r="588" spans="1:16" x14ac:dyDescent="0.25">
      <c r="A588" s="43" t="s">
        <v>200</v>
      </c>
      <c r="B588" s="43" t="s">
        <v>291</v>
      </c>
      <c r="C588" s="43" t="s">
        <v>292</v>
      </c>
      <c r="D588" s="43" t="s">
        <v>407</v>
      </c>
      <c r="E588" s="43" t="s">
        <v>429</v>
      </c>
      <c r="F588" s="43" t="s">
        <v>356</v>
      </c>
      <c r="G588" s="43" t="s">
        <v>232</v>
      </c>
      <c r="H588" s="43" t="s">
        <v>218</v>
      </c>
      <c r="I588" s="44">
        <v>45593</v>
      </c>
      <c r="J588" s="44">
        <v>45644</v>
      </c>
      <c r="K588" s="45">
        <v>1</v>
      </c>
      <c r="L588" s="45">
        <v>94.118300000000005</v>
      </c>
      <c r="M588" s="45">
        <v>256.29000000000002</v>
      </c>
      <c r="N588" s="45">
        <v>6</v>
      </c>
      <c r="O588" s="45">
        <v>569.60400000000004</v>
      </c>
      <c r="P588" s="62">
        <f t="shared" si="10"/>
        <v>7</v>
      </c>
    </row>
    <row r="589" spans="1:16" x14ac:dyDescent="0.25">
      <c r="A589" s="43" t="s">
        <v>200</v>
      </c>
      <c r="B589" s="43" t="s">
        <v>291</v>
      </c>
      <c r="C589" s="43" t="s">
        <v>292</v>
      </c>
      <c r="D589" s="43" t="s">
        <v>407</v>
      </c>
      <c r="E589" s="43" t="s">
        <v>429</v>
      </c>
      <c r="F589" s="43" t="s">
        <v>356</v>
      </c>
      <c r="G589" s="43" t="s">
        <v>233</v>
      </c>
      <c r="H589" s="43" t="s">
        <v>218</v>
      </c>
      <c r="I589" s="44">
        <v>45593</v>
      </c>
      <c r="J589" s="44">
        <v>45647</v>
      </c>
      <c r="K589" s="45">
        <v>5</v>
      </c>
      <c r="L589" s="45">
        <v>477.49869999999999</v>
      </c>
      <c r="M589" s="45">
        <v>1309.9100000000001</v>
      </c>
      <c r="N589" s="45">
        <v>5</v>
      </c>
      <c r="O589" s="45">
        <v>483.26150000000001</v>
      </c>
      <c r="P589" s="62">
        <f t="shared" si="10"/>
        <v>10</v>
      </c>
    </row>
    <row r="590" spans="1:16" x14ac:dyDescent="0.25">
      <c r="A590" s="43" t="s">
        <v>200</v>
      </c>
      <c r="B590" s="43" t="s">
        <v>291</v>
      </c>
      <c r="C590" s="43" t="s">
        <v>292</v>
      </c>
      <c r="D590" s="43" t="s">
        <v>407</v>
      </c>
      <c r="E590" s="43" t="s">
        <v>429</v>
      </c>
      <c r="F590" s="43" t="s">
        <v>356</v>
      </c>
      <c r="G590" s="43" t="s">
        <v>234</v>
      </c>
      <c r="H590" s="43" t="s">
        <v>218</v>
      </c>
      <c r="I590" s="44">
        <v>45593</v>
      </c>
      <c r="J590" s="44">
        <v>45644</v>
      </c>
      <c r="K590" s="45">
        <v>2</v>
      </c>
      <c r="L590" s="45">
        <v>189.46019999999999</v>
      </c>
      <c r="M590" s="45">
        <v>512.58000000000004</v>
      </c>
      <c r="N590" s="45">
        <v>4</v>
      </c>
      <c r="O590" s="45">
        <v>385.03840000000002</v>
      </c>
      <c r="P590" s="62">
        <f t="shared" si="10"/>
        <v>6</v>
      </c>
    </row>
    <row r="591" spans="1:16" x14ac:dyDescent="0.25">
      <c r="A591" s="43" t="s">
        <v>200</v>
      </c>
      <c r="B591" s="43" t="s">
        <v>291</v>
      </c>
      <c r="C591" s="43" t="s">
        <v>292</v>
      </c>
      <c r="D591" s="43" t="s">
        <v>407</v>
      </c>
      <c r="E591" s="43" t="s">
        <v>429</v>
      </c>
      <c r="F591" s="43" t="s">
        <v>356</v>
      </c>
      <c r="G591" s="43" t="s">
        <v>296</v>
      </c>
      <c r="H591" s="43" t="s">
        <v>218</v>
      </c>
      <c r="I591" s="44">
        <v>45593</v>
      </c>
      <c r="J591" s="44">
        <v>45593</v>
      </c>
      <c r="K591" s="45">
        <v>0</v>
      </c>
      <c r="L591" s="45">
        <v>0</v>
      </c>
      <c r="M591" s="45">
        <v>0</v>
      </c>
      <c r="N591" s="45">
        <v>2</v>
      </c>
      <c r="O591" s="45">
        <v>188.23660000000001</v>
      </c>
      <c r="P591" s="62">
        <f t="shared" si="10"/>
        <v>2</v>
      </c>
    </row>
    <row r="592" spans="1:16" x14ac:dyDescent="0.25">
      <c r="A592" s="43" t="s">
        <v>200</v>
      </c>
      <c r="B592" s="43" t="s">
        <v>291</v>
      </c>
      <c r="C592" s="43" t="s">
        <v>292</v>
      </c>
      <c r="D592" s="43" t="s">
        <v>407</v>
      </c>
      <c r="E592" s="43" t="s">
        <v>430</v>
      </c>
      <c r="F592" s="43" t="s">
        <v>354</v>
      </c>
      <c r="G592" s="43" t="s">
        <v>232</v>
      </c>
      <c r="H592" s="43" t="s">
        <v>207</v>
      </c>
      <c r="I592" s="44">
        <v>45591</v>
      </c>
      <c r="J592" s="44">
        <v>45617</v>
      </c>
      <c r="K592" s="45">
        <v>8</v>
      </c>
      <c r="L592" s="45">
        <v>547.65679999999998</v>
      </c>
      <c r="M592" s="45">
        <v>1501.7</v>
      </c>
      <c r="N592" s="45">
        <v>0</v>
      </c>
      <c r="O592" s="45">
        <v>0</v>
      </c>
      <c r="P592" s="62">
        <f t="shared" si="10"/>
        <v>8</v>
      </c>
    </row>
    <row r="593" spans="1:16" x14ac:dyDescent="0.25">
      <c r="A593" s="43" t="s">
        <v>200</v>
      </c>
      <c r="B593" s="43" t="s">
        <v>291</v>
      </c>
      <c r="C593" s="43" t="s">
        <v>292</v>
      </c>
      <c r="D593" s="43" t="s">
        <v>407</v>
      </c>
      <c r="E593" s="43" t="s">
        <v>430</v>
      </c>
      <c r="F593" s="43" t="s">
        <v>354</v>
      </c>
      <c r="G593" s="43" t="s">
        <v>233</v>
      </c>
      <c r="H593" s="43" t="s">
        <v>207</v>
      </c>
      <c r="I593" s="44">
        <v>45591</v>
      </c>
      <c r="J593" s="44">
        <v>45616</v>
      </c>
      <c r="K593" s="45">
        <v>11</v>
      </c>
      <c r="L593" s="45">
        <v>752.6721</v>
      </c>
      <c r="M593" s="45">
        <v>2064.87</v>
      </c>
      <c r="N593" s="45">
        <v>0</v>
      </c>
      <c r="O593" s="45">
        <v>0</v>
      </c>
      <c r="P593" s="62">
        <f t="shared" si="10"/>
        <v>11</v>
      </c>
    </row>
    <row r="594" spans="1:16" x14ac:dyDescent="0.25">
      <c r="A594" s="43" t="s">
        <v>200</v>
      </c>
      <c r="B594" s="43" t="s">
        <v>291</v>
      </c>
      <c r="C594" s="43" t="s">
        <v>292</v>
      </c>
      <c r="D594" s="43" t="s">
        <v>407</v>
      </c>
      <c r="E594" s="43" t="s">
        <v>430</v>
      </c>
      <c r="F594" s="43" t="s">
        <v>354</v>
      </c>
      <c r="G594" s="43" t="s">
        <v>234</v>
      </c>
      <c r="H594" s="43" t="s">
        <v>207</v>
      </c>
      <c r="I594" s="44">
        <v>45591</v>
      </c>
      <c r="J594" s="44">
        <v>45630</v>
      </c>
      <c r="K594" s="45">
        <v>10</v>
      </c>
      <c r="L594" s="45">
        <v>684.57100000000003</v>
      </c>
      <c r="M594" s="45">
        <v>1856.28</v>
      </c>
      <c r="N594" s="45">
        <v>0</v>
      </c>
      <c r="O594" s="45">
        <v>0</v>
      </c>
      <c r="P594" s="62">
        <f t="shared" si="10"/>
        <v>10</v>
      </c>
    </row>
    <row r="595" spans="1:16" x14ac:dyDescent="0.25">
      <c r="A595" s="43" t="s">
        <v>200</v>
      </c>
      <c r="B595" s="43" t="s">
        <v>291</v>
      </c>
      <c r="C595" s="43" t="s">
        <v>292</v>
      </c>
      <c r="D595" s="43" t="s">
        <v>407</v>
      </c>
      <c r="E595" s="43" t="s">
        <v>430</v>
      </c>
      <c r="F595" s="43" t="s">
        <v>354</v>
      </c>
      <c r="G595" s="43" t="s">
        <v>259</v>
      </c>
      <c r="H595" s="43" t="s">
        <v>207</v>
      </c>
      <c r="I595" s="44">
        <v>45591</v>
      </c>
      <c r="J595" s="44">
        <v>45591</v>
      </c>
      <c r="K595" s="45">
        <v>1</v>
      </c>
      <c r="L595" s="45">
        <v>68.457099999999997</v>
      </c>
      <c r="M595" s="45">
        <v>187.72</v>
      </c>
      <c r="N595" s="45">
        <v>1</v>
      </c>
      <c r="O595" s="45">
        <v>68.457099999999997</v>
      </c>
      <c r="P595" s="62">
        <f t="shared" si="10"/>
        <v>2</v>
      </c>
    </row>
    <row r="596" spans="1:16" x14ac:dyDescent="0.25">
      <c r="A596" s="43" t="s">
        <v>200</v>
      </c>
      <c r="B596" s="43" t="s">
        <v>291</v>
      </c>
      <c r="C596" s="43" t="s">
        <v>292</v>
      </c>
      <c r="D596" s="43" t="s">
        <v>407</v>
      </c>
      <c r="E596" s="43" t="s">
        <v>430</v>
      </c>
      <c r="F596" s="43" t="s">
        <v>354</v>
      </c>
      <c r="G596" s="43" t="s">
        <v>296</v>
      </c>
      <c r="H596" s="43" t="s">
        <v>207</v>
      </c>
      <c r="I596" s="44">
        <v>45591</v>
      </c>
      <c r="J596" s="44">
        <v>45608</v>
      </c>
      <c r="K596" s="45">
        <v>3</v>
      </c>
      <c r="L596" s="45">
        <v>205.37129999999999</v>
      </c>
      <c r="M596" s="45">
        <v>563.14</v>
      </c>
      <c r="N596" s="45">
        <v>0</v>
      </c>
      <c r="O596" s="45">
        <v>0</v>
      </c>
      <c r="P596" s="62">
        <f t="shared" si="10"/>
        <v>3</v>
      </c>
    </row>
    <row r="597" spans="1:16" x14ac:dyDescent="0.25">
      <c r="A597" s="43" t="s">
        <v>200</v>
      </c>
      <c r="B597" s="43" t="s">
        <v>291</v>
      </c>
      <c r="C597" s="43" t="s">
        <v>292</v>
      </c>
      <c r="D597" s="43" t="s">
        <v>407</v>
      </c>
      <c r="E597" s="43" t="s">
        <v>431</v>
      </c>
      <c r="F597" s="43" t="s">
        <v>354</v>
      </c>
      <c r="G597" s="43" t="s">
        <v>232</v>
      </c>
      <c r="H597" s="43" t="s">
        <v>218</v>
      </c>
      <c r="I597" s="44">
        <v>45591</v>
      </c>
      <c r="J597" s="44">
        <v>45591</v>
      </c>
      <c r="K597" s="45">
        <v>1</v>
      </c>
      <c r="L597" s="45">
        <v>68.457099999999997</v>
      </c>
      <c r="M597" s="45">
        <v>187.71</v>
      </c>
      <c r="N597" s="45">
        <v>0</v>
      </c>
      <c r="O597" s="45">
        <v>0</v>
      </c>
      <c r="P597" s="62">
        <f t="shared" si="10"/>
        <v>1</v>
      </c>
    </row>
    <row r="598" spans="1:16" x14ac:dyDescent="0.25">
      <c r="A598" s="43" t="s">
        <v>200</v>
      </c>
      <c r="B598" s="43" t="s">
        <v>291</v>
      </c>
      <c r="C598" s="43" t="s">
        <v>292</v>
      </c>
      <c r="D598" s="43" t="s">
        <v>407</v>
      </c>
      <c r="E598" s="43" t="s">
        <v>431</v>
      </c>
      <c r="F598" s="43" t="s">
        <v>354</v>
      </c>
      <c r="G598" s="43" t="s">
        <v>233</v>
      </c>
      <c r="H598" s="43" t="s">
        <v>218</v>
      </c>
      <c r="I598" s="44">
        <v>45591</v>
      </c>
      <c r="J598" s="44">
        <v>45609</v>
      </c>
      <c r="K598" s="45">
        <v>6</v>
      </c>
      <c r="L598" s="45">
        <v>410.74259999999998</v>
      </c>
      <c r="M598" s="45">
        <v>1084.56</v>
      </c>
      <c r="N598" s="45">
        <v>0</v>
      </c>
      <c r="O598" s="45">
        <v>0</v>
      </c>
      <c r="P598" s="62">
        <f t="shared" si="10"/>
        <v>6</v>
      </c>
    </row>
    <row r="599" spans="1:16" x14ac:dyDescent="0.25">
      <c r="A599" s="43" t="s">
        <v>200</v>
      </c>
      <c r="B599" s="43" t="s">
        <v>291</v>
      </c>
      <c r="C599" s="43" t="s">
        <v>292</v>
      </c>
      <c r="D599" s="43" t="s">
        <v>407</v>
      </c>
      <c r="E599" s="43" t="s">
        <v>431</v>
      </c>
      <c r="F599" s="43" t="s">
        <v>354</v>
      </c>
      <c r="G599" s="43" t="s">
        <v>234</v>
      </c>
      <c r="H599" s="43" t="s">
        <v>218</v>
      </c>
      <c r="I599" s="44">
        <v>45591</v>
      </c>
      <c r="J599" s="44">
        <v>45591</v>
      </c>
      <c r="K599" s="45">
        <v>1</v>
      </c>
      <c r="L599" s="45">
        <v>68.457099999999997</v>
      </c>
      <c r="M599" s="45">
        <v>187.71</v>
      </c>
      <c r="N599" s="45">
        <v>0</v>
      </c>
      <c r="O599" s="45">
        <v>0</v>
      </c>
      <c r="P599" s="62">
        <f t="shared" si="10"/>
        <v>1</v>
      </c>
    </row>
    <row r="600" spans="1:16" x14ac:dyDescent="0.25">
      <c r="A600" s="43" t="s">
        <v>200</v>
      </c>
      <c r="B600" s="43" t="s">
        <v>291</v>
      </c>
      <c r="C600" s="43" t="s">
        <v>292</v>
      </c>
      <c r="D600" s="43" t="s">
        <v>407</v>
      </c>
      <c r="E600" s="43" t="s">
        <v>432</v>
      </c>
      <c r="F600" s="43" t="s">
        <v>286</v>
      </c>
      <c r="G600" s="43" t="s">
        <v>232</v>
      </c>
      <c r="H600" s="43" t="s">
        <v>207</v>
      </c>
      <c r="I600" s="44">
        <v>45591</v>
      </c>
      <c r="J600" s="44">
        <v>45647</v>
      </c>
      <c r="K600" s="45">
        <v>0</v>
      </c>
      <c r="L600" s="45">
        <v>0</v>
      </c>
      <c r="M600" s="45">
        <v>0</v>
      </c>
      <c r="N600" s="45">
        <v>6</v>
      </c>
      <c r="O600" s="45">
        <v>465.18959999999998</v>
      </c>
      <c r="P600" s="62">
        <f t="shared" si="10"/>
        <v>6</v>
      </c>
    </row>
    <row r="601" spans="1:16" x14ac:dyDescent="0.25">
      <c r="A601" s="43" t="s">
        <v>200</v>
      </c>
      <c r="B601" s="43" t="s">
        <v>291</v>
      </c>
      <c r="C601" s="43" t="s">
        <v>292</v>
      </c>
      <c r="D601" s="43" t="s">
        <v>407</v>
      </c>
      <c r="E601" s="43" t="s">
        <v>432</v>
      </c>
      <c r="F601" s="43" t="s">
        <v>286</v>
      </c>
      <c r="G601" s="43" t="s">
        <v>233</v>
      </c>
      <c r="H601" s="43" t="s">
        <v>207</v>
      </c>
      <c r="I601" s="44">
        <v>45591</v>
      </c>
      <c r="J601" s="44">
        <v>45647</v>
      </c>
      <c r="K601" s="45">
        <v>0</v>
      </c>
      <c r="L601" s="45">
        <v>0</v>
      </c>
      <c r="M601" s="45">
        <v>0</v>
      </c>
      <c r="N601" s="45">
        <v>6</v>
      </c>
      <c r="O601" s="45">
        <v>453.5274</v>
      </c>
      <c r="P601" s="62">
        <f t="shared" si="10"/>
        <v>6</v>
      </c>
    </row>
    <row r="602" spans="1:16" x14ac:dyDescent="0.25">
      <c r="A602" s="43" t="s">
        <v>200</v>
      </c>
      <c r="B602" s="43" t="s">
        <v>291</v>
      </c>
      <c r="C602" s="43" t="s">
        <v>292</v>
      </c>
      <c r="D602" s="43" t="s">
        <v>407</v>
      </c>
      <c r="E602" s="43" t="s">
        <v>432</v>
      </c>
      <c r="F602" s="43" t="s">
        <v>286</v>
      </c>
      <c r="G602" s="43" t="s">
        <v>234</v>
      </c>
      <c r="H602" s="43" t="s">
        <v>207</v>
      </c>
      <c r="I602" s="44">
        <v>45591</v>
      </c>
      <c r="J602" s="44">
        <v>45647</v>
      </c>
      <c r="K602" s="45">
        <v>0</v>
      </c>
      <c r="L602" s="45">
        <v>0</v>
      </c>
      <c r="M602" s="45">
        <v>0</v>
      </c>
      <c r="N602" s="45">
        <v>4</v>
      </c>
      <c r="O602" s="45">
        <v>302.35160000000002</v>
      </c>
      <c r="P602" s="62">
        <f t="shared" si="10"/>
        <v>4</v>
      </c>
    </row>
    <row r="603" spans="1:16" x14ac:dyDescent="0.25">
      <c r="A603" s="43" t="s">
        <v>200</v>
      </c>
      <c r="B603" s="43" t="s">
        <v>291</v>
      </c>
      <c r="C603" s="43" t="s">
        <v>292</v>
      </c>
      <c r="D603" s="43" t="s">
        <v>407</v>
      </c>
      <c r="E603" s="43" t="s">
        <v>432</v>
      </c>
      <c r="F603" s="43" t="s">
        <v>286</v>
      </c>
      <c r="G603" s="43" t="s">
        <v>259</v>
      </c>
      <c r="H603" s="43" t="s">
        <v>207</v>
      </c>
      <c r="I603" s="44">
        <v>45638</v>
      </c>
      <c r="J603" s="44">
        <v>45638</v>
      </c>
      <c r="K603" s="45">
        <v>0</v>
      </c>
      <c r="L603" s="45">
        <v>0</v>
      </c>
      <c r="M603" s="45">
        <v>0</v>
      </c>
      <c r="N603" s="45">
        <v>2</v>
      </c>
      <c r="O603" s="45">
        <v>151.17580000000001</v>
      </c>
      <c r="P603" s="62">
        <f t="shared" si="10"/>
        <v>2</v>
      </c>
    </row>
    <row r="604" spans="1:16" x14ac:dyDescent="0.25">
      <c r="A604" s="43" t="s">
        <v>200</v>
      </c>
      <c r="B604" s="43" t="s">
        <v>291</v>
      </c>
      <c r="C604" s="43" t="s">
        <v>292</v>
      </c>
      <c r="D604" s="43" t="s">
        <v>407</v>
      </c>
      <c r="E604" s="43" t="s">
        <v>432</v>
      </c>
      <c r="F604" s="43" t="s">
        <v>286</v>
      </c>
      <c r="G604" s="43" t="s">
        <v>296</v>
      </c>
      <c r="H604" s="43" t="s">
        <v>207</v>
      </c>
      <c r="I604" s="44">
        <v>45638</v>
      </c>
      <c r="J604" s="44">
        <v>45638</v>
      </c>
      <c r="K604" s="45">
        <v>0</v>
      </c>
      <c r="L604" s="45">
        <v>0</v>
      </c>
      <c r="M604" s="45">
        <v>0</v>
      </c>
      <c r="N604" s="45">
        <v>2</v>
      </c>
      <c r="O604" s="45">
        <v>151.17580000000001</v>
      </c>
      <c r="P604" s="62">
        <f t="shared" si="10"/>
        <v>2</v>
      </c>
    </row>
    <row r="605" spans="1:16" x14ac:dyDescent="0.25">
      <c r="A605" s="43" t="s">
        <v>200</v>
      </c>
      <c r="B605" s="43" t="s">
        <v>291</v>
      </c>
      <c r="C605" s="43" t="s">
        <v>292</v>
      </c>
      <c r="D605" s="43" t="s">
        <v>407</v>
      </c>
      <c r="E605" s="43" t="s">
        <v>433</v>
      </c>
      <c r="F605" s="43" t="s">
        <v>359</v>
      </c>
      <c r="G605" s="43" t="s">
        <v>232</v>
      </c>
      <c r="H605" s="43" t="s">
        <v>218</v>
      </c>
      <c r="I605" s="44">
        <v>45630</v>
      </c>
      <c r="J605" s="44">
        <v>45646</v>
      </c>
      <c r="K605" s="45">
        <v>2</v>
      </c>
      <c r="L605" s="45">
        <v>287.98219999999998</v>
      </c>
      <c r="M605" s="45">
        <v>794.39</v>
      </c>
      <c r="N605" s="45">
        <v>5</v>
      </c>
      <c r="O605" s="45">
        <v>719.95550000000003</v>
      </c>
      <c r="P605" s="62">
        <f t="shared" si="10"/>
        <v>7</v>
      </c>
    </row>
    <row r="606" spans="1:16" x14ac:dyDescent="0.25">
      <c r="A606" s="43" t="s">
        <v>200</v>
      </c>
      <c r="B606" s="43" t="s">
        <v>291</v>
      </c>
      <c r="C606" s="43" t="s">
        <v>292</v>
      </c>
      <c r="D606" s="43" t="s">
        <v>407</v>
      </c>
      <c r="E606" s="43" t="s">
        <v>433</v>
      </c>
      <c r="F606" s="43" t="s">
        <v>359</v>
      </c>
      <c r="G606" s="43" t="s">
        <v>233</v>
      </c>
      <c r="H606" s="43" t="s">
        <v>218</v>
      </c>
      <c r="I606" s="44">
        <v>45630</v>
      </c>
      <c r="J606" s="44">
        <v>45643</v>
      </c>
      <c r="K606" s="45">
        <v>2</v>
      </c>
      <c r="L606" s="45">
        <v>287.98219999999998</v>
      </c>
      <c r="M606" s="45">
        <v>752.57</v>
      </c>
      <c r="N606" s="45">
        <v>5</v>
      </c>
      <c r="O606" s="45">
        <v>719.95550000000003</v>
      </c>
      <c r="P606" s="62">
        <f t="shared" si="10"/>
        <v>7</v>
      </c>
    </row>
    <row r="607" spans="1:16" x14ac:dyDescent="0.25">
      <c r="A607" s="43" t="s">
        <v>200</v>
      </c>
      <c r="B607" s="43" t="s">
        <v>291</v>
      </c>
      <c r="C607" s="43" t="s">
        <v>292</v>
      </c>
      <c r="D607" s="43" t="s">
        <v>407</v>
      </c>
      <c r="E607" s="43" t="s">
        <v>433</v>
      </c>
      <c r="F607" s="43" t="s">
        <v>359</v>
      </c>
      <c r="G607" s="43" t="s">
        <v>234</v>
      </c>
      <c r="H607" s="43" t="s">
        <v>218</v>
      </c>
      <c r="I607" s="44">
        <v>45630</v>
      </c>
      <c r="J607" s="44">
        <v>45642</v>
      </c>
      <c r="K607" s="45">
        <v>2</v>
      </c>
      <c r="L607" s="45">
        <v>287.98219999999998</v>
      </c>
      <c r="M607" s="45">
        <v>752.57</v>
      </c>
      <c r="N607" s="45">
        <v>4</v>
      </c>
      <c r="O607" s="45">
        <v>575.96439999999996</v>
      </c>
      <c r="P607" s="62">
        <f t="shared" si="10"/>
        <v>6</v>
      </c>
    </row>
    <row r="608" spans="1:16" x14ac:dyDescent="0.25">
      <c r="A608" s="43" t="s">
        <v>200</v>
      </c>
      <c r="B608" s="43" t="s">
        <v>291</v>
      </c>
      <c r="C608" s="43" t="s">
        <v>292</v>
      </c>
      <c r="D608" s="43" t="s">
        <v>407</v>
      </c>
      <c r="E608" s="43" t="s">
        <v>433</v>
      </c>
      <c r="F608" s="43" t="s">
        <v>359</v>
      </c>
      <c r="G608" s="43" t="s">
        <v>259</v>
      </c>
      <c r="H608" s="43" t="s">
        <v>218</v>
      </c>
      <c r="I608" s="44">
        <v>45630</v>
      </c>
      <c r="J608" s="44">
        <v>45642</v>
      </c>
      <c r="K608" s="45">
        <v>1</v>
      </c>
      <c r="L608" s="45">
        <v>143.99109999999999</v>
      </c>
      <c r="M608" s="45">
        <v>418.1</v>
      </c>
      <c r="N608" s="45">
        <v>2</v>
      </c>
      <c r="O608" s="45">
        <v>287.98219999999998</v>
      </c>
      <c r="P608" s="62">
        <f t="shared" si="10"/>
        <v>3</v>
      </c>
    </row>
    <row r="609" spans="1:16" x14ac:dyDescent="0.25">
      <c r="A609" s="43" t="s">
        <v>200</v>
      </c>
      <c r="B609" s="43" t="s">
        <v>291</v>
      </c>
      <c r="C609" s="43" t="s">
        <v>292</v>
      </c>
      <c r="D609" s="43" t="s">
        <v>407</v>
      </c>
      <c r="E609" s="43" t="s">
        <v>434</v>
      </c>
      <c r="F609" s="43" t="s">
        <v>405</v>
      </c>
      <c r="G609" s="43" t="s">
        <v>232</v>
      </c>
      <c r="H609" s="43" t="s">
        <v>226</v>
      </c>
      <c r="I609" s="44">
        <v>45591</v>
      </c>
      <c r="J609" s="44">
        <v>45626</v>
      </c>
      <c r="K609" s="45">
        <v>0</v>
      </c>
      <c r="L609" s="45">
        <v>0</v>
      </c>
      <c r="M609" s="45">
        <v>0</v>
      </c>
      <c r="N609" s="45">
        <v>3</v>
      </c>
      <c r="O609" s="45">
        <v>355.18680000000001</v>
      </c>
      <c r="P609" s="62">
        <f t="shared" si="10"/>
        <v>3</v>
      </c>
    </row>
    <row r="610" spans="1:16" x14ac:dyDescent="0.25">
      <c r="A610" s="43" t="s">
        <v>200</v>
      </c>
      <c r="B610" s="43" t="s">
        <v>291</v>
      </c>
      <c r="C610" s="43" t="s">
        <v>292</v>
      </c>
      <c r="D610" s="43" t="s">
        <v>407</v>
      </c>
      <c r="E610" s="43" t="s">
        <v>434</v>
      </c>
      <c r="F610" s="43" t="s">
        <v>405</v>
      </c>
      <c r="G610" s="43" t="s">
        <v>233</v>
      </c>
      <c r="H610" s="43" t="s">
        <v>226</v>
      </c>
      <c r="I610" s="44">
        <v>45591</v>
      </c>
      <c r="J610" s="44">
        <v>45626</v>
      </c>
      <c r="K610" s="45">
        <v>0</v>
      </c>
      <c r="L610" s="45">
        <v>0</v>
      </c>
      <c r="M610" s="45">
        <v>0</v>
      </c>
      <c r="N610" s="45">
        <v>3</v>
      </c>
      <c r="O610" s="45">
        <v>355.33139999999997</v>
      </c>
      <c r="P610" s="62">
        <f t="shared" si="10"/>
        <v>3</v>
      </c>
    </row>
    <row r="611" spans="1:16" x14ac:dyDescent="0.25">
      <c r="A611" s="43" t="s">
        <v>200</v>
      </c>
      <c r="B611" s="43" t="s">
        <v>291</v>
      </c>
      <c r="C611" s="43" t="s">
        <v>292</v>
      </c>
      <c r="D611" s="43" t="s">
        <v>435</v>
      </c>
      <c r="E611" s="43" t="s">
        <v>436</v>
      </c>
      <c r="F611" s="43" t="s">
        <v>382</v>
      </c>
      <c r="G611" s="43" t="s">
        <v>232</v>
      </c>
      <c r="H611" s="43" t="s">
        <v>226</v>
      </c>
      <c r="I611" s="44">
        <v>45608</v>
      </c>
      <c r="J611" s="44">
        <v>45647</v>
      </c>
      <c r="K611" s="45">
        <v>0</v>
      </c>
      <c r="L611" s="45">
        <v>0</v>
      </c>
      <c r="M611" s="45">
        <v>0</v>
      </c>
      <c r="N611" s="45">
        <v>6</v>
      </c>
      <c r="O611" s="45">
        <v>539.35559999999998</v>
      </c>
      <c r="P611" s="62">
        <f t="shared" si="10"/>
        <v>6</v>
      </c>
    </row>
    <row r="612" spans="1:16" x14ac:dyDescent="0.25">
      <c r="A612" s="43" t="s">
        <v>200</v>
      </c>
      <c r="B612" s="43" t="s">
        <v>291</v>
      </c>
      <c r="C612" s="43" t="s">
        <v>292</v>
      </c>
      <c r="D612" s="43" t="s">
        <v>435</v>
      </c>
      <c r="E612" s="43" t="s">
        <v>436</v>
      </c>
      <c r="F612" s="43" t="s">
        <v>382</v>
      </c>
      <c r="G612" s="43" t="s">
        <v>233</v>
      </c>
      <c r="H612" s="43" t="s">
        <v>226</v>
      </c>
      <c r="I612" s="44">
        <v>45608</v>
      </c>
      <c r="J612" s="44">
        <v>45647</v>
      </c>
      <c r="K612" s="45">
        <v>0</v>
      </c>
      <c r="L612" s="45">
        <v>0</v>
      </c>
      <c r="M612" s="45">
        <v>0</v>
      </c>
      <c r="N612" s="45">
        <v>6</v>
      </c>
      <c r="O612" s="45">
        <v>539.89980000000003</v>
      </c>
      <c r="P612" s="62">
        <f t="shared" si="10"/>
        <v>6</v>
      </c>
    </row>
    <row r="613" spans="1:16" x14ac:dyDescent="0.25">
      <c r="A613" s="43" t="s">
        <v>200</v>
      </c>
      <c r="B613" s="43" t="s">
        <v>291</v>
      </c>
      <c r="C613" s="43" t="s">
        <v>292</v>
      </c>
      <c r="D613" s="43" t="s">
        <v>435</v>
      </c>
      <c r="E613" s="43" t="s">
        <v>436</v>
      </c>
      <c r="F613" s="43" t="s">
        <v>382</v>
      </c>
      <c r="G613" s="43" t="s">
        <v>234</v>
      </c>
      <c r="H613" s="43" t="s">
        <v>226</v>
      </c>
      <c r="I613" s="44">
        <v>45608</v>
      </c>
      <c r="J613" s="44">
        <v>45647</v>
      </c>
      <c r="K613" s="45">
        <v>0</v>
      </c>
      <c r="L613" s="45">
        <v>0</v>
      </c>
      <c r="M613" s="45">
        <v>0</v>
      </c>
      <c r="N613" s="45">
        <v>4</v>
      </c>
      <c r="O613" s="45">
        <v>358.74799999999999</v>
      </c>
      <c r="P613" s="62">
        <f t="shared" si="10"/>
        <v>4</v>
      </c>
    </row>
    <row r="614" spans="1:16" x14ac:dyDescent="0.25">
      <c r="A614" s="43" t="s">
        <v>200</v>
      </c>
      <c r="B614" s="43" t="s">
        <v>291</v>
      </c>
      <c r="C614" s="43" t="s">
        <v>292</v>
      </c>
      <c r="D614" s="43" t="s">
        <v>435</v>
      </c>
      <c r="E614" s="43" t="s">
        <v>436</v>
      </c>
      <c r="F614" s="43" t="s">
        <v>382</v>
      </c>
      <c r="G614" s="43" t="s">
        <v>296</v>
      </c>
      <c r="H614" s="43" t="s">
        <v>226</v>
      </c>
      <c r="I614" s="44">
        <v>45608</v>
      </c>
      <c r="J614" s="44">
        <v>45640</v>
      </c>
      <c r="K614" s="45">
        <v>0</v>
      </c>
      <c r="L614" s="45">
        <v>0</v>
      </c>
      <c r="M614" s="45">
        <v>0</v>
      </c>
      <c r="N614" s="45">
        <v>2</v>
      </c>
      <c r="O614" s="45">
        <v>189.3596</v>
      </c>
      <c r="P614" s="62">
        <f t="shared" si="10"/>
        <v>2</v>
      </c>
    </row>
    <row r="615" spans="1:16" x14ac:dyDescent="0.25">
      <c r="A615" s="43" t="s">
        <v>200</v>
      </c>
      <c r="B615" s="43" t="s">
        <v>291</v>
      </c>
      <c r="C615" s="43" t="s">
        <v>292</v>
      </c>
      <c r="D615" s="43" t="s">
        <v>435</v>
      </c>
      <c r="E615" s="43" t="s">
        <v>437</v>
      </c>
      <c r="F615" s="43" t="s">
        <v>228</v>
      </c>
      <c r="G615" s="43" t="s">
        <v>232</v>
      </c>
      <c r="H615" s="43" t="s">
        <v>226</v>
      </c>
      <c r="I615" s="44">
        <v>45633</v>
      </c>
      <c r="J615" s="44">
        <v>45638</v>
      </c>
      <c r="K615" s="45">
        <v>4</v>
      </c>
      <c r="L615" s="45">
        <v>288.06760000000003</v>
      </c>
      <c r="M615" s="45">
        <v>750.85</v>
      </c>
      <c r="N615" s="45">
        <v>4</v>
      </c>
      <c r="O615" s="45">
        <v>288.06760000000003</v>
      </c>
      <c r="P615" s="62">
        <f t="shared" si="10"/>
        <v>8</v>
      </c>
    </row>
    <row r="616" spans="1:16" x14ac:dyDescent="0.25">
      <c r="A616" s="43" t="s">
        <v>200</v>
      </c>
      <c r="B616" s="43" t="s">
        <v>291</v>
      </c>
      <c r="C616" s="43" t="s">
        <v>292</v>
      </c>
      <c r="D616" s="43" t="s">
        <v>435</v>
      </c>
      <c r="E616" s="43" t="s">
        <v>437</v>
      </c>
      <c r="F616" s="43" t="s">
        <v>228</v>
      </c>
      <c r="G616" s="43" t="s">
        <v>233</v>
      </c>
      <c r="H616" s="43" t="s">
        <v>226</v>
      </c>
      <c r="I616" s="44">
        <v>45633</v>
      </c>
      <c r="J616" s="44">
        <v>45638</v>
      </c>
      <c r="K616" s="45">
        <v>1</v>
      </c>
      <c r="L616" s="45">
        <v>72.016900000000007</v>
      </c>
      <c r="M616" s="45">
        <v>208.57</v>
      </c>
      <c r="N616" s="45">
        <v>6</v>
      </c>
      <c r="O616" s="45">
        <v>432.10140000000001</v>
      </c>
      <c r="P616" s="62">
        <f t="shared" si="10"/>
        <v>7</v>
      </c>
    </row>
    <row r="617" spans="1:16" x14ac:dyDescent="0.25">
      <c r="A617" s="43" t="s">
        <v>200</v>
      </c>
      <c r="B617" s="43" t="s">
        <v>291</v>
      </c>
      <c r="C617" s="43" t="s">
        <v>292</v>
      </c>
      <c r="D617" s="43" t="s">
        <v>435</v>
      </c>
      <c r="E617" s="43" t="s">
        <v>437</v>
      </c>
      <c r="F617" s="43" t="s">
        <v>228</v>
      </c>
      <c r="G617" s="43" t="s">
        <v>234</v>
      </c>
      <c r="H617" s="43" t="s">
        <v>226</v>
      </c>
      <c r="I617" s="44">
        <v>45633</v>
      </c>
      <c r="J617" s="44">
        <v>45633</v>
      </c>
      <c r="K617" s="45">
        <v>2</v>
      </c>
      <c r="L617" s="45">
        <v>144.03380000000001</v>
      </c>
      <c r="M617" s="45">
        <v>396.28</v>
      </c>
      <c r="N617" s="45">
        <v>2</v>
      </c>
      <c r="O617" s="45">
        <v>144.03380000000001</v>
      </c>
      <c r="P617" s="62">
        <f t="shared" si="10"/>
        <v>4</v>
      </c>
    </row>
    <row r="618" spans="1:16" x14ac:dyDescent="0.25">
      <c r="A618" s="43" t="s">
        <v>200</v>
      </c>
      <c r="B618" s="43" t="s">
        <v>291</v>
      </c>
      <c r="C618" s="43" t="s">
        <v>292</v>
      </c>
      <c r="D618" s="43" t="s">
        <v>435</v>
      </c>
      <c r="E618" s="43" t="s">
        <v>437</v>
      </c>
      <c r="F618" s="43" t="s">
        <v>228</v>
      </c>
      <c r="G618" s="43" t="s">
        <v>296</v>
      </c>
      <c r="H618" s="43" t="s">
        <v>226</v>
      </c>
      <c r="I618" s="44">
        <v>45633</v>
      </c>
      <c r="J618" s="44">
        <v>45633</v>
      </c>
      <c r="K618" s="45">
        <v>0</v>
      </c>
      <c r="L618" s="45">
        <v>0</v>
      </c>
      <c r="M618" s="45">
        <v>0</v>
      </c>
      <c r="N618" s="45">
        <v>2</v>
      </c>
      <c r="O618" s="45">
        <v>144.03380000000001</v>
      </c>
      <c r="P618" s="62">
        <f t="shared" si="10"/>
        <v>2</v>
      </c>
    </row>
    <row r="619" spans="1:16" x14ac:dyDescent="0.25">
      <c r="A619" s="43" t="s">
        <v>200</v>
      </c>
      <c r="B619" s="43" t="s">
        <v>291</v>
      </c>
      <c r="C619" s="43" t="s">
        <v>292</v>
      </c>
      <c r="D619" s="43" t="s">
        <v>435</v>
      </c>
      <c r="E619" s="43" t="s">
        <v>438</v>
      </c>
      <c r="F619" s="43" t="s">
        <v>228</v>
      </c>
      <c r="G619" s="43" t="s">
        <v>232</v>
      </c>
      <c r="H619" s="43" t="s">
        <v>218</v>
      </c>
      <c r="I619" s="44">
        <v>45633</v>
      </c>
      <c r="J619" s="44">
        <v>45633</v>
      </c>
      <c r="K619" s="45">
        <v>2</v>
      </c>
      <c r="L619" s="45">
        <v>144.03380000000001</v>
      </c>
      <c r="M619" s="45">
        <v>396.29</v>
      </c>
      <c r="N619" s="45">
        <v>2</v>
      </c>
      <c r="O619" s="45">
        <v>144.03380000000001</v>
      </c>
      <c r="P619" s="62">
        <f t="shared" si="10"/>
        <v>4</v>
      </c>
    </row>
    <row r="620" spans="1:16" x14ac:dyDescent="0.25">
      <c r="A620" s="43" t="s">
        <v>200</v>
      </c>
      <c r="B620" s="43" t="s">
        <v>291</v>
      </c>
      <c r="C620" s="43" t="s">
        <v>292</v>
      </c>
      <c r="D620" s="43" t="s">
        <v>435</v>
      </c>
      <c r="E620" s="43" t="s">
        <v>438</v>
      </c>
      <c r="F620" s="43" t="s">
        <v>228</v>
      </c>
      <c r="G620" s="43" t="s">
        <v>233</v>
      </c>
      <c r="H620" s="43" t="s">
        <v>218</v>
      </c>
      <c r="I620" s="44">
        <v>45633</v>
      </c>
      <c r="J620" s="44">
        <v>45633</v>
      </c>
      <c r="K620" s="45">
        <v>0</v>
      </c>
      <c r="L620" s="45">
        <v>0</v>
      </c>
      <c r="M620" s="45">
        <v>0</v>
      </c>
      <c r="N620" s="45">
        <v>6</v>
      </c>
      <c r="O620" s="45">
        <v>432.10140000000001</v>
      </c>
      <c r="P620" s="62">
        <f t="shared" si="10"/>
        <v>6</v>
      </c>
    </row>
    <row r="621" spans="1:16" x14ac:dyDescent="0.25">
      <c r="A621" s="43" t="s">
        <v>200</v>
      </c>
      <c r="B621" s="43" t="s">
        <v>291</v>
      </c>
      <c r="C621" s="43" t="s">
        <v>292</v>
      </c>
      <c r="D621" s="43" t="s">
        <v>435</v>
      </c>
      <c r="E621" s="43" t="s">
        <v>438</v>
      </c>
      <c r="F621" s="43" t="s">
        <v>228</v>
      </c>
      <c r="G621" s="43" t="s">
        <v>234</v>
      </c>
      <c r="H621" s="43" t="s">
        <v>218</v>
      </c>
      <c r="I621" s="44">
        <v>45633</v>
      </c>
      <c r="J621" s="44">
        <v>45633</v>
      </c>
      <c r="K621" s="45">
        <v>0</v>
      </c>
      <c r="L621" s="45">
        <v>0</v>
      </c>
      <c r="M621" s="45">
        <v>0</v>
      </c>
      <c r="N621" s="45">
        <v>4</v>
      </c>
      <c r="O621" s="45">
        <v>288.06760000000003</v>
      </c>
      <c r="P621" s="62">
        <f t="shared" si="10"/>
        <v>4</v>
      </c>
    </row>
    <row r="622" spans="1:16" x14ac:dyDescent="0.25">
      <c r="A622" s="43" t="s">
        <v>200</v>
      </c>
      <c r="B622" s="43" t="s">
        <v>291</v>
      </c>
      <c r="C622" s="43" t="s">
        <v>292</v>
      </c>
      <c r="D622" s="43" t="s">
        <v>435</v>
      </c>
      <c r="E622" s="43" t="s">
        <v>438</v>
      </c>
      <c r="F622" s="43" t="s">
        <v>228</v>
      </c>
      <c r="G622" s="43" t="s">
        <v>296</v>
      </c>
      <c r="H622" s="43" t="s">
        <v>218</v>
      </c>
      <c r="I622" s="44">
        <v>45633</v>
      </c>
      <c r="J622" s="44">
        <v>45633</v>
      </c>
      <c r="K622" s="45">
        <v>0</v>
      </c>
      <c r="L622" s="45">
        <v>0</v>
      </c>
      <c r="M622" s="45">
        <v>0</v>
      </c>
      <c r="N622" s="45">
        <v>2</v>
      </c>
      <c r="O622" s="45">
        <v>144.03380000000001</v>
      </c>
      <c r="P622" s="62">
        <f t="shared" si="10"/>
        <v>2</v>
      </c>
    </row>
    <row r="623" spans="1:16" x14ac:dyDescent="0.25">
      <c r="A623" s="43" t="s">
        <v>200</v>
      </c>
      <c r="B623" s="43" t="s">
        <v>291</v>
      </c>
      <c r="C623" s="43" t="s">
        <v>292</v>
      </c>
      <c r="D623" s="43" t="s">
        <v>435</v>
      </c>
      <c r="E623" s="43" t="s">
        <v>439</v>
      </c>
      <c r="F623" s="43" t="s">
        <v>228</v>
      </c>
      <c r="G623" s="43" t="s">
        <v>232</v>
      </c>
      <c r="H623" s="43" t="s">
        <v>218</v>
      </c>
      <c r="I623" s="44">
        <v>45633</v>
      </c>
      <c r="J623" s="44">
        <v>45640</v>
      </c>
      <c r="K623" s="45">
        <v>2</v>
      </c>
      <c r="L623" s="45">
        <v>144.03380000000001</v>
      </c>
      <c r="M623" s="45">
        <v>417.14</v>
      </c>
      <c r="N623" s="45">
        <v>6</v>
      </c>
      <c r="O623" s="45">
        <v>432.10140000000001</v>
      </c>
      <c r="P623" s="62">
        <f t="shared" si="10"/>
        <v>8</v>
      </c>
    </row>
    <row r="624" spans="1:16" x14ac:dyDescent="0.25">
      <c r="A624" s="43" t="s">
        <v>200</v>
      </c>
      <c r="B624" s="43" t="s">
        <v>291</v>
      </c>
      <c r="C624" s="43" t="s">
        <v>292</v>
      </c>
      <c r="D624" s="43" t="s">
        <v>435</v>
      </c>
      <c r="E624" s="43" t="s">
        <v>439</v>
      </c>
      <c r="F624" s="43" t="s">
        <v>228</v>
      </c>
      <c r="G624" s="43" t="s">
        <v>233</v>
      </c>
      <c r="H624" s="43" t="s">
        <v>218</v>
      </c>
      <c r="I624" s="44">
        <v>45633</v>
      </c>
      <c r="J624" s="44">
        <v>45640</v>
      </c>
      <c r="K624" s="45">
        <v>1</v>
      </c>
      <c r="L624" s="45">
        <v>72.016900000000007</v>
      </c>
      <c r="M624" s="45">
        <v>208.57</v>
      </c>
      <c r="N624" s="45">
        <v>6</v>
      </c>
      <c r="O624" s="45">
        <v>432.10140000000001</v>
      </c>
      <c r="P624" s="62">
        <f t="shared" si="10"/>
        <v>7</v>
      </c>
    </row>
    <row r="625" spans="1:16" x14ac:dyDescent="0.25">
      <c r="A625" s="43" t="s">
        <v>200</v>
      </c>
      <c r="B625" s="43" t="s">
        <v>291</v>
      </c>
      <c r="C625" s="43" t="s">
        <v>292</v>
      </c>
      <c r="D625" s="43" t="s">
        <v>435</v>
      </c>
      <c r="E625" s="43" t="s">
        <v>439</v>
      </c>
      <c r="F625" s="43" t="s">
        <v>228</v>
      </c>
      <c r="G625" s="43" t="s">
        <v>234</v>
      </c>
      <c r="H625" s="43" t="s">
        <v>218</v>
      </c>
      <c r="I625" s="44">
        <v>45633</v>
      </c>
      <c r="J625" s="44">
        <v>45633</v>
      </c>
      <c r="K625" s="45">
        <v>1</v>
      </c>
      <c r="L625" s="45">
        <v>72.016900000000007</v>
      </c>
      <c r="M625" s="45">
        <v>187.71</v>
      </c>
      <c r="N625" s="45">
        <v>4</v>
      </c>
      <c r="O625" s="45">
        <v>288.06760000000003</v>
      </c>
      <c r="P625" s="62">
        <f t="shared" si="10"/>
        <v>5</v>
      </c>
    </row>
    <row r="626" spans="1:16" x14ac:dyDescent="0.25">
      <c r="A626" s="43" t="s">
        <v>200</v>
      </c>
      <c r="B626" s="43" t="s">
        <v>291</v>
      </c>
      <c r="C626" s="43" t="s">
        <v>292</v>
      </c>
      <c r="D626" s="43" t="s">
        <v>435</v>
      </c>
      <c r="E626" s="43" t="s">
        <v>439</v>
      </c>
      <c r="F626" s="43" t="s">
        <v>228</v>
      </c>
      <c r="G626" s="43" t="s">
        <v>296</v>
      </c>
      <c r="H626" s="43" t="s">
        <v>218</v>
      </c>
      <c r="I626" s="44">
        <v>45633</v>
      </c>
      <c r="J626" s="44">
        <v>45633</v>
      </c>
      <c r="K626" s="45">
        <v>0</v>
      </c>
      <c r="L626" s="45">
        <v>0</v>
      </c>
      <c r="M626" s="45">
        <v>0</v>
      </c>
      <c r="N626" s="45">
        <v>2</v>
      </c>
      <c r="O626" s="45">
        <v>144.03380000000001</v>
      </c>
      <c r="P626" s="62">
        <f t="shared" si="10"/>
        <v>2</v>
      </c>
    </row>
    <row r="627" spans="1:16" x14ac:dyDescent="0.25">
      <c r="A627" s="43" t="s">
        <v>200</v>
      </c>
      <c r="B627" s="43" t="s">
        <v>291</v>
      </c>
      <c r="C627" s="43" t="s">
        <v>292</v>
      </c>
      <c r="D627" s="43" t="s">
        <v>435</v>
      </c>
      <c r="E627" s="43" t="s">
        <v>440</v>
      </c>
      <c r="F627" s="43" t="s">
        <v>382</v>
      </c>
      <c r="G627" s="43" t="s">
        <v>232</v>
      </c>
      <c r="H627" s="43" t="s">
        <v>226</v>
      </c>
      <c r="I627" s="44">
        <v>45609</v>
      </c>
      <c r="J627" s="44">
        <v>45640</v>
      </c>
      <c r="K627" s="45">
        <v>0</v>
      </c>
      <c r="L627" s="45">
        <v>0</v>
      </c>
      <c r="M627" s="45">
        <v>0</v>
      </c>
      <c r="N627" s="45">
        <v>1</v>
      </c>
      <c r="O627" s="45">
        <v>131.29660000000001</v>
      </c>
      <c r="P627" s="62">
        <f t="shared" si="10"/>
        <v>1</v>
      </c>
    </row>
    <row r="628" spans="1:16" x14ac:dyDescent="0.25">
      <c r="A628" s="43" t="s">
        <v>200</v>
      </c>
      <c r="B628" s="43" t="s">
        <v>291</v>
      </c>
      <c r="C628" s="43" t="s">
        <v>292</v>
      </c>
      <c r="D628" s="43" t="s">
        <v>435</v>
      </c>
      <c r="E628" s="43" t="s">
        <v>440</v>
      </c>
      <c r="F628" s="43" t="s">
        <v>382</v>
      </c>
      <c r="G628" s="43" t="s">
        <v>233</v>
      </c>
      <c r="H628" s="43" t="s">
        <v>226</v>
      </c>
      <c r="I628" s="44">
        <v>45609</v>
      </c>
      <c r="J628" s="44">
        <v>45640</v>
      </c>
      <c r="K628" s="45">
        <v>0</v>
      </c>
      <c r="L628" s="45">
        <v>0</v>
      </c>
      <c r="M628" s="45">
        <v>0</v>
      </c>
      <c r="N628" s="45">
        <v>4</v>
      </c>
      <c r="O628" s="45">
        <v>529.89120000000003</v>
      </c>
      <c r="P628" s="62">
        <f t="shared" si="10"/>
        <v>4</v>
      </c>
    </row>
    <row r="629" spans="1:16" x14ac:dyDescent="0.25">
      <c r="A629" s="43" t="s">
        <v>200</v>
      </c>
      <c r="B629" s="43" t="s">
        <v>291</v>
      </c>
      <c r="C629" s="43" t="s">
        <v>292</v>
      </c>
      <c r="D629" s="43" t="s">
        <v>435</v>
      </c>
      <c r="E629" s="43" t="s">
        <v>440</v>
      </c>
      <c r="F629" s="43" t="s">
        <v>382</v>
      </c>
      <c r="G629" s="43" t="s">
        <v>234</v>
      </c>
      <c r="H629" s="43" t="s">
        <v>226</v>
      </c>
      <c r="I629" s="44">
        <v>45609</v>
      </c>
      <c r="J629" s="44">
        <v>45622</v>
      </c>
      <c r="K629" s="45">
        <v>0</v>
      </c>
      <c r="L629" s="45">
        <v>0</v>
      </c>
      <c r="M629" s="45">
        <v>0</v>
      </c>
      <c r="N629" s="45">
        <v>1</v>
      </c>
      <c r="O629" s="45">
        <v>124.2564</v>
      </c>
      <c r="P629" s="62">
        <f t="shared" si="10"/>
        <v>1</v>
      </c>
    </row>
    <row r="630" spans="1:16" x14ac:dyDescent="0.25">
      <c r="A630" s="43" t="s">
        <v>200</v>
      </c>
      <c r="B630" s="43" t="s">
        <v>291</v>
      </c>
      <c r="C630" s="43" t="s">
        <v>292</v>
      </c>
      <c r="D630" s="43" t="s">
        <v>435</v>
      </c>
      <c r="E630" s="43" t="s">
        <v>441</v>
      </c>
      <c r="F630" s="43" t="s">
        <v>304</v>
      </c>
      <c r="G630" s="43" t="s">
        <v>232</v>
      </c>
      <c r="H630" s="43" t="s">
        <v>207</v>
      </c>
      <c r="I630" s="44">
        <v>45605</v>
      </c>
      <c r="J630" s="44">
        <v>45639</v>
      </c>
      <c r="K630" s="45">
        <v>6</v>
      </c>
      <c r="L630" s="45">
        <v>416.40429999999998</v>
      </c>
      <c r="M630" s="45">
        <v>1126.28</v>
      </c>
      <c r="N630" s="45">
        <v>8</v>
      </c>
      <c r="O630" s="45">
        <v>563.35440000000006</v>
      </c>
      <c r="P630" s="62">
        <f t="shared" si="10"/>
        <v>14</v>
      </c>
    </row>
    <row r="631" spans="1:16" x14ac:dyDescent="0.25">
      <c r="A631" s="43" t="s">
        <v>200</v>
      </c>
      <c r="B631" s="43" t="s">
        <v>291</v>
      </c>
      <c r="C631" s="43" t="s">
        <v>292</v>
      </c>
      <c r="D631" s="43" t="s">
        <v>435</v>
      </c>
      <c r="E631" s="43" t="s">
        <v>441</v>
      </c>
      <c r="F631" s="43" t="s">
        <v>304</v>
      </c>
      <c r="G631" s="43" t="s">
        <v>233</v>
      </c>
      <c r="H631" s="43" t="s">
        <v>207</v>
      </c>
      <c r="I631" s="44">
        <v>45605</v>
      </c>
      <c r="J631" s="44">
        <v>45633</v>
      </c>
      <c r="K631" s="45">
        <v>6</v>
      </c>
      <c r="L631" s="45">
        <v>416.14330000000001</v>
      </c>
      <c r="M631" s="45">
        <v>1147.1500000000001</v>
      </c>
      <c r="N631" s="45">
        <v>8</v>
      </c>
      <c r="O631" s="45">
        <v>563.61519999999996</v>
      </c>
      <c r="P631" s="62">
        <f t="shared" si="10"/>
        <v>14</v>
      </c>
    </row>
    <row r="632" spans="1:16" x14ac:dyDescent="0.25">
      <c r="A632" s="43" t="s">
        <v>200</v>
      </c>
      <c r="B632" s="43" t="s">
        <v>291</v>
      </c>
      <c r="C632" s="43" t="s">
        <v>292</v>
      </c>
      <c r="D632" s="43" t="s">
        <v>435</v>
      </c>
      <c r="E632" s="43" t="s">
        <v>441</v>
      </c>
      <c r="F632" s="43" t="s">
        <v>304</v>
      </c>
      <c r="G632" s="43" t="s">
        <v>234</v>
      </c>
      <c r="H632" s="43" t="s">
        <v>207</v>
      </c>
      <c r="I632" s="44">
        <v>45605</v>
      </c>
      <c r="J632" s="44">
        <v>45621</v>
      </c>
      <c r="K632" s="45">
        <v>3</v>
      </c>
      <c r="L632" s="45">
        <v>205.76679999999999</v>
      </c>
      <c r="M632" s="45">
        <v>563.14</v>
      </c>
      <c r="N632" s="45">
        <v>9</v>
      </c>
      <c r="O632" s="45">
        <v>622.83780000000002</v>
      </c>
      <c r="P632" s="62">
        <f t="shared" si="10"/>
        <v>12</v>
      </c>
    </row>
    <row r="633" spans="1:16" x14ac:dyDescent="0.25">
      <c r="A633" s="43" t="s">
        <v>200</v>
      </c>
      <c r="B633" s="43" t="s">
        <v>291</v>
      </c>
      <c r="C633" s="43" t="s">
        <v>292</v>
      </c>
      <c r="D633" s="43" t="s">
        <v>435</v>
      </c>
      <c r="E633" s="43" t="s">
        <v>441</v>
      </c>
      <c r="F633" s="43" t="s">
        <v>304</v>
      </c>
      <c r="G633" s="43" t="s">
        <v>296</v>
      </c>
      <c r="H633" s="43" t="s">
        <v>207</v>
      </c>
      <c r="I633" s="44">
        <v>45605</v>
      </c>
      <c r="J633" s="44">
        <v>45605</v>
      </c>
      <c r="K633" s="45">
        <v>1</v>
      </c>
      <c r="L633" s="45">
        <v>68.457099999999997</v>
      </c>
      <c r="M633" s="45">
        <v>187.72</v>
      </c>
      <c r="N633" s="45">
        <v>2</v>
      </c>
      <c r="O633" s="45">
        <v>136.91419999999999</v>
      </c>
      <c r="P633" s="62">
        <f t="shared" si="10"/>
        <v>3</v>
      </c>
    </row>
    <row r="634" spans="1:16" x14ac:dyDescent="0.25">
      <c r="A634" s="43" t="s">
        <v>200</v>
      </c>
      <c r="B634" s="43" t="s">
        <v>291</v>
      </c>
      <c r="C634" s="43" t="s">
        <v>292</v>
      </c>
      <c r="D634" s="43" t="s">
        <v>435</v>
      </c>
      <c r="E634" s="43" t="s">
        <v>442</v>
      </c>
      <c r="F634" s="43" t="s">
        <v>286</v>
      </c>
      <c r="G634" s="43" t="s">
        <v>232</v>
      </c>
      <c r="H634" s="43" t="s">
        <v>218</v>
      </c>
      <c r="I634" s="44">
        <v>45593</v>
      </c>
      <c r="J634" s="44">
        <v>45636</v>
      </c>
      <c r="K634" s="45">
        <v>6</v>
      </c>
      <c r="L634" s="45">
        <v>519.48559999999998</v>
      </c>
      <c r="M634" s="45">
        <v>1409.05</v>
      </c>
      <c r="N634" s="45">
        <v>6</v>
      </c>
      <c r="O634" s="45">
        <v>533.82060000000001</v>
      </c>
      <c r="P634" s="62">
        <f t="shared" si="10"/>
        <v>12</v>
      </c>
    </row>
    <row r="635" spans="1:16" x14ac:dyDescent="0.25">
      <c r="A635" s="43" t="s">
        <v>200</v>
      </c>
      <c r="B635" s="43" t="s">
        <v>291</v>
      </c>
      <c r="C635" s="43" t="s">
        <v>292</v>
      </c>
      <c r="D635" s="43" t="s">
        <v>435</v>
      </c>
      <c r="E635" s="43" t="s">
        <v>442</v>
      </c>
      <c r="F635" s="43" t="s">
        <v>286</v>
      </c>
      <c r="G635" s="43" t="s">
        <v>233</v>
      </c>
      <c r="H635" s="43" t="s">
        <v>218</v>
      </c>
      <c r="I635" s="44">
        <v>45593</v>
      </c>
      <c r="J635" s="44">
        <v>45636</v>
      </c>
      <c r="K635" s="45">
        <v>11</v>
      </c>
      <c r="L635" s="45">
        <v>966.46910000000003</v>
      </c>
      <c r="M635" s="45">
        <v>2561.91</v>
      </c>
      <c r="N635" s="45">
        <v>6</v>
      </c>
      <c r="O635" s="45">
        <v>537.62580000000003</v>
      </c>
      <c r="P635" s="62">
        <f t="shared" si="10"/>
        <v>17</v>
      </c>
    </row>
    <row r="636" spans="1:16" x14ac:dyDescent="0.25">
      <c r="A636" s="43" t="s">
        <v>200</v>
      </c>
      <c r="B636" s="43" t="s">
        <v>291</v>
      </c>
      <c r="C636" s="43" t="s">
        <v>292</v>
      </c>
      <c r="D636" s="43" t="s">
        <v>435</v>
      </c>
      <c r="E636" s="43" t="s">
        <v>442</v>
      </c>
      <c r="F636" s="43" t="s">
        <v>286</v>
      </c>
      <c r="G636" s="43" t="s">
        <v>234</v>
      </c>
      <c r="H636" s="43" t="s">
        <v>218</v>
      </c>
      <c r="I636" s="44">
        <v>45593</v>
      </c>
      <c r="J636" s="44">
        <v>45630</v>
      </c>
      <c r="K636" s="45">
        <v>5</v>
      </c>
      <c r="L636" s="45">
        <v>436.20819999999998</v>
      </c>
      <c r="M636" s="45">
        <v>1152.8699999999999</v>
      </c>
      <c r="N636" s="45">
        <v>4</v>
      </c>
      <c r="O636" s="45">
        <v>355.99560000000002</v>
      </c>
      <c r="P636" s="62">
        <f t="shared" si="10"/>
        <v>9</v>
      </c>
    </row>
    <row r="637" spans="1:16" x14ac:dyDescent="0.25">
      <c r="A637" s="43" t="s">
        <v>200</v>
      </c>
      <c r="B637" s="43" t="s">
        <v>291</v>
      </c>
      <c r="C637" s="43" t="s">
        <v>292</v>
      </c>
      <c r="D637" s="43" t="s">
        <v>435</v>
      </c>
      <c r="E637" s="43" t="s">
        <v>442</v>
      </c>
      <c r="F637" s="43" t="s">
        <v>286</v>
      </c>
      <c r="G637" s="43" t="s">
        <v>259</v>
      </c>
      <c r="H637" s="43" t="s">
        <v>218</v>
      </c>
      <c r="I637" s="44">
        <v>45593</v>
      </c>
      <c r="J637" s="44">
        <v>45593</v>
      </c>
      <c r="K637" s="45">
        <v>0</v>
      </c>
      <c r="L637" s="45">
        <v>0</v>
      </c>
      <c r="M637" s="45">
        <v>0</v>
      </c>
      <c r="N637" s="45">
        <v>2</v>
      </c>
      <c r="O637" s="45">
        <v>171.10220000000001</v>
      </c>
      <c r="P637" s="62">
        <f t="shared" si="10"/>
        <v>2</v>
      </c>
    </row>
    <row r="638" spans="1:16" x14ac:dyDescent="0.25">
      <c r="A638" s="43" t="s">
        <v>200</v>
      </c>
      <c r="B638" s="43" t="s">
        <v>291</v>
      </c>
      <c r="C638" s="43" t="s">
        <v>292</v>
      </c>
      <c r="D638" s="43" t="s">
        <v>435</v>
      </c>
      <c r="E638" s="43" t="s">
        <v>442</v>
      </c>
      <c r="F638" s="43" t="s">
        <v>286</v>
      </c>
      <c r="G638" s="43" t="s">
        <v>296</v>
      </c>
      <c r="H638" s="43" t="s">
        <v>218</v>
      </c>
      <c r="I638" s="44">
        <v>45593</v>
      </c>
      <c r="J638" s="44">
        <v>45593</v>
      </c>
      <c r="K638" s="45">
        <v>0</v>
      </c>
      <c r="L638" s="45">
        <v>0</v>
      </c>
      <c r="M638" s="45">
        <v>0</v>
      </c>
      <c r="N638" s="45">
        <v>2</v>
      </c>
      <c r="O638" s="45">
        <v>171.10220000000001</v>
      </c>
      <c r="P638" s="62">
        <f t="shared" si="10"/>
        <v>2</v>
      </c>
    </row>
    <row r="639" spans="1:16" x14ac:dyDescent="0.25">
      <c r="A639" s="43" t="s">
        <v>200</v>
      </c>
      <c r="B639" s="43" t="s">
        <v>291</v>
      </c>
      <c r="C639" s="43" t="s">
        <v>292</v>
      </c>
      <c r="D639" s="43" t="s">
        <v>435</v>
      </c>
      <c r="E639" s="43" t="s">
        <v>443</v>
      </c>
      <c r="F639" s="43" t="s">
        <v>286</v>
      </c>
      <c r="G639" s="43" t="s">
        <v>232</v>
      </c>
      <c r="H639" s="43" t="s">
        <v>207</v>
      </c>
      <c r="I639" s="44">
        <v>45593</v>
      </c>
      <c r="J639" s="44">
        <v>45632</v>
      </c>
      <c r="K639" s="45">
        <v>4</v>
      </c>
      <c r="L639" s="45">
        <v>345.66460000000001</v>
      </c>
      <c r="M639" s="45">
        <v>922.29</v>
      </c>
      <c r="N639" s="45">
        <v>6</v>
      </c>
      <c r="O639" s="45">
        <v>527.64120000000003</v>
      </c>
      <c r="P639" s="62">
        <f t="shared" si="10"/>
        <v>10</v>
      </c>
    </row>
    <row r="640" spans="1:16" x14ac:dyDescent="0.25">
      <c r="A640" s="43" t="s">
        <v>200</v>
      </c>
      <c r="B640" s="43" t="s">
        <v>291</v>
      </c>
      <c r="C640" s="43" t="s">
        <v>292</v>
      </c>
      <c r="D640" s="43" t="s">
        <v>435</v>
      </c>
      <c r="E640" s="43" t="s">
        <v>443</v>
      </c>
      <c r="F640" s="43" t="s">
        <v>286</v>
      </c>
      <c r="G640" s="43" t="s">
        <v>233</v>
      </c>
      <c r="H640" s="43" t="s">
        <v>207</v>
      </c>
      <c r="I640" s="44">
        <v>45593</v>
      </c>
      <c r="J640" s="44">
        <v>45636</v>
      </c>
      <c r="K640" s="45">
        <v>10</v>
      </c>
      <c r="L640" s="45">
        <v>876.30930000000001</v>
      </c>
      <c r="M640" s="45">
        <v>2305.6999999999998</v>
      </c>
      <c r="N640" s="45">
        <v>7</v>
      </c>
      <c r="O640" s="45">
        <v>626.99490000000003</v>
      </c>
      <c r="P640" s="62">
        <f t="shared" si="10"/>
        <v>17</v>
      </c>
    </row>
    <row r="641" spans="1:16" x14ac:dyDescent="0.25">
      <c r="A641" s="43" t="s">
        <v>200</v>
      </c>
      <c r="B641" s="43" t="s">
        <v>291</v>
      </c>
      <c r="C641" s="43" t="s">
        <v>292</v>
      </c>
      <c r="D641" s="43" t="s">
        <v>435</v>
      </c>
      <c r="E641" s="43" t="s">
        <v>443</v>
      </c>
      <c r="F641" s="43" t="s">
        <v>286</v>
      </c>
      <c r="G641" s="43" t="s">
        <v>234</v>
      </c>
      <c r="H641" s="43" t="s">
        <v>207</v>
      </c>
      <c r="I641" s="44">
        <v>45593</v>
      </c>
      <c r="J641" s="44">
        <v>45640</v>
      </c>
      <c r="K641" s="45">
        <v>3</v>
      </c>
      <c r="L641" s="45">
        <v>259.71179999999998</v>
      </c>
      <c r="M641" s="45">
        <v>691.72</v>
      </c>
      <c r="N641" s="45">
        <v>4</v>
      </c>
      <c r="O641" s="45">
        <v>352.49200000000002</v>
      </c>
      <c r="P641" s="62">
        <f t="shared" si="10"/>
        <v>7</v>
      </c>
    </row>
    <row r="642" spans="1:16" x14ac:dyDescent="0.25">
      <c r="A642" s="43" t="s">
        <v>200</v>
      </c>
      <c r="B642" s="43" t="s">
        <v>291</v>
      </c>
      <c r="C642" s="43" t="s">
        <v>292</v>
      </c>
      <c r="D642" s="43" t="s">
        <v>435</v>
      </c>
      <c r="E642" s="43" t="s">
        <v>443</v>
      </c>
      <c r="F642" s="43" t="s">
        <v>286</v>
      </c>
      <c r="G642" s="43" t="s">
        <v>259</v>
      </c>
      <c r="H642" s="43" t="s">
        <v>207</v>
      </c>
      <c r="I642" s="44">
        <v>45593</v>
      </c>
      <c r="J642" s="44">
        <v>45593</v>
      </c>
      <c r="K642" s="45">
        <v>2</v>
      </c>
      <c r="L642" s="45">
        <v>171.10220000000001</v>
      </c>
      <c r="M642" s="45">
        <v>461.14</v>
      </c>
      <c r="N642" s="45">
        <v>0</v>
      </c>
      <c r="O642" s="45">
        <v>0</v>
      </c>
      <c r="P642" s="62">
        <f t="shared" si="10"/>
        <v>2</v>
      </c>
    </row>
    <row r="643" spans="1:16" x14ac:dyDescent="0.25">
      <c r="A643" s="43" t="s">
        <v>200</v>
      </c>
      <c r="B643" s="43" t="s">
        <v>291</v>
      </c>
      <c r="C643" s="43" t="s">
        <v>292</v>
      </c>
      <c r="D643" s="43" t="s">
        <v>435</v>
      </c>
      <c r="E643" s="43" t="s">
        <v>443</v>
      </c>
      <c r="F643" s="43" t="s">
        <v>286</v>
      </c>
      <c r="G643" s="43" t="s">
        <v>296</v>
      </c>
      <c r="H643" s="43" t="s">
        <v>207</v>
      </c>
      <c r="I643" s="44">
        <v>45593</v>
      </c>
      <c r="J643" s="44">
        <v>45636</v>
      </c>
      <c r="K643" s="45">
        <v>1</v>
      </c>
      <c r="L643" s="45">
        <v>85.551100000000005</v>
      </c>
      <c r="M643" s="45">
        <v>256.19</v>
      </c>
      <c r="N643" s="45">
        <v>2</v>
      </c>
      <c r="O643" s="45">
        <v>175.55099999999999</v>
      </c>
      <c r="P643" s="62">
        <f t="shared" si="10"/>
        <v>3</v>
      </c>
    </row>
    <row r="644" spans="1:16" x14ac:dyDescent="0.25">
      <c r="A644" s="43" t="s">
        <v>200</v>
      </c>
      <c r="B644" s="43" t="s">
        <v>291</v>
      </c>
      <c r="C644" s="43" t="s">
        <v>292</v>
      </c>
      <c r="D644" s="43" t="s">
        <v>435</v>
      </c>
      <c r="E644" s="43" t="s">
        <v>444</v>
      </c>
      <c r="F644" s="43" t="s">
        <v>323</v>
      </c>
      <c r="G644" s="43" t="s">
        <v>233</v>
      </c>
      <c r="H644" s="43" t="s">
        <v>207</v>
      </c>
      <c r="I644" s="44">
        <v>45637</v>
      </c>
      <c r="J644" s="44">
        <v>45637</v>
      </c>
      <c r="K644" s="45">
        <v>0</v>
      </c>
      <c r="L644" s="45">
        <v>0</v>
      </c>
      <c r="M644" s="45">
        <v>0</v>
      </c>
      <c r="N644" s="45">
        <v>1</v>
      </c>
      <c r="O644" s="45">
        <v>57.608499999999999</v>
      </c>
      <c r="P644" s="62">
        <f t="shared" si="10"/>
        <v>1</v>
      </c>
    </row>
    <row r="645" spans="1:16" x14ac:dyDescent="0.25">
      <c r="A645" s="43" t="s">
        <v>200</v>
      </c>
      <c r="B645" s="43" t="s">
        <v>291</v>
      </c>
      <c r="C645" s="43" t="s">
        <v>292</v>
      </c>
      <c r="D645" s="43" t="s">
        <v>435</v>
      </c>
      <c r="E645" s="43" t="s">
        <v>445</v>
      </c>
      <c r="F645" s="43" t="s">
        <v>352</v>
      </c>
      <c r="G645" s="43" t="s">
        <v>232</v>
      </c>
      <c r="H645" s="43" t="s">
        <v>207</v>
      </c>
      <c r="I645" s="44">
        <v>45591</v>
      </c>
      <c r="J645" s="44">
        <v>45626</v>
      </c>
      <c r="K645" s="45">
        <v>17</v>
      </c>
      <c r="L645" s="45">
        <v>1202.3353</v>
      </c>
      <c r="M645" s="45">
        <v>3191.11</v>
      </c>
      <c r="N645" s="45">
        <v>0</v>
      </c>
      <c r="O645" s="45">
        <v>0</v>
      </c>
      <c r="P645" s="62">
        <f t="shared" si="10"/>
        <v>17</v>
      </c>
    </row>
    <row r="646" spans="1:16" x14ac:dyDescent="0.25">
      <c r="A646" s="43" t="s">
        <v>200</v>
      </c>
      <c r="B646" s="43" t="s">
        <v>291</v>
      </c>
      <c r="C646" s="43" t="s">
        <v>292</v>
      </c>
      <c r="D646" s="43" t="s">
        <v>435</v>
      </c>
      <c r="E646" s="43" t="s">
        <v>445</v>
      </c>
      <c r="F646" s="43" t="s">
        <v>352</v>
      </c>
      <c r="G646" s="43" t="s">
        <v>233</v>
      </c>
      <c r="H646" s="43" t="s">
        <v>207</v>
      </c>
      <c r="I646" s="44">
        <v>45591</v>
      </c>
      <c r="J646" s="44">
        <v>45643</v>
      </c>
      <c r="K646" s="45">
        <v>16</v>
      </c>
      <c r="L646" s="45">
        <v>1131.2551000000001</v>
      </c>
      <c r="M646" s="45">
        <v>3024.25</v>
      </c>
      <c r="N646" s="45">
        <v>4</v>
      </c>
      <c r="O646" s="45">
        <v>287.7244</v>
      </c>
      <c r="P646" s="62">
        <f t="shared" si="10"/>
        <v>20</v>
      </c>
    </row>
    <row r="647" spans="1:16" x14ac:dyDescent="0.25">
      <c r="A647" s="43" t="s">
        <v>200</v>
      </c>
      <c r="B647" s="43" t="s">
        <v>291</v>
      </c>
      <c r="C647" s="43" t="s">
        <v>292</v>
      </c>
      <c r="D647" s="43" t="s">
        <v>435</v>
      </c>
      <c r="E647" s="43" t="s">
        <v>445</v>
      </c>
      <c r="F647" s="43" t="s">
        <v>352</v>
      </c>
      <c r="G647" s="43" t="s">
        <v>234</v>
      </c>
      <c r="H647" s="43" t="s">
        <v>207</v>
      </c>
      <c r="I647" s="44">
        <v>45591</v>
      </c>
      <c r="J647" s="44">
        <v>45643</v>
      </c>
      <c r="K647" s="45">
        <v>8</v>
      </c>
      <c r="L647" s="45">
        <v>565.41099999999994</v>
      </c>
      <c r="M647" s="45">
        <v>1501.71</v>
      </c>
      <c r="N647" s="45">
        <v>4</v>
      </c>
      <c r="O647" s="45">
        <v>287.22320000000002</v>
      </c>
      <c r="P647" s="62">
        <f t="shared" si="10"/>
        <v>12</v>
      </c>
    </row>
    <row r="648" spans="1:16" x14ac:dyDescent="0.25">
      <c r="A648" s="43" t="s">
        <v>200</v>
      </c>
      <c r="B648" s="43" t="s">
        <v>291</v>
      </c>
      <c r="C648" s="43" t="s">
        <v>292</v>
      </c>
      <c r="D648" s="43" t="s">
        <v>435</v>
      </c>
      <c r="E648" s="43" t="s">
        <v>445</v>
      </c>
      <c r="F648" s="43" t="s">
        <v>352</v>
      </c>
      <c r="G648" s="43" t="s">
        <v>296</v>
      </c>
      <c r="H648" s="43" t="s">
        <v>207</v>
      </c>
      <c r="I648" s="44">
        <v>45591</v>
      </c>
      <c r="J648" s="44">
        <v>45630</v>
      </c>
      <c r="K648" s="45">
        <v>2</v>
      </c>
      <c r="L648" s="45">
        <v>138.69409999999999</v>
      </c>
      <c r="M648" s="45">
        <v>375.42</v>
      </c>
      <c r="N648" s="45">
        <v>2</v>
      </c>
      <c r="O648" s="45">
        <v>142.25399999999999</v>
      </c>
      <c r="P648" s="62">
        <f t="shared" ref="P648:P711" si="11">K648+N648</f>
        <v>4</v>
      </c>
    </row>
    <row r="649" spans="1:16" x14ac:dyDescent="0.25">
      <c r="A649" s="43" t="s">
        <v>200</v>
      </c>
      <c r="B649" s="43" t="s">
        <v>291</v>
      </c>
      <c r="C649" s="43" t="s">
        <v>292</v>
      </c>
      <c r="D649" s="43" t="s">
        <v>435</v>
      </c>
      <c r="E649" s="43" t="s">
        <v>446</v>
      </c>
      <c r="F649" s="43" t="s">
        <v>352</v>
      </c>
      <c r="G649" s="43" t="s">
        <v>232</v>
      </c>
      <c r="H649" s="43" t="s">
        <v>207</v>
      </c>
      <c r="I649" s="44">
        <v>45591</v>
      </c>
      <c r="J649" s="44">
        <v>45617</v>
      </c>
      <c r="K649" s="45">
        <v>6</v>
      </c>
      <c r="L649" s="45">
        <v>414.30259999999998</v>
      </c>
      <c r="M649" s="45">
        <v>1126.27</v>
      </c>
      <c r="N649" s="45">
        <v>1</v>
      </c>
      <c r="O649" s="45">
        <v>69.347099999999998</v>
      </c>
      <c r="P649" s="62">
        <f t="shared" si="11"/>
        <v>7</v>
      </c>
    </row>
    <row r="650" spans="1:16" x14ac:dyDescent="0.25">
      <c r="A650" s="43" t="s">
        <v>200</v>
      </c>
      <c r="B650" s="43" t="s">
        <v>291</v>
      </c>
      <c r="C650" s="43" t="s">
        <v>292</v>
      </c>
      <c r="D650" s="43" t="s">
        <v>435</v>
      </c>
      <c r="E650" s="43" t="s">
        <v>446</v>
      </c>
      <c r="F650" s="43" t="s">
        <v>352</v>
      </c>
      <c r="G650" s="43" t="s">
        <v>233</v>
      </c>
      <c r="H650" s="43" t="s">
        <v>207</v>
      </c>
      <c r="I650" s="44">
        <v>45591</v>
      </c>
      <c r="J650" s="44">
        <v>45624</v>
      </c>
      <c r="K650" s="45">
        <v>18</v>
      </c>
      <c r="L650" s="45">
        <v>1274.866</v>
      </c>
      <c r="M650" s="45">
        <v>3378.84</v>
      </c>
      <c r="N650" s="45">
        <v>0</v>
      </c>
      <c r="O650" s="45">
        <v>0</v>
      </c>
      <c r="P650" s="62">
        <f t="shared" si="11"/>
        <v>18</v>
      </c>
    </row>
    <row r="651" spans="1:16" x14ac:dyDescent="0.25">
      <c r="A651" s="43" t="s">
        <v>200</v>
      </c>
      <c r="B651" s="43" t="s">
        <v>291</v>
      </c>
      <c r="C651" s="43" t="s">
        <v>292</v>
      </c>
      <c r="D651" s="43" t="s">
        <v>435</v>
      </c>
      <c r="E651" s="43" t="s">
        <v>446</v>
      </c>
      <c r="F651" s="43" t="s">
        <v>352</v>
      </c>
      <c r="G651" s="43" t="s">
        <v>234</v>
      </c>
      <c r="H651" s="43" t="s">
        <v>207</v>
      </c>
      <c r="I651" s="44">
        <v>45591</v>
      </c>
      <c r="J651" s="44">
        <v>45643</v>
      </c>
      <c r="K651" s="45">
        <v>7</v>
      </c>
      <c r="L651" s="45">
        <v>490.88040000000001</v>
      </c>
      <c r="M651" s="45">
        <v>1334.87</v>
      </c>
      <c r="N651" s="45">
        <v>4</v>
      </c>
      <c r="O651" s="45">
        <v>287.06639999999999</v>
      </c>
      <c r="P651" s="62">
        <f t="shared" si="11"/>
        <v>11</v>
      </c>
    </row>
    <row r="652" spans="1:16" x14ac:dyDescent="0.25">
      <c r="A652" s="43" t="s">
        <v>200</v>
      </c>
      <c r="B652" s="43" t="s">
        <v>291</v>
      </c>
      <c r="C652" s="43" t="s">
        <v>292</v>
      </c>
      <c r="D652" s="43" t="s">
        <v>435</v>
      </c>
      <c r="E652" s="43" t="s">
        <v>446</v>
      </c>
      <c r="F652" s="43" t="s">
        <v>352</v>
      </c>
      <c r="G652" s="43" t="s">
        <v>296</v>
      </c>
      <c r="H652" s="43" t="s">
        <v>207</v>
      </c>
      <c r="I652" s="44">
        <v>45591</v>
      </c>
      <c r="J652" s="44">
        <v>45614</v>
      </c>
      <c r="K652" s="45">
        <v>1</v>
      </c>
      <c r="L652" s="45">
        <v>68.457099999999997</v>
      </c>
      <c r="M652" s="45">
        <v>187.71</v>
      </c>
      <c r="N652" s="45">
        <v>2</v>
      </c>
      <c r="O652" s="45">
        <v>136.91419999999999</v>
      </c>
      <c r="P652" s="62">
        <f t="shared" si="11"/>
        <v>3</v>
      </c>
    </row>
    <row r="653" spans="1:16" x14ac:dyDescent="0.25">
      <c r="A653" s="43" t="s">
        <v>200</v>
      </c>
      <c r="B653" s="43" t="s">
        <v>291</v>
      </c>
      <c r="C653" s="43" t="s">
        <v>292</v>
      </c>
      <c r="D653" s="43" t="s">
        <v>435</v>
      </c>
      <c r="E653" s="43" t="s">
        <v>447</v>
      </c>
      <c r="F653" s="43" t="s">
        <v>286</v>
      </c>
      <c r="G653" s="43" t="s">
        <v>232</v>
      </c>
      <c r="H653" s="43" t="s">
        <v>207</v>
      </c>
      <c r="I653" s="44">
        <v>45593</v>
      </c>
      <c r="J653" s="44">
        <v>45647</v>
      </c>
      <c r="K653" s="45">
        <v>4</v>
      </c>
      <c r="L653" s="45">
        <v>311.04880000000003</v>
      </c>
      <c r="M653" s="45">
        <v>842.2</v>
      </c>
      <c r="N653" s="45">
        <v>6</v>
      </c>
      <c r="O653" s="45">
        <v>474.80220000000003</v>
      </c>
      <c r="P653" s="62">
        <f t="shared" si="11"/>
        <v>10</v>
      </c>
    </row>
    <row r="654" spans="1:16" x14ac:dyDescent="0.25">
      <c r="A654" s="43" t="s">
        <v>200</v>
      </c>
      <c r="B654" s="43" t="s">
        <v>291</v>
      </c>
      <c r="C654" s="43" t="s">
        <v>292</v>
      </c>
      <c r="D654" s="43" t="s">
        <v>435</v>
      </c>
      <c r="E654" s="43" t="s">
        <v>447</v>
      </c>
      <c r="F654" s="43" t="s">
        <v>286</v>
      </c>
      <c r="G654" s="43" t="s">
        <v>233</v>
      </c>
      <c r="H654" s="43" t="s">
        <v>207</v>
      </c>
      <c r="I654" s="44">
        <v>45593</v>
      </c>
      <c r="J654" s="44">
        <v>45646</v>
      </c>
      <c r="K654" s="45">
        <v>9</v>
      </c>
      <c r="L654" s="45">
        <v>708.46749999999997</v>
      </c>
      <c r="M654" s="45">
        <v>1866.47</v>
      </c>
      <c r="N654" s="45">
        <v>7</v>
      </c>
      <c r="O654" s="45">
        <v>563.30539999999996</v>
      </c>
      <c r="P654" s="62">
        <f t="shared" si="11"/>
        <v>16</v>
      </c>
    </row>
    <row r="655" spans="1:16" x14ac:dyDescent="0.25">
      <c r="A655" s="43" t="s">
        <v>200</v>
      </c>
      <c r="B655" s="43" t="s">
        <v>291</v>
      </c>
      <c r="C655" s="43" t="s">
        <v>292</v>
      </c>
      <c r="D655" s="43" t="s">
        <v>435</v>
      </c>
      <c r="E655" s="43" t="s">
        <v>447</v>
      </c>
      <c r="F655" s="43" t="s">
        <v>286</v>
      </c>
      <c r="G655" s="43" t="s">
        <v>234</v>
      </c>
      <c r="H655" s="43" t="s">
        <v>207</v>
      </c>
      <c r="I655" s="44">
        <v>45593</v>
      </c>
      <c r="J655" s="44">
        <v>45646</v>
      </c>
      <c r="K655" s="45">
        <v>4</v>
      </c>
      <c r="L655" s="45">
        <v>312.43880000000001</v>
      </c>
      <c r="M655" s="45">
        <v>819.43</v>
      </c>
      <c r="N655" s="45">
        <v>4</v>
      </c>
      <c r="O655" s="45">
        <v>319.44439999999997</v>
      </c>
      <c r="P655" s="62">
        <f t="shared" si="11"/>
        <v>8</v>
      </c>
    </row>
    <row r="656" spans="1:16" x14ac:dyDescent="0.25">
      <c r="A656" s="43" t="s">
        <v>200</v>
      </c>
      <c r="B656" s="43" t="s">
        <v>291</v>
      </c>
      <c r="C656" s="43" t="s">
        <v>292</v>
      </c>
      <c r="D656" s="43" t="s">
        <v>435</v>
      </c>
      <c r="E656" s="43" t="s">
        <v>447</v>
      </c>
      <c r="F656" s="43" t="s">
        <v>286</v>
      </c>
      <c r="G656" s="43" t="s">
        <v>259</v>
      </c>
      <c r="H656" s="43" t="s">
        <v>207</v>
      </c>
      <c r="I656" s="44">
        <v>45593</v>
      </c>
      <c r="J656" s="44">
        <v>45638</v>
      </c>
      <c r="K656" s="45">
        <v>3</v>
      </c>
      <c r="L656" s="45">
        <v>234.9546</v>
      </c>
      <c r="M656" s="45">
        <v>614.57000000000005</v>
      </c>
      <c r="N656" s="45">
        <v>2</v>
      </c>
      <c r="O656" s="45">
        <v>161.97399999999999</v>
      </c>
      <c r="P656" s="62">
        <f t="shared" si="11"/>
        <v>5</v>
      </c>
    </row>
    <row r="657" spans="1:16" x14ac:dyDescent="0.25">
      <c r="A657" s="43" t="s">
        <v>200</v>
      </c>
      <c r="B657" s="43" t="s">
        <v>291</v>
      </c>
      <c r="C657" s="43" t="s">
        <v>292</v>
      </c>
      <c r="D657" s="43" t="s">
        <v>435</v>
      </c>
      <c r="E657" s="43" t="s">
        <v>447</v>
      </c>
      <c r="F657" s="43" t="s">
        <v>286</v>
      </c>
      <c r="G657" s="43" t="s">
        <v>296</v>
      </c>
      <c r="H657" s="43" t="s">
        <v>207</v>
      </c>
      <c r="I657" s="44">
        <v>45593</v>
      </c>
      <c r="J657" s="44">
        <v>45644</v>
      </c>
      <c r="K657" s="45">
        <v>1</v>
      </c>
      <c r="L657" s="45">
        <v>76.983800000000002</v>
      </c>
      <c r="M657" s="45">
        <v>204.86</v>
      </c>
      <c r="N657" s="45">
        <v>2</v>
      </c>
      <c r="O657" s="45">
        <v>157.9708</v>
      </c>
      <c r="P657" s="62">
        <f t="shared" si="11"/>
        <v>3</v>
      </c>
    </row>
    <row r="658" spans="1:16" x14ac:dyDescent="0.25">
      <c r="A658" s="43" t="s">
        <v>200</v>
      </c>
      <c r="B658" s="43" t="s">
        <v>291</v>
      </c>
      <c r="C658" s="43" t="s">
        <v>292</v>
      </c>
      <c r="D658" s="43" t="s">
        <v>435</v>
      </c>
      <c r="E658" s="43" t="s">
        <v>448</v>
      </c>
      <c r="F658" s="43" t="s">
        <v>286</v>
      </c>
      <c r="G658" s="43" t="s">
        <v>232</v>
      </c>
      <c r="H658" s="43" t="s">
        <v>218</v>
      </c>
      <c r="I658" s="44">
        <v>45593</v>
      </c>
      <c r="J658" s="44">
        <v>45647</v>
      </c>
      <c r="K658" s="45">
        <v>7</v>
      </c>
      <c r="L658" s="45">
        <v>547.5231</v>
      </c>
      <c r="M658" s="45">
        <v>1479.53</v>
      </c>
      <c r="N658" s="45">
        <v>6</v>
      </c>
      <c r="O658" s="45">
        <v>481.28879999999998</v>
      </c>
      <c r="P658" s="62">
        <f t="shared" si="11"/>
        <v>13</v>
      </c>
    </row>
    <row r="659" spans="1:16" x14ac:dyDescent="0.25">
      <c r="A659" s="43" t="s">
        <v>200</v>
      </c>
      <c r="B659" s="43" t="s">
        <v>291</v>
      </c>
      <c r="C659" s="43" t="s">
        <v>292</v>
      </c>
      <c r="D659" s="43" t="s">
        <v>435</v>
      </c>
      <c r="E659" s="43" t="s">
        <v>448</v>
      </c>
      <c r="F659" s="43" t="s">
        <v>286</v>
      </c>
      <c r="G659" s="43" t="s">
        <v>233</v>
      </c>
      <c r="H659" s="43" t="s">
        <v>218</v>
      </c>
      <c r="I659" s="44">
        <v>45593</v>
      </c>
      <c r="J659" s="44">
        <v>45647</v>
      </c>
      <c r="K659" s="45">
        <v>13</v>
      </c>
      <c r="L659" s="45">
        <v>1030.2419</v>
      </c>
      <c r="M659" s="45">
        <v>2663.17</v>
      </c>
      <c r="N659" s="45">
        <v>5</v>
      </c>
      <c r="O659" s="45">
        <v>403.505</v>
      </c>
      <c r="P659" s="62">
        <f t="shared" si="11"/>
        <v>18</v>
      </c>
    </row>
    <row r="660" spans="1:16" x14ac:dyDescent="0.25">
      <c r="A660" s="43" t="s">
        <v>200</v>
      </c>
      <c r="B660" s="43" t="s">
        <v>291</v>
      </c>
      <c r="C660" s="43" t="s">
        <v>292</v>
      </c>
      <c r="D660" s="43" t="s">
        <v>435</v>
      </c>
      <c r="E660" s="43" t="s">
        <v>448</v>
      </c>
      <c r="F660" s="43" t="s">
        <v>286</v>
      </c>
      <c r="G660" s="43" t="s">
        <v>234</v>
      </c>
      <c r="H660" s="43" t="s">
        <v>218</v>
      </c>
      <c r="I660" s="44">
        <v>45593</v>
      </c>
      <c r="J660" s="44">
        <v>45647</v>
      </c>
      <c r="K660" s="45">
        <v>5</v>
      </c>
      <c r="L660" s="45">
        <v>392.3</v>
      </c>
      <c r="M660" s="45">
        <v>1024.27</v>
      </c>
      <c r="N660" s="45">
        <v>4</v>
      </c>
      <c r="O660" s="45">
        <v>320.57040000000001</v>
      </c>
      <c r="P660" s="62">
        <f t="shared" si="11"/>
        <v>9</v>
      </c>
    </row>
    <row r="661" spans="1:16" x14ac:dyDescent="0.25">
      <c r="A661" s="43" t="s">
        <v>200</v>
      </c>
      <c r="B661" s="43" t="s">
        <v>291</v>
      </c>
      <c r="C661" s="43" t="s">
        <v>292</v>
      </c>
      <c r="D661" s="43" t="s">
        <v>435</v>
      </c>
      <c r="E661" s="43" t="s">
        <v>448</v>
      </c>
      <c r="F661" s="43" t="s">
        <v>286</v>
      </c>
      <c r="G661" s="43" t="s">
        <v>296</v>
      </c>
      <c r="H661" s="43" t="s">
        <v>218</v>
      </c>
      <c r="I661" s="44">
        <v>45593</v>
      </c>
      <c r="J661" s="44">
        <v>45647</v>
      </c>
      <c r="K661" s="45">
        <v>0</v>
      </c>
      <c r="L661" s="45">
        <v>0</v>
      </c>
      <c r="M661" s="45">
        <v>0</v>
      </c>
      <c r="N661" s="45">
        <v>2</v>
      </c>
      <c r="O661" s="45">
        <v>153.9676</v>
      </c>
      <c r="P661" s="62">
        <f t="shared" si="11"/>
        <v>2</v>
      </c>
    </row>
    <row r="662" spans="1:16" x14ac:dyDescent="0.25">
      <c r="A662" s="43" t="s">
        <v>200</v>
      </c>
      <c r="B662" s="43" t="s">
        <v>291</v>
      </c>
      <c r="C662" s="43" t="s">
        <v>292</v>
      </c>
      <c r="D662" s="43" t="s">
        <v>435</v>
      </c>
      <c r="E662" s="43" t="s">
        <v>449</v>
      </c>
      <c r="F662" s="43" t="s">
        <v>390</v>
      </c>
      <c r="G662" s="43" t="s">
        <v>232</v>
      </c>
      <c r="H662" s="43" t="s">
        <v>207</v>
      </c>
      <c r="I662" s="44">
        <v>45591</v>
      </c>
      <c r="J662" s="44">
        <v>45617</v>
      </c>
      <c r="K662" s="45">
        <v>16</v>
      </c>
      <c r="L662" s="45">
        <v>1582.7088000000001</v>
      </c>
      <c r="M662" s="45">
        <v>4418</v>
      </c>
      <c r="N662" s="45">
        <v>3</v>
      </c>
      <c r="O662" s="45">
        <v>312.1893</v>
      </c>
      <c r="P662" s="62">
        <f t="shared" si="11"/>
        <v>19</v>
      </c>
    </row>
    <row r="663" spans="1:16" x14ac:dyDescent="0.25">
      <c r="A663" s="43" t="s">
        <v>200</v>
      </c>
      <c r="B663" s="43" t="s">
        <v>291</v>
      </c>
      <c r="C663" s="43" t="s">
        <v>292</v>
      </c>
      <c r="D663" s="43" t="s">
        <v>435</v>
      </c>
      <c r="E663" s="43" t="s">
        <v>449</v>
      </c>
      <c r="F663" s="43" t="s">
        <v>390</v>
      </c>
      <c r="G663" s="43" t="s">
        <v>233</v>
      </c>
      <c r="H663" s="43" t="s">
        <v>207</v>
      </c>
      <c r="I663" s="44">
        <v>45591</v>
      </c>
      <c r="J663" s="44">
        <v>45615</v>
      </c>
      <c r="K663" s="45">
        <v>11</v>
      </c>
      <c r="L663" s="45">
        <v>1119.4392</v>
      </c>
      <c r="M663" s="45">
        <v>3102</v>
      </c>
      <c r="N663" s="45">
        <v>0</v>
      </c>
      <c r="O663" s="45">
        <v>0</v>
      </c>
      <c r="P663" s="62">
        <f t="shared" si="11"/>
        <v>11</v>
      </c>
    </row>
    <row r="664" spans="1:16" x14ac:dyDescent="0.25">
      <c r="A664" s="43" t="s">
        <v>200</v>
      </c>
      <c r="B664" s="43" t="s">
        <v>291</v>
      </c>
      <c r="C664" s="43" t="s">
        <v>292</v>
      </c>
      <c r="D664" s="43" t="s">
        <v>435</v>
      </c>
      <c r="E664" s="43" t="s">
        <v>449</v>
      </c>
      <c r="F664" s="43" t="s">
        <v>390</v>
      </c>
      <c r="G664" s="43" t="s">
        <v>234</v>
      </c>
      <c r="H664" s="43" t="s">
        <v>207</v>
      </c>
      <c r="I664" s="44">
        <v>45591</v>
      </c>
      <c r="J664" s="44">
        <v>45609</v>
      </c>
      <c r="K664" s="45">
        <v>8</v>
      </c>
      <c r="L664" s="45">
        <v>800.27120000000002</v>
      </c>
      <c r="M664" s="45">
        <v>2256</v>
      </c>
      <c r="N664" s="45">
        <v>0</v>
      </c>
      <c r="O664" s="45">
        <v>0</v>
      </c>
      <c r="P664" s="62">
        <f t="shared" si="11"/>
        <v>8</v>
      </c>
    </row>
    <row r="665" spans="1:16" x14ac:dyDescent="0.25">
      <c r="A665" s="43" t="s">
        <v>200</v>
      </c>
      <c r="B665" s="43" t="s">
        <v>291</v>
      </c>
      <c r="C665" s="43" t="s">
        <v>292</v>
      </c>
      <c r="D665" s="43" t="s">
        <v>435</v>
      </c>
      <c r="E665" s="43" t="s">
        <v>449</v>
      </c>
      <c r="F665" s="43" t="s">
        <v>390</v>
      </c>
      <c r="G665" s="43" t="s">
        <v>259</v>
      </c>
      <c r="H665" s="43" t="s">
        <v>207</v>
      </c>
      <c r="I665" s="44">
        <v>45591</v>
      </c>
      <c r="J665" s="44">
        <v>45591</v>
      </c>
      <c r="K665" s="45">
        <v>2</v>
      </c>
      <c r="L665" s="45">
        <v>193.97499999999999</v>
      </c>
      <c r="M665" s="45">
        <v>564</v>
      </c>
      <c r="N665" s="45">
        <v>0</v>
      </c>
      <c r="O665" s="45">
        <v>0</v>
      </c>
      <c r="P665" s="62">
        <f t="shared" si="11"/>
        <v>2</v>
      </c>
    </row>
    <row r="666" spans="1:16" x14ac:dyDescent="0.25">
      <c r="A666" s="43" t="s">
        <v>200</v>
      </c>
      <c r="B666" s="43" t="s">
        <v>291</v>
      </c>
      <c r="C666" s="43" t="s">
        <v>292</v>
      </c>
      <c r="D666" s="43" t="s">
        <v>435</v>
      </c>
      <c r="E666" s="43" t="s">
        <v>449</v>
      </c>
      <c r="F666" s="43" t="s">
        <v>390</v>
      </c>
      <c r="G666" s="43" t="s">
        <v>296</v>
      </c>
      <c r="H666" s="43" t="s">
        <v>207</v>
      </c>
      <c r="I666" s="44">
        <v>45590</v>
      </c>
      <c r="J666" s="44">
        <v>45608</v>
      </c>
      <c r="K666" s="45">
        <v>4</v>
      </c>
      <c r="L666" s="45">
        <v>393.60759999999999</v>
      </c>
      <c r="M666" s="45">
        <v>1128</v>
      </c>
      <c r="N666" s="45">
        <v>0</v>
      </c>
      <c r="O666" s="45">
        <v>0</v>
      </c>
      <c r="P666" s="62">
        <f t="shared" si="11"/>
        <v>4</v>
      </c>
    </row>
    <row r="667" spans="1:16" x14ac:dyDescent="0.25">
      <c r="A667" s="43" t="s">
        <v>200</v>
      </c>
      <c r="B667" s="43" t="s">
        <v>291</v>
      </c>
      <c r="C667" s="43" t="s">
        <v>292</v>
      </c>
      <c r="D667" s="43" t="s">
        <v>435</v>
      </c>
      <c r="E667" s="43" t="s">
        <v>450</v>
      </c>
      <c r="F667" s="43" t="s">
        <v>390</v>
      </c>
      <c r="G667" s="43" t="s">
        <v>232</v>
      </c>
      <c r="H667" s="43" t="s">
        <v>207</v>
      </c>
      <c r="I667" s="44">
        <v>45590</v>
      </c>
      <c r="J667" s="44">
        <v>45617</v>
      </c>
      <c r="K667" s="45">
        <v>17</v>
      </c>
      <c r="L667" s="45">
        <v>1587.5589</v>
      </c>
      <c r="M667" s="45">
        <v>4385.37</v>
      </c>
      <c r="N667" s="45">
        <v>2</v>
      </c>
      <c r="O667" s="45">
        <v>195.3254</v>
      </c>
      <c r="P667" s="62">
        <f t="shared" si="11"/>
        <v>19</v>
      </c>
    </row>
    <row r="668" spans="1:16" x14ac:dyDescent="0.25">
      <c r="A668" s="43" t="s">
        <v>200</v>
      </c>
      <c r="B668" s="43" t="s">
        <v>291</v>
      </c>
      <c r="C668" s="43" t="s">
        <v>292</v>
      </c>
      <c r="D668" s="43" t="s">
        <v>435</v>
      </c>
      <c r="E668" s="43" t="s">
        <v>450</v>
      </c>
      <c r="F668" s="43" t="s">
        <v>390</v>
      </c>
      <c r="G668" s="43" t="s">
        <v>233</v>
      </c>
      <c r="H668" s="43" t="s">
        <v>207</v>
      </c>
      <c r="I668" s="44">
        <v>45590</v>
      </c>
      <c r="J668" s="44">
        <v>45617</v>
      </c>
      <c r="K668" s="45">
        <v>10</v>
      </c>
      <c r="L668" s="45">
        <v>948.77869999999996</v>
      </c>
      <c r="M668" s="45">
        <v>2562.88</v>
      </c>
      <c r="N668" s="45">
        <v>3</v>
      </c>
      <c r="O668" s="45">
        <v>289.02300000000002</v>
      </c>
      <c r="P668" s="62">
        <f t="shared" si="11"/>
        <v>13</v>
      </c>
    </row>
    <row r="669" spans="1:16" x14ac:dyDescent="0.25">
      <c r="A669" s="43" t="s">
        <v>200</v>
      </c>
      <c r="B669" s="43" t="s">
        <v>291</v>
      </c>
      <c r="C669" s="43" t="s">
        <v>292</v>
      </c>
      <c r="D669" s="43" t="s">
        <v>435</v>
      </c>
      <c r="E669" s="43" t="s">
        <v>450</v>
      </c>
      <c r="F669" s="43" t="s">
        <v>390</v>
      </c>
      <c r="G669" s="43" t="s">
        <v>234</v>
      </c>
      <c r="H669" s="43" t="s">
        <v>207</v>
      </c>
      <c r="I669" s="44">
        <v>45590</v>
      </c>
      <c r="J669" s="44">
        <v>45615</v>
      </c>
      <c r="K669" s="45">
        <v>10</v>
      </c>
      <c r="L669" s="45">
        <v>937.12300000000005</v>
      </c>
      <c r="M669" s="45">
        <v>2591.36</v>
      </c>
      <c r="N669" s="45">
        <v>0</v>
      </c>
      <c r="O669" s="45">
        <v>0</v>
      </c>
      <c r="P669" s="62">
        <f t="shared" si="11"/>
        <v>10</v>
      </c>
    </row>
    <row r="670" spans="1:16" x14ac:dyDescent="0.25">
      <c r="A670" s="43" t="s">
        <v>200</v>
      </c>
      <c r="B670" s="43" t="s">
        <v>291</v>
      </c>
      <c r="C670" s="43" t="s">
        <v>292</v>
      </c>
      <c r="D670" s="43" t="s">
        <v>435</v>
      </c>
      <c r="E670" s="43" t="s">
        <v>450</v>
      </c>
      <c r="F670" s="43" t="s">
        <v>390</v>
      </c>
      <c r="G670" s="43" t="s">
        <v>259</v>
      </c>
      <c r="H670" s="43" t="s">
        <v>207</v>
      </c>
      <c r="I670" s="44">
        <v>45591</v>
      </c>
      <c r="J670" s="44">
        <v>45609</v>
      </c>
      <c r="K670" s="45">
        <v>7</v>
      </c>
      <c r="L670" s="45">
        <v>608.32240000000002</v>
      </c>
      <c r="M670" s="45">
        <v>1794</v>
      </c>
      <c r="N670" s="45">
        <v>0</v>
      </c>
      <c r="O670" s="45">
        <v>0</v>
      </c>
      <c r="P670" s="62">
        <f t="shared" si="11"/>
        <v>7</v>
      </c>
    </row>
    <row r="671" spans="1:16" x14ac:dyDescent="0.25">
      <c r="A671" s="43" t="s">
        <v>200</v>
      </c>
      <c r="B671" s="43" t="s">
        <v>291</v>
      </c>
      <c r="C671" s="43" t="s">
        <v>292</v>
      </c>
      <c r="D671" s="43" t="s">
        <v>435</v>
      </c>
      <c r="E671" s="43" t="s">
        <v>451</v>
      </c>
      <c r="F671" s="43" t="s">
        <v>390</v>
      </c>
      <c r="G671" s="43" t="s">
        <v>232</v>
      </c>
      <c r="H671" s="43" t="s">
        <v>218</v>
      </c>
      <c r="I671" s="44">
        <v>45590</v>
      </c>
      <c r="J671" s="44">
        <v>45611</v>
      </c>
      <c r="K671" s="45">
        <v>10</v>
      </c>
      <c r="L671" s="45">
        <v>941.18299999999999</v>
      </c>
      <c r="M671" s="45">
        <v>2562.88</v>
      </c>
      <c r="N671" s="45">
        <v>1</v>
      </c>
      <c r="O671" s="45">
        <v>94.118300000000005</v>
      </c>
      <c r="P671" s="62">
        <f t="shared" si="11"/>
        <v>11</v>
      </c>
    </row>
    <row r="672" spans="1:16" x14ac:dyDescent="0.25">
      <c r="A672" s="43" t="s">
        <v>200</v>
      </c>
      <c r="B672" s="43" t="s">
        <v>291</v>
      </c>
      <c r="C672" s="43" t="s">
        <v>292</v>
      </c>
      <c r="D672" s="43" t="s">
        <v>435</v>
      </c>
      <c r="E672" s="43" t="s">
        <v>451</v>
      </c>
      <c r="F672" s="43" t="s">
        <v>390</v>
      </c>
      <c r="G672" s="43" t="s">
        <v>233</v>
      </c>
      <c r="H672" s="43" t="s">
        <v>218</v>
      </c>
      <c r="I672" s="44">
        <v>45591</v>
      </c>
      <c r="J672" s="44">
        <v>45610</v>
      </c>
      <c r="K672" s="45">
        <v>9</v>
      </c>
      <c r="L672" s="45">
        <v>847.06470000000002</v>
      </c>
      <c r="M672" s="45">
        <v>2306.58</v>
      </c>
      <c r="N672" s="45">
        <v>0</v>
      </c>
      <c r="O672" s="45">
        <v>0</v>
      </c>
      <c r="P672" s="62">
        <f t="shared" si="11"/>
        <v>9</v>
      </c>
    </row>
    <row r="673" spans="1:16" x14ac:dyDescent="0.25">
      <c r="A673" s="43" t="s">
        <v>200</v>
      </c>
      <c r="B673" s="43" t="s">
        <v>291</v>
      </c>
      <c r="C673" s="43" t="s">
        <v>292</v>
      </c>
      <c r="D673" s="43" t="s">
        <v>435</v>
      </c>
      <c r="E673" s="43" t="s">
        <v>451</v>
      </c>
      <c r="F673" s="43" t="s">
        <v>390</v>
      </c>
      <c r="G673" s="43" t="s">
        <v>234</v>
      </c>
      <c r="H673" s="43" t="s">
        <v>218</v>
      </c>
      <c r="I673" s="44">
        <v>45591</v>
      </c>
      <c r="J673" s="44">
        <v>45609</v>
      </c>
      <c r="K673" s="45">
        <v>11</v>
      </c>
      <c r="L673" s="45">
        <v>1035.3013000000001</v>
      </c>
      <c r="M673" s="45">
        <v>2847.63</v>
      </c>
      <c r="N673" s="45">
        <v>1</v>
      </c>
      <c r="O673" s="45">
        <v>94.118300000000005</v>
      </c>
      <c r="P673" s="62">
        <f t="shared" si="11"/>
        <v>12</v>
      </c>
    </row>
    <row r="674" spans="1:16" x14ac:dyDescent="0.25">
      <c r="A674" s="43" t="s">
        <v>200</v>
      </c>
      <c r="B674" s="43" t="s">
        <v>291</v>
      </c>
      <c r="C674" s="43" t="s">
        <v>292</v>
      </c>
      <c r="D674" s="43" t="s">
        <v>435</v>
      </c>
      <c r="E674" s="43" t="s">
        <v>451</v>
      </c>
      <c r="F674" s="43" t="s">
        <v>390</v>
      </c>
      <c r="G674" s="43" t="s">
        <v>259</v>
      </c>
      <c r="H674" s="43" t="s">
        <v>218</v>
      </c>
      <c r="I674" s="44">
        <v>45590</v>
      </c>
      <c r="J674" s="44">
        <v>45590</v>
      </c>
      <c r="K674" s="45">
        <v>2</v>
      </c>
      <c r="L674" s="45">
        <v>188.23660000000001</v>
      </c>
      <c r="M674" s="45">
        <v>512.57000000000005</v>
      </c>
      <c r="N674" s="45">
        <v>0</v>
      </c>
      <c r="O674" s="45">
        <v>0</v>
      </c>
      <c r="P674" s="62">
        <f t="shared" si="11"/>
        <v>2</v>
      </c>
    </row>
    <row r="675" spans="1:16" x14ac:dyDescent="0.25">
      <c r="A675" s="43" t="s">
        <v>200</v>
      </c>
      <c r="B675" s="43" t="s">
        <v>291</v>
      </c>
      <c r="C675" s="43" t="s">
        <v>292</v>
      </c>
      <c r="D675" s="43" t="s">
        <v>435</v>
      </c>
      <c r="E675" s="43" t="s">
        <v>451</v>
      </c>
      <c r="F675" s="43" t="s">
        <v>390</v>
      </c>
      <c r="G675" s="43" t="s">
        <v>296</v>
      </c>
      <c r="H675" s="43" t="s">
        <v>218</v>
      </c>
      <c r="I675" s="44">
        <v>45591</v>
      </c>
      <c r="J675" s="44">
        <v>45591</v>
      </c>
      <c r="K675" s="45">
        <v>2</v>
      </c>
      <c r="L675" s="45">
        <v>188.23660000000001</v>
      </c>
      <c r="M675" s="45">
        <v>512.57000000000005</v>
      </c>
      <c r="N675" s="45">
        <v>0</v>
      </c>
      <c r="O675" s="45">
        <v>0</v>
      </c>
      <c r="P675" s="62">
        <f t="shared" si="11"/>
        <v>2</v>
      </c>
    </row>
    <row r="676" spans="1:16" x14ac:dyDescent="0.25">
      <c r="A676" s="43" t="s">
        <v>200</v>
      </c>
      <c r="B676" s="43" t="s">
        <v>291</v>
      </c>
      <c r="C676" s="43" t="s">
        <v>292</v>
      </c>
      <c r="D676" s="43" t="s">
        <v>435</v>
      </c>
      <c r="E676" s="43" t="s">
        <v>452</v>
      </c>
      <c r="F676" s="43" t="s">
        <v>344</v>
      </c>
      <c r="G676" s="43" t="s">
        <v>232</v>
      </c>
      <c r="H676" s="43" t="s">
        <v>218</v>
      </c>
      <c r="I676" s="44">
        <v>45590</v>
      </c>
      <c r="J676" s="44">
        <v>45617</v>
      </c>
      <c r="K676" s="45">
        <v>18</v>
      </c>
      <c r="L676" s="45">
        <v>1544.3688</v>
      </c>
      <c r="M676" s="45">
        <v>4090.19</v>
      </c>
      <c r="N676" s="45">
        <v>0</v>
      </c>
      <c r="O676" s="45">
        <v>0</v>
      </c>
      <c r="P676" s="62">
        <f t="shared" si="11"/>
        <v>18</v>
      </c>
    </row>
    <row r="677" spans="1:16" x14ac:dyDescent="0.25">
      <c r="A677" s="43" t="s">
        <v>200</v>
      </c>
      <c r="B677" s="43" t="s">
        <v>291</v>
      </c>
      <c r="C677" s="43" t="s">
        <v>292</v>
      </c>
      <c r="D677" s="43" t="s">
        <v>435</v>
      </c>
      <c r="E677" s="43" t="s">
        <v>452</v>
      </c>
      <c r="F677" s="43" t="s">
        <v>344</v>
      </c>
      <c r="G677" s="43" t="s">
        <v>233</v>
      </c>
      <c r="H677" s="43" t="s">
        <v>218</v>
      </c>
      <c r="I677" s="44">
        <v>45590</v>
      </c>
      <c r="J677" s="44">
        <v>45624</v>
      </c>
      <c r="K677" s="45">
        <v>16</v>
      </c>
      <c r="L677" s="45">
        <v>1376.0469000000001</v>
      </c>
      <c r="M677" s="45">
        <v>3701.89</v>
      </c>
      <c r="N677" s="45">
        <v>8</v>
      </c>
      <c r="O677" s="45">
        <v>708.32079999999996</v>
      </c>
      <c r="P677" s="62">
        <f t="shared" si="11"/>
        <v>24</v>
      </c>
    </row>
    <row r="678" spans="1:16" x14ac:dyDescent="0.25">
      <c r="A678" s="43" t="s">
        <v>200</v>
      </c>
      <c r="B678" s="43" t="s">
        <v>291</v>
      </c>
      <c r="C678" s="43" t="s">
        <v>292</v>
      </c>
      <c r="D678" s="43" t="s">
        <v>435</v>
      </c>
      <c r="E678" s="43" t="s">
        <v>452</v>
      </c>
      <c r="F678" s="43" t="s">
        <v>344</v>
      </c>
      <c r="G678" s="43" t="s">
        <v>234</v>
      </c>
      <c r="H678" s="43" t="s">
        <v>218</v>
      </c>
      <c r="I678" s="44">
        <v>45591</v>
      </c>
      <c r="J678" s="44">
        <v>45609</v>
      </c>
      <c r="K678" s="45">
        <v>11</v>
      </c>
      <c r="L678" s="45">
        <v>941.06209999999999</v>
      </c>
      <c r="M678" s="45">
        <v>2415.41</v>
      </c>
      <c r="N678" s="45">
        <v>0</v>
      </c>
      <c r="O678" s="45">
        <v>0</v>
      </c>
      <c r="P678" s="62">
        <f t="shared" si="11"/>
        <v>11</v>
      </c>
    </row>
    <row r="679" spans="1:16" x14ac:dyDescent="0.25">
      <c r="A679" s="43" t="s">
        <v>200</v>
      </c>
      <c r="B679" s="43" t="s">
        <v>291</v>
      </c>
      <c r="C679" s="43" t="s">
        <v>292</v>
      </c>
      <c r="D679" s="43" t="s">
        <v>435</v>
      </c>
      <c r="E679" s="43" t="s">
        <v>452</v>
      </c>
      <c r="F679" s="43" t="s">
        <v>344</v>
      </c>
      <c r="G679" s="43" t="s">
        <v>259</v>
      </c>
      <c r="H679" s="43" t="s">
        <v>218</v>
      </c>
      <c r="I679" s="44">
        <v>45591</v>
      </c>
      <c r="J679" s="44">
        <v>45591</v>
      </c>
      <c r="K679" s="45">
        <v>2</v>
      </c>
      <c r="L679" s="45">
        <v>171.10220000000001</v>
      </c>
      <c r="M679" s="45">
        <v>461.14</v>
      </c>
      <c r="N679" s="45">
        <v>0</v>
      </c>
      <c r="O679" s="45">
        <v>0</v>
      </c>
      <c r="P679" s="62">
        <f t="shared" si="11"/>
        <v>2</v>
      </c>
    </row>
    <row r="680" spans="1:16" x14ac:dyDescent="0.25">
      <c r="A680" s="43" t="s">
        <v>200</v>
      </c>
      <c r="B680" s="43" t="s">
        <v>291</v>
      </c>
      <c r="C680" s="43" t="s">
        <v>292</v>
      </c>
      <c r="D680" s="43" t="s">
        <v>435</v>
      </c>
      <c r="E680" s="43" t="s">
        <v>452</v>
      </c>
      <c r="F680" s="43" t="s">
        <v>344</v>
      </c>
      <c r="G680" s="43" t="s">
        <v>296</v>
      </c>
      <c r="H680" s="43" t="s">
        <v>218</v>
      </c>
      <c r="I680" s="44">
        <v>45591</v>
      </c>
      <c r="J680" s="44">
        <v>45591</v>
      </c>
      <c r="K680" s="45">
        <v>2</v>
      </c>
      <c r="L680" s="45">
        <v>171.10220000000001</v>
      </c>
      <c r="M680" s="45">
        <v>461.14</v>
      </c>
      <c r="N680" s="45">
        <v>0</v>
      </c>
      <c r="O680" s="45">
        <v>0</v>
      </c>
      <c r="P680" s="62">
        <f t="shared" si="11"/>
        <v>2</v>
      </c>
    </row>
    <row r="681" spans="1:16" x14ac:dyDescent="0.25">
      <c r="A681" s="43" t="s">
        <v>200</v>
      </c>
      <c r="B681" s="43" t="s">
        <v>291</v>
      </c>
      <c r="C681" s="43" t="s">
        <v>292</v>
      </c>
      <c r="D681" s="43" t="s">
        <v>435</v>
      </c>
      <c r="E681" s="43" t="s">
        <v>453</v>
      </c>
      <c r="F681" s="43" t="s">
        <v>304</v>
      </c>
      <c r="G681" s="43" t="s">
        <v>232</v>
      </c>
      <c r="H681" s="43" t="s">
        <v>207</v>
      </c>
      <c r="I681" s="44">
        <v>45593</v>
      </c>
      <c r="J681" s="44">
        <v>45630</v>
      </c>
      <c r="K681" s="45">
        <v>12</v>
      </c>
      <c r="L681" s="45">
        <v>885.93510000000003</v>
      </c>
      <c r="M681" s="45">
        <v>2333.61</v>
      </c>
      <c r="N681" s="45">
        <v>2</v>
      </c>
      <c r="O681" s="45">
        <v>149.87860000000001</v>
      </c>
      <c r="P681" s="62">
        <f t="shared" si="11"/>
        <v>14</v>
      </c>
    </row>
    <row r="682" spans="1:16" x14ac:dyDescent="0.25">
      <c r="A682" s="43" t="s">
        <v>200</v>
      </c>
      <c r="B682" s="43" t="s">
        <v>291</v>
      </c>
      <c r="C682" s="43" t="s">
        <v>292</v>
      </c>
      <c r="D682" s="43" t="s">
        <v>435</v>
      </c>
      <c r="E682" s="43" t="s">
        <v>453</v>
      </c>
      <c r="F682" s="43" t="s">
        <v>304</v>
      </c>
      <c r="G682" s="43" t="s">
        <v>233</v>
      </c>
      <c r="H682" s="43" t="s">
        <v>207</v>
      </c>
      <c r="I682" s="44">
        <v>45593</v>
      </c>
      <c r="J682" s="44">
        <v>45643</v>
      </c>
      <c r="K682" s="45">
        <v>7</v>
      </c>
      <c r="L682" s="45">
        <v>512.61310000000003</v>
      </c>
      <c r="M682" s="45">
        <v>1374.02</v>
      </c>
      <c r="N682" s="45">
        <v>6</v>
      </c>
      <c r="O682" s="45">
        <v>448.85700000000003</v>
      </c>
      <c r="P682" s="62">
        <f t="shared" si="11"/>
        <v>13</v>
      </c>
    </row>
    <row r="683" spans="1:16" x14ac:dyDescent="0.25">
      <c r="A683" s="43" t="s">
        <v>200</v>
      </c>
      <c r="B683" s="43" t="s">
        <v>291</v>
      </c>
      <c r="C683" s="43" t="s">
        <v>292</v>
      </c>
      <c r="D683" s="43" t="s">
        <v>435</v>
      </c>
      <c r="E683" s="43" t="s">
        <v>453</v>
      </c>
      <c r="F683" s="43" t="s">
        <v>304</v>
      </c>
      <c r="G683" s="43" t="s">
        <v>234</v>
      </c>
      <c r="H683" s="43" t="s">
        <v>207</v>
      </c>
      <c r="I683" s="44">
        <v>45593</v>
      </c>
      <c r="J683" s="44">
        <v>45630</v>
      </c>
      <c r="K683" s="45">
        <v>9</v>
      </c>
      <c r="L683" s="45">
        <v>666.2799</v>
      </c>
      <c r="M683" s="45">
        <v>1766.58</v>
      </c>
      <c r="N683" s="45">
        <v>2</v>
      </c>
      <c r="O683" s="45">
        <v>150.7088</v>
      </c>
      <c r="P683" s="62">
        <f t="shared" si="11"/>
        <v>11</v>
      </c>
    </row>
    <row r="684" spans="1:16" x14ac:dyDescent="0.25">
      <c r="A684" s="43" t="s">
        <v>200</v>
      </c>
      <c r="B684" s="43" t="s">
        <v>291</v>
      </c>
      <c r="C684" s="43" t="s">
        <v>292</v>
      </c>
      <c r="D684" s="43" t="s">
        <v>435</v>
      </c>
      <c r="E684" s="43" t="s">
        <v>453</v>
      </c>
      <c r="F684" s="43" t="s">
        <v>304</v>
      </c>
      <c r="G684" s="43" t="s">
        <v>296</v>
      </c>
      <c r="H684" s="43" t="s">
        <v>207</v>
      </c>
      <c r="I684" s="44">
        <v>45593</v>
      </c>
      <c r="J684" s="44">
        <v>45630</v>
      </c>
      <c r="K684" s="45">
        <v>3</v>
      </c>
      <c r="L684" s="45">
        <v>220.2253</v>
      </c>
      <c r="M684" s="45">
        <v>588.86</v>
      </c>
      <c r="N684" s="45">
        <v>1</v>
      </c>
      <c r="O684" s="45">
        <v>74.653899999999993</v>
      </c>
      <c r="P684" s="62">
        <f t="shared" si="11"/>
        <v>4</v>
      </c>
    </row>
    <row r="685" spans="1:16" x14ac:dyDescent="0.25">
      <c r="A685" s="43" t="s">
        <v>200</v>
      </c>
      <c r="B685" s="43" t="s">
        <v>291</v>
      </c>
      <c r="C685" s="43" t="s">
        <v>292</v>
      </c>
      <c r="D685" s="43" t="s">
        <v>435</v>
      </c>
      <c r="E685" s="43" t="s">
        <v>454</v>
      </c>
      <c r="F685" s="43" t="s">
        <v>304</v>
      </c>
      <c r="G685" s="43" t="s">
        <v>232</v>
      </c>
      <c r="H685" s="43" t="s">
        <v>207</v>
      </c>
      <c r="I685" s="44">
        <v>45593</v>
      </c>
      <c r="J685" s="44">
        <v>45630</v>
      </c>
      <c r="K685" s="45">
        <v>11</v>
      </c>
      <c r="L685" s="45">
        <v>813.35990000000004</v>
      </c>
      <c r="M685" s="45">
        <v>2180.9</v>
      </c>
      <c r="N685" s="45">
        <v>1</v>
      </c>
      <c r="O685" s="45">
        <v>75.014099999999999</v>
      </c>
      <c r="P685" s="62">
        <f t="shared" si="11"/>
        <v>12</v>
      </c>
    </row>
    <row r="686" spans="1:16" x14ac:dyDescent="0.25">
      <c r="A686" s="43" t="s">
        <v>200</v>
      </c>
      <c r="B686" s="43" t="s">
        <v>291</v>
      </c>
      <c r="C686" s="43" t="s">
        <v>292</v>
      </c>
      <c r="D686" s="43" t="s">
        <v>435</v>
      </c>
      <c r="E686" s="43" t="s">
        <v>454</v>
      </c>
      <c r="F686" s="43" t="s">
        <v>304</v>
      </c>
      <c r="G686" s="43" t="s">
        <v>233</v>
      </c>
      <c r="H686" s="43" t="s">
        <v>207</v>
      </c>
      <c r="I686" s="44">
        <v>45593</v>
      </c>
      <c r="J686" s="44">
        <v>45626</v>
      </c>
      <c r="K686" s="45">
        <v>13</v>
      </c>
      <c r="L686" s="45">
        <v>964.40940000000001</v>
      </c>
      <c r="M686" s="45">
        <v>2573.5500000000002</v>
      </c>
      <c r="N686" s="45">
        <v>1</v>
      </c>
      <c r="O686" s="45">
        <v>75.139499999999998</v>
      </c>
      <c r="P686" s="62">
        <f t="shared" si="11"/>
        <v>14</v>
      </c>
    </row>
    <row r="687" spans="1:16" x14ac:dyDescent="0.25">
      <c r="A687" s="43" t="s">
        <v>200</v>
      </c>
      <c r="B687" s="43" t="s">
        <v>291</v>
      </c>
      <c r="C687" s="43" t="s">
        <v>292</v>
      </c>
      <c r="D687" s="43" t="s">
        <v>435</v>
      </c>
      <c r="E687" s="43" t="s">
        <v>454</v>
      </c>
      <c r="F687" s="43" t="s">
        <v>304</v>
      </c>
      <c r="G687" s="43" t="s">
        <v>234</v>
      </c>
      <c r="H687" s="43" t="s">
        <v>207</v>
      </c>
      <c r="I687" s="44">
        <v>45593</v>
      </c>
      <c r="J687" s="44">
        <v>45631</v>
      </c>
      <c r="K687" s="45">
        <v>8</v>
      </c>
      <c r="L687" s="45">
        <v>591.31489999999997</v>
      </c>
      <c r="M687" s="45">
        <v>1592.03</v>
      </c>
      <c r="N687" s="45">
        <v>0</v>
      </c>
      <c r="O687" s="45">
        <v>0</v>
      </c>
      <c r="P687" s="62">
        <f t="shared" si="11"/>
        <v>8</v>
      </c>
    </row>
    <row r="688" spans="1:16" x14ac:dyDescent="0.25">
      <c r="A688" s="43" t="s">
        <v>200</v>
      </c>
      <c r="B688" s="43" t="s">
        <v>291</v>
      </c>
      <c r="C688" s="43" t="s">
        <v>292</v>
      </c>
      <c r="D688" s="43" t="s">
        <v>435</v>
      </c>
      <c r="E688" s="43" t="s">
        <v>454</v>
      </c>
      <c r="F688" s="43" t="s">
        <v>304</v>
      </c>
      <c r="G688" s="43" t="s">
        <v>296</v>
      </c>
      <c r="H688" s="43" t="s">
        <v>207</v>
      </c>
      <c r="I688" s="44">
        <v>45593</v>
      </c>
      <c r="J688" s="44">
        <v>45593</v>
      </c>
      <c r="K688" s="45">
        <v>2</v>
      </c>
      <c r="L688" s="45">
        <v>143.70320000000001</v>
      </c>
      <c r="M688" s="45">
        <v>392.58</v>
      </c>
      <c r="N688" s="45">
        <v>0</v>
      </c>
      <c r="O688" s="45">
        <v>0</v>
      </c>
      <c r="P688" s="62">
        <f t="shared" si="11"/>
        <v>2</v>
      </c>
    </row>
    <row r="689" spans="1:16" x14ac:dyDescent="0.25">
      <c r="A689" s="43" t="s">
        <v>200</v>
      </c>
      <c r="B689" s="43" t="s">
        <v>291</v>
      </c>
      <c r="C689" s="43" t="s">
        <v>292</v>
      </c>
      <c r="D689" s="43" t="s">
        <v>435</v>
      </c>
      <c r="E689" s="43" t="s">
        <v>455</v>
      </c>
      <c r="F689" s="43" t="s">
        <v>356</v>
      </c>
      <c r="G689" s="43" t="s">
        <v>232</v>
      </c>
      <c r="H689" s="43" t="s">
        <v>218</v>
      </c>
      <c r="I689" s="44">
        <v>45638</v>
      </c>
      <c r="J689" s="44">
        <v>45638</v>
      </c>
      <c r="K689" s="45">
        <v>0</v>
      </c>
      <c r="L689" s="45">
        <v>0</v>
      </c>
      <c r="M689" s="45">
        <v>0</v>
      </c>
      <c r="N689" s="45">
        <v>6</v>
      </c>
      <c r="O689" s="45">
        <v>756.04859999999996</v>
      </c>
      <c r="P689" s="62">
        <f t="shared" si="11"/>
        <v>6</v>
      </c>
    </row>
    <row r="690" spans="1:16" x14ac:dyDescent="0.25">
      <c r="A690" s="43" t="s">
        <v>200</v>
      </c>
      <c r="B690" s="43" t="s">
        <v>291</v>
      </c>
      <c r="C690" s="43" t="s">
        <v>292</v>
      </c>
      <c r="D690" s="43" t="s">
        <v>435</v>
      </c>
      <c r="E690" s="43" t="s">
        <v>455</v>
      </c>
      <c r="F690" s="43" t="s">
        <v>356</v>
      </c>
      <c r="G690" s="43" t="s">
        <v>233</v>
      </c>
      <c r="H690" s="43" t="s">
        <v>218</v>
      </c>
      <c r="I690" s="44">
        <v>45638</v>
      </c>
      <c r="J690" s="44">
        <v>45638</v>
      </c>
      <c r="K690" s="45">
        <v>0</v>
      </c>
      <c r="L690" s="45">
        <v>0</v>
      </c>
      <c r="M690" s="45">
        <v>0</v>
      </c>
      <c r="N690" s="45">
        <v>6</v>
      </c>
      <c r="O690" s="45">
        <v>756.04859999999996</v>
      </c>
      <c r="P690" s="62">
        <f t="shared" si="11"/>
        <v>6</v>
      </c>
    </row>
    <row r="691" spans="1:16" x14ac:dyDescent="0.25">
      <c r="A691" s="43" t="s">
        <v>200</v>
      </c>
      <c r="B691" s="43" t="s">
        <v>291</v>
      </c>
      <c r="C691" s="43" t="s">
        <v>292</v>
      </c>
      <c r="D691" s="43" t="s">
        <v>435</v>
      </c>
      <c r="E691" s="43" t="s">
        <v>455</v>
      </c>
      <c r="F691" s="43" t="s">
        <v>356</v>
      </c>
      <c r="G691" s="43" t="s">
        <v>234</v>
      </c>
      <c r="H691" s="43" t="s">
        <v>218</v>
      </c>
      <c r="I691" s="44">
        <v>45638</v>
      </c>
      <c r="J691" s="44">
        <v>45638</v>
      </c>
      <c r="K691" s="45">
        <v>0</v>
      </c>
      <c r="L691" s="45">
        <v>0</v>
      </c>
      <c r="M691" s="45">
        <v>0</v>
      </c>
      <c r="N691" s="45">
        <v>4</v>
      </c>
      <c r="O691" s="45">
        <v>504.0324</v>
      </c>
      <c r="P691" s="62">
        <f t="shared" si="11"/>
        <v>4</v>
      </c>
    </row>
    <row r="692" spans="1:16" x14ac:dyDescent="0.25">
      <c r="A692" s="43" t="s">
        <v>200</v>
      </c>
      <c r="B692" s="43" t="s">
        <v>291</v>
      </c>
      <c r="C692" s="43" t="s">
        <v>292</v>
      </c>
      <c r="D692" s="43" t="s">
        <v>435</v>
      </c>
      <c r="E692" s="43" t="s">
        <v>455</v>
      </c>
      <c r="F692" s="43" t="s">
        <v>356</v>
      </c>
      <c r="G692" s="43" t="s">
        <v>296</v>
      </c>
      <c r="H692" s="43" t="s">
        <v>218</v>
      </c>
      <c r="I692" s="44">
        <v>45638</v>
      </c>
      <c r="J692" s="44">
        <v>45638</v>
      </c>
      <c r="K692" s="45">
        <v>0</v>
      </c>
      <c r="L692" s="45">
        <v>0</v>
      </c>
      <c r="M692" s="45">
        <v>0</v>
      </c>
      <c r="N692" s="45">
        <v>2</v>
      </c>
      <c r="O692" s="45">
        <v>252.0162</v>
      </c>
      <c r="P692" s="62">
        <f t="shared" si="11"/>
        <v>2</v>
      </c>
    </row>
    <row r="693" spans="1:16" x14ac:dyDescent="0.25">
      <c r="A693" s="43" t="s">
        <v>200</v>
      </c>
      <c r="B693" s="43" t="s">
        <v>291</v>
      </c>
      <c r="C693" s="43" t="s">
        <v>292</v>
      </c>
      <c r="D693" s="43" t="s">
        <v>435</v>
      </c>
      <c r="E693" s="43" t="s">
        <v>456</v>
      </c>
      <c r="F693" s="43" t="s">
        <v>361</v>
      </c>
      <c r="G693" s="43" t="s">
        <v>232</v>
      </c>
      <c r="H693" s="43" t="s">
        <v>218</v>
      </c>
      <c r="I693" s="44">
        <v>45625</v>
      </c>
      <c r="J693" s="44">
        <v>45643</v>
      </c>
      <c r="K693" s="45">
        <v>8</v>
      </c>
      <c r="L693" s="45">
        <v>1079.8263999999999</v>
      </c>
      <c r="M693" s="45">
        <v>2882.46</v>
      </c>
      <c r="N693" s="45">
        <v>3</v>
      </c>
      <c r="O693" s="45">
        <v>404.93490000000003</v>
      </c>
      <c r="P693" s="62">
        <f t="shared" si="11"/>
        <v>11</v>
      </c>
    </row>
    <row r="694" spans="1:16" x14ac:dyDescent="0.25">
      <c r="A694" s="43" t="s">
        <v>200</v>
      </c>
      <c r="B694" s="43" t="s">
        <v>291</v>
      </c>
      <c r="C694" s="43" t="s">
        <v>292</v>
      </c>
      <c r="D694" s="43" t="s">
        <v>435</v>
      </c>
      <c r="E694" s="43" t="s">
        <v>456</v>
      </c>
      <c r="F694" s="43" t="s">
        <v>361</v>
      </c>
      <c r="G694" s="43" t="s">
        <v>233</v>
      </c>
      <c r="H694" s="43" t="s">
        <v>218</v>
      </c>
      <c r="I694" s="44">
        <v>45625</v>
      </c>
      <c r="J694" s="44">
        <v>45647</v>
      </c>
      <c r="K694" s="45">
        <v>6</v>
      </c>
      <c r="L694" s="45">
        <v>809.86980000000005</v>
      </c>
      <c r="M694" s="45">
        <v>2142.37</v>
      </c>
      <c r="N694" s="45">
        <v>4</v>
      </c>
      <c r="O694" s="45">
        <v>539.91319999999996</v>
      </c>
      <c r="P694" s="62">
        <f t="shared" si="11"/>
        <v>10</v>
      </c>
    </row>
    <row r="695" spans="1:16" x14ac:dyDescent="0.25">
      <c r="A695" s="43" t="s">
        <v>200</v>
      </c>
      <c r="B695" s="43" t="s">
        <v>291</v>
      </c>
      <c r="C695" s="43" t="s">
        <v>292</v>
      </c>
      <c r="D695" s="43" t="s">
        <v>435</v>
      </c>
      <c r="E695" s="43" t="s">
        <v>456</v>
      </c>
      <c r="F695" s="43" t="s">
        <v>361</v>
      </c>
      <c r="G695" s="43" t="s">
        <v>234</v>
      </c>
      <c r="H695" s="43" t="s">
        <v>218</v>
      </c>
      <c r="I695" s="44">
        <v>45625</v>
      </c>
      <c r="J695" s="44">
        <v>45646</v>
      </c>
      <c r="K695" s="45">
        <v>3</v>
      </c>
      <c r="L695" s="45">
        <v>404.93490000000003</v>
      </c>
      <c r="M695" s="45">
        <v>1051.71</v>
      </c>
      <c r="N695" s="45">
        <v>4</v>
      </c>
      <c r="O695" s="45">
        <v>539.91319999999996</v>
      </c>
      <c r="P695" s="62">
        <f t="shared" si="11"/>
        <v>7</v>
      </c>
    </row>
    <row r="696" spans="1:16" x14ac:dyDescent="0.25">
      <c r="A696" s="43" t="s">
        <v>200</v>
      </c>
      <c r="B696" s="43" t="s">
        <v>291</v>
      </c>
      <c r="C696" s="43" t="s">
        <v>292</v>
      </c>
      <c r="D696" s="43" t="s">
        <v>435</v>
      </c>
      <c r="E696" s="43" t="s">
        <v>456</v>
      </c>
      <c r="F696" s="43" t="s">
        <v>361</v>
      </c>
      <c r="G696" s="43" t="s">
        <v>296</v>
      </c>
      <c r="H696" s="43" t="s">
        <v>218</v>
      </c>
      <c r="I696" s="44">
        <v>45625</v>
      </c>
      <c r="J696" s="44">
        <v>45643</v>
      </c>
      <c r="K696" s="45">
        <v>1</v>
      </c>
      <c r="L696" s="45">
        <v>134.97829999999999</v>
      </c>
      <c r="M696" s="45">
        <v>389.52</v>
      </c>
      <c r="N696" s="45">
        <v>3</v>
      </c>
      <c r="O696" s="45">
        <v>404.93490000000003</v>
      </c>
      <c r="P696" s="62">
        <f t="shared" si="11"/>
        <v>4</v>
      </c>
    </row>
    <row r="697" spans="1:16" x14ac:dyDescent="0.25">
      <c r="A697" s="43" t="s">
        <v>200</v>
      </c>
      <c r="B697" s="43" t="s">
        <v>291</v>
      </c>
      <c r="C697" s="43" t="s">
        <v>292</v>
      </c>
      <c r="D697" s="43" t="s">
        <v>435</v>
      </c>
      <c r="E697" s="43" t="s">
        <v>457</v>
      </c>
      <c r="F697" s="43" t="s">
        <v>361</v>
      </c>
      <c r="G697" s="43" t="s">
        <v>232</v>
      </c>
      <c r="H697" s="43" t="s">
        <v>218</v>
      </c>
      <c r="I697" s="44">
        <v>45625</v>
      </c>
      <c r="J697" s="44">
        <v>45639</v>
      </c>
      <c r="K697" s="45">
        <v>3</v>
      </c>
      <c r="L697" s="45">
        <v>404.93490000000003</v>
      </c>
      <c r="M697" s="45">
        <v>1090.67</v>
      </c>
      <c r="N697" s="45">
        <v>4</v>
      </c>
      <c r="O697" s="45">
        <v>539.91319999999996</v>
      </c>
      <c r="P697" s="62">
        <f t="shared" si="11"/>
        <v>7</v>
      </c>
    </row>
    <row r="698" spans="1:16" x14ac:dyDescent="0.25">
      <c r="A698" s="43" t="s">
        <v>200</v>
      </c>
      <c r="B698" s="43" t="s">
        <v>291</v>
      </c>
      <c r="C698" s="43" t="s">
        <v>292</v>
      </c>
      <c r="D698" s="43" t="s">
        <v>435</v>
      </c>
      <c r="E698" s="43" t="s">
        <v>457</v>
      </c>
      <c r="F698" s="43" t="s">
        <v>361</v>
      </c>
      <c r="G698" s="43" t="s">
        <v>233</v>
      </c>
      <c r="H698" s="43" t="s">
        <v>218</v>
      </c>
      <c r="I698" s="44">
        <v>45625</v>
      </c>
      <c r="J698" s="44">
        <v>45638</v>
      </c>
      <c r="K698" s="45">
        <v>5</v>
      </c>
      <c r="L698" s="45">
        <v>674.89149999999995</v>
      </c>
      <c r="M698" s="45">
        <v>1830.76</v>
      </c>
      <c r="N698" s="45">
        <v>4</v>
      </c>
      <c r="O698" s="45">
        <v>539.91319999999996</v>
      </c>
      <c r="P698" s="62">
        <f t="shared" si="11"/>
        <v>9</v>
      </c>
    </row>
    <row r="699" spans="1:16" x14ac:dyDescent="0.25">
      <c r="A699" s="43" t="s">
        <v>200</v>
      </c>
      <c r="B699" s="43" t="s">
        <v>291</v>
      </c>
      <c r="C699" s="43" t="s">
        <v>292</v>
      </c>
      <c r="D699" s="43" t="s">
        <v>435</v>
      </c>
      <c r="E699" s="43" t="s">
        <v>457</v>
      </c>
      <c r="F699" s="43" t="s">
        <v>361</v>
      </c>
      <c r="G699" s="43" t="s">
        <v>234</v>
      </c>
      <c r="H699" s="43" t="s">
        <v>218</v>
      </c>
      <c r="I699" s="44">
        <v>45625</v>
      </c>
      <c r="J699" s="44">
        <v>45639</v>
      </c>
      <c r="K699" s="45">
        <v>4</v>
      </c>
      <c r="L699" s="45">
        <v>539.91319999999996</v>
      </c>
      <c r="M699" s="45">
        <v>1402.28</v>
      </c>
      <c r="N699" s="45">
        <v>4</v>
      </c>
      <c r="O699" s="45">
        <v>539.91319999999996</v>
      </c>
      <c r="P699" s="62">
        <f t="shared" si="11"/>
        <v>8</v>
      </c>
    </row>
    <row r="700" spans="1:16" x14ac:dyDescent="0.25">
      <c r="A700" s="43" t="s">
        <v>200</v>
      </c>
      <c r="B700" s="43" t="s">
        <v>291</v>
      </c>
      <c r="C700" s="43" t="s">
        <v>292</v>
      </c>
      <c r="D700" s="43" t="s">
        <v>435</v>
      </c>
      <c r="E700" s="43" t="s">
        <v>457</v>
      </c>
      <c r="F700" s="43" t="s">
        <v>361</v>
      </c>
      <c r="G700" s="43" t="s">
        <v>296</v>
      </c>
      <c r="H700" s="43" t="s">
        <v>218</v>
      </c>
      <c r="I700" s="44">
        <v>45625</v>
      </c>
      <c r="J700" s="44">
        <v>45625</v>
      </c>
      <c r="K700" s="45">
        <v>1</v>
      </c>
      <c r="L700" s="45">
        <v>134.97829999999999</v>
      </c>
      <c r="M700" s="45">
        <v>350.57</v>
      </c>
      <c r="N700" s="45">
        <v>1</v>
      </c>
      <c r="O700" s="45">
        <v>134.97829999999999</v>
      </c>
      <c r="P700" s="62">
        <f t="shared" si="11"/>
        <v>2</v>
      </c>
    </row>
    <row r="701" spans="1:16" x14ac:dyDescent="0.25">
      <c r="A701" s="43" t="s">
        <v>200</v>
      </c>
      <c r="B701" s="43" t="s">
        <v>291</v>
      </c>
      <c r="C701" s="43" t="s">
        <v>292</v>
      </c>
      <c r="D701" s="43" t="s">
        <v>435</v>
      </c>
      <c r="E701" s="43" t="s">
        <v>458</v>
      </c>
      <c r="F701" s="43" t="s">
        <v>359</v>
      </c>
      <c r="G701" s="43" t="s">
        <v>232</v>
      </c>
      <c r="H701" s="43" t="s">
        <v>218</v>
      </c>
      <c r="I701" s="44">
        <v>45630</v>
      </c>
      <c r="J701" s="44">
        <v>45630</v>
      </c>
      <c r="K701" s="45">
        <v>2</v>
      </c>
      <c r="L701" s="45">
        <v>269.95659999999998</v>
      </c>
      <c r="M701" s="45">
        <v>740.09</v>
      </c>
      <c r="N701" s="45">
        <v>4</v>
      </c>
      <c r="O701" s="45">
        <v>539.91319999999996</v>
      </c>
      <c r="P701" s="62">
        <f t="shared" si="11"/>
        <v>6</v>
      </c>
    </row>
    <row r="702" spans="1:16" x14ac:dyDescent="0.25">
      <c r="A702" s="43" t="s">
        <v>200</v>
      </c>
      <c r="B702" s="43" t="s">
        <v>291</v>
      </c>
      <c r="C702" s="43" t="s">
        <v>292</v>
      </c>
      <c r="D702" s="43" t="s">
        <v>435</v>
      </c>
      <c r="E702" s="43" t="s">
        <v>458</v>
      </c>
      <c r="F702" s="43" t="s">
        <v>359</v>
      </c>
      <c r="G702" s="43" t="s">
        <v>233</v>
      </c>
      <c r="H702" s="43" t="s">
        <v>218</v>
      </c>
      <c r="I702" s="44">
        <v>45630</v>
      </c>
      <c r="J702" s="44">
        <v>45637</v>
      </c>
      <c r="K702" s="45">
        <v>3</v>
      </c>
      <c r="L702" s="45">
        <v>404.93490000000003</v>
      </c>
      <c r="M702" s="45">
        <v>1129.6099999999999</v>
      </c>
      <c r="N702" s="45">
        <v>4</v>
      </c>
      <c r="O702" s="45">
        <v>539.91319999999996</v>
      </c>
      <c r="P702" s="62">
        <f t="shared" si="11"/>
        <v>7</v>
      </c>
    </row>
    <row r="703" spans="1:16" x14ac:dyDescent="0.25">
      <c r="A703" s="43" t="s">
        <v>200</v>
      </c>
      <c r="B703" s="43" t="s">
        <v>291</v>
      </c>
      <c r="C703" s="43" t="s">
        <v>292</v>
      </c>
      <c r="D703" s="43" t="s">
        <v>435</v>
      </c>
      <c r="E703" s="43" t="s">
        <v>459</v>
      </c>
      <c r="F703" s="43" t="s">
        <v>356</v>
      </c>
      <c r="G703" s="43" t="s">
        <v>232</v>
      </c>
      <c r="H703" s="43" t="s">
        <v>207</v>
      </c>
      <c r="I703" s="44">
        <v>45593</v>
      </c>
      <c r="J703" s="44">
        <v>45638</v>
      </c>
      <c r="K703" s="45">
        <v>13</v>
      </c>
      <c r="L703" s="45">
        <v>1488.1004</v>
      </c>
      <c r="M703" s="45">
        <v>4034.47</v>
      </c>
      <c r="N703" s="45">
        <v>4</v>
      </c>
      <c r="O703" s="45">
        <v>466.12240000000003</v>
      </c>
      <c r="P703" s="62">
        <f t="shared" si="11"/>
        <v>17</v>
      </c>
    </row>
    <row r="704" spans="1:16" x14ac:dyDescent="0.25">
      <c r="A704" s="43" t="s">
        <v>200</v>
      </c>
      <c r="B704" s="43" t="s">
        <v>291</v>
      </c>
      <c r="C704" s="43" t="s">
        <v>292</v>
      </c>
      <c r="D704" s="43" t="s">
        <v>435</v>
      </c>
      <c r="E704" s="43" t="s">
        <v>459</v>
      </c>
      <c r="F704" s="43" t="s">
        <v>356</v>
      </c>
      <c r="G704" s="43" t="s">
        <v>233</v>
      </c>
      <c r="H704" s="43" t="s">
        <v>207</v>
      </c>
      <c r="I704" s="44">
        <v>45593</v>
      </c>
      <c r="J704" s="44">
        <v>45639</v>
      </c>
      <c r="K704" s="45">
        <v>12</v>
      </c>
      <c r="L704" s="45">
        <v>1373.5767000000001</v>
      </c>
      <c r="M704" s="45">
        <v>3863.49</v>
      </c>
      <c r="N704" s="45">
        <v>6</v>
      </c>
      <c r="O704" s="45">
        <v>699.18359999999996</v>
      </c>
      <c r="P704" s="62">
        <f t="shared" si="11"/>
        <v>18</v>
      </c>
    </row>
    <row r="705" spans="1:16" x14ac:dyDescent="0.25">
      <c r="A705" s="43" t="s">
        <v>200</v>
      </c>
      <c r="B705" s="43" t="s">
        <v>291</v>
      </c>
      <c r="C705" s="43" t="s">
        <v>292</v>
      </c>
      <c r="D705" s="43" t="s">
        <v>435</v>
      </c>
      <c r="E705" s="43" t="s">
        <v>459</v>
      </c>
      <c r="F705" s="43" t="s">
        <v>356</v>
      </c>
      <c r="G705" s="43" t="s">
        <v>234</v>
      </c>
      <c r="H705" s="43" t="s">
        <v>207</v>
      </c>
      <c r="I705" s="44">
        <v>45593</v>
      </c>
      <c r="J705" s="44">
        <v>45638</v>
      </c>
      <c r="K705" s="45">
        <v>7</v>
      </c>
      <c r="L705" s="45">
        <v>801.13620000000003</v>
      </c>
      <c r="M705" s="45">
        <v>2154.02</v>
      </c>
      <c r="N705" s="45">
        <v>4</v>
      </c>
      <c r="O705" s="45">
        <v>466.53559999999999</v>
      </c>
      <c r="P705" s="62">
        <f t="shared" si="11"/>
        <v>11</v>
      </c>
    </row>
    <row r="706" spans="1:16" x14ac:dyDescent="0.25">
      <c r="A706" s="43" t="s">
        <v>200</v>
      </c>
      <c r="B706" s="43" t="s">
        <v>291</v>
      </c>
      <c r="C706" s="43" t="s">
        <v>292</v>
      </c>
      <c r="D706" s="43" t="s">
        <v>435</v>
      </c>
      <c r="E706" s="43" t="s">
        <v>459</v>
      </c>
      <c r="F706" s="43" t="s">
        <v>356</v>
      </c>
      <c r="G706" s="43" t="s">
        <v>296</v>
      </c>
      <c r="H706" s="43" t="s">
        <v>207</v>
      </c>
      <c r="I706" s="44">
        <v>45593</v>
      </c>
      <c r="J706" s="44">
        <v>45593</v>
      </c>
      <c r="K706" s="45">
        <v>1</v>
      </c>
      <c r="L706" s="45">
        <v>111.2123</v>
      </c>
      <c r="M706" s="45">
        <v>307.70999999999998</v>
      </c>
      <c r="N706" s="45">
        <v>1</v>
      </c>
      <c r="O706" s="45">
        <v>111.2123</v>
      </c>
      <c r="P706" s="62">
        <f t="shared" si="11"/>
        <v>2</v>
      </c>
    </row>
    <row r="707" spans="1:16" x14ac:dyDescent="0.25">
      <c r="A707" s="43" t="s">
        <v>200</v>
      </c>
      <c r="B707" s="43" t="s">
        <v>291</v>
      </c>
      <c r="C707" s="43" t="s">
        <v>292</v>
      </c>
      <c r="D707" s="43" t="s">
        <v>460</v>
      </c>
      <c r="E707" s="43" t="s">
        <v>461</v>
      </c>
      <c r="F707" s="43" t="s">
        <v>462</v>
      </c>
      <c r="G707" s="43" t="s">
        <v>232</v>
      </c>
      <c r="H707" s="43" t="s">
        <v>218</v>
      </c>
      <c r="I707" s="44">
        <v>45591</v>
      </c>
      <c r="J707" s="44">
        <v>45622</v>
      </c>
      <c r="K707" s="45">
        <v>12</v>
      </c>
      <c r="L707" s="45">
        <v>337.33609999999999</v>
      </c>
      <c r="M707" s="45">
        <v>915.47</v>
      </c>
      <c r="N707" s="45">
        <v>0</v>
      </c>
      <c r="O707" s="45">
        <v>0</v>
      </c>
      <c r="P707" s="62">
        <f t="shared" si="11"/>
        <v>12</v>
      </c>
    </row>
    <row r="708" spans="1:16" x14ac:dyDescent="0.25">
      <c r="A708" s="43" t="s">
        <v>200</v>
      </c>
      <c r="B708" s="43" t="s">
        <v>291</v>
      </c>
      <c r="C708" s="43" t="s">
        <v>292</v>
      </c>
      <c r="D708" s="43" t="s">
        <v>460</v>
      </c>
      <c r="E708" s="43" t="s">
        <v>461</v>
      </c>
      <c r="F708" s="43" t="s">
        <v>462</v>
      </c>
      <c r="G708" s="43" t="s">
        <v>233</v>
      </c>
      <c r="H708" s="43" t="s">
        <v>218</v>
      </c>
      <c r="I708" s="44">
        <v>45591</v>
      </c>
      <c r="J708" s="44">
        <v>45633</v>
      </c>
      <c r="K708" s="45">
        <v>9</v>
      </c>
      <c r="L708" s="45">
        <v>252.43559999999999</v>
      </c>
      <c r="M708" s="45">
        <v>686.56</v>
      </c>
      <c r="N708" s="45">
        <v>6</v>
      </c>
      <c r="O708" s="45">
        <v>171.37200000000001</v>
      </c>
      <c r="P708" s="62">
        <f t="shared" si="11"/>
        <v>15</v>
      </c>
    </row>
    <row r="709" spans="1:16" x14ac:dyDescent="0.25">
      <c r="A709" s="43" t="s">
        <v>200</v>
      </c>
      <c r="B709" s="43" t="s">
        <v>291</v>
      </c>
      <c r="C709" s="43" t="s">
        <v>292</v>
      </c>
      <c r="D709" s="43" t="s">
        <v>460</v>
      </c>
      <c r="E709" s="43" t="s">
        <v>461</v>
      </c>
      <c r="F709" s="43" t="s">
        <v>462</v>
      </c>
      <c r="G709" s="43" t="s">
        <v>234</v>
      </c>
      <c r="H709" s="43" t="s">
        <v>218</v>
      </c>
      <c r="I709" s="44">
        <v>45591</v>
      </c>
      <c r="J709" s="44">
        <v>45639</v>
      </c>
      <c r="K709" s="45">
        <v>5</v>
      </c>
      <c r="L709" s="45">
        <v>139.62200000000001</v>
      </c>
      <c r="M709" s="45">
        <v>389.91</v>
      </c>
      <c r="N709" s="45">
        <v>4</v>
      </c>
      <c r="O709" s="45">
        <v>114.0932</v>
      </c>
      <c r="P709" s="62">
        <f t="shared" si="11"/>
        <v>9</v>
      </c>
    </row>
    <row r="710" spans="1:16" x14ac:dyDescent="0.25">
      <c r="A710" s="43" t="s">
        <v>200</v>
      </c>
      <c r="B710" s="43" t="s">
        <v>291</v>
      </c>
      <c r="C710" s="43" t="s">
        <v>292</v>
      </c>
      <c r="D710" s="43" t="s">
        <v>460</v>
      </c>
      <c r="E710" s="43" t="s">
        <v>461</v>
      </c>
      <c r="F710" s="43" t="s">
        <v>462</v>
      </c>
      <c r="G710" s="43" t="s">
        <v>296</v>
      </c>
      <c r="H710" s="43" t="s">
        <v>218</v>
      </c>
      <c r="I710" s="44">
        <v>45591</v>
      </c>
      <c r="J710" s="44">
        <v>45636</v>
      </c>
      <c r="K710" s="45">
        <v>4</v>
      </c>
      <c r="L710" s="45">
        <v>112.6237</v>
      </c>
      <c r="M710" s="45">
        <v>322.10000000000002</v>
      </c>
      <c r="N710" s="45">
        <v>2</v>
      </c>
      <c r="O710" s="45">
        <v>57.4694</v>
      </c>
      <c r="P710" s="62">
        <f t="shared" si="11"/>
        <v>6</v>
      </c>
    </row>
    <row r="711" spans="1:16" x14ac:dyDescent="0.25">
      <c r="A711" s="43" t="s">
        <v>200</v>
      </c>
      <c r="B711" s="43" t="s">
        <v>291</v>
      </c>
      <c r="C711" s="43" t="s">
        <v>292</v>
      </c>
      <c r="D711" s="43" t="s">
        <v>460</v>
      </c>
      <c r="E711" s="43" t="s">
        <v>463</v>
      </c>
      <c r="F711" s="43" t="s">
        <v>462</v>
      </c>
      <c r="G711" s="43" t="s">
        <v>232</v>
      </c>
      <c r="H711" s="43" t="s">
        <v>218</v>
      </c>
      <c r="I711" s="44">
        <v>45591</v>
      </c>
      <c r="J711" s="44">
        <v>45638</v>
      </c>
      <c r="K711" s="45">
        <v>9</v>
      </c>
      <c r="L711" s="45">
        <v>252.3306</v>
      </c>
      <c r="M711" s="45">
        <v>686.57</v>
      </c>
      <c r="N711" s="45">
        <v>4</v>
      </c>
      <c r="O711" s="45">
        <v>113.8288</v>
      </c>
      <c r="P711" s="62">
        <f t="shared" si="11"/>
        <v>13</v>
      </c>
    </row>
    <row r="712" spans="1:16" x14ac:dyDescent="0.25">
      <c r="A712" s="43" t="s">
        <v>200</v>
      </c>
      <c r="B712" s="43" t="s">
        <v>291</v>
      </c>
      <c r="C712" s="43" t="s">
        <v>292</v>
      </c>
      <c r="D712" s="43" t="s">
        <v>460</v>
      </c>
      <c r="E712" s="43" t="s">
        <v>463</v>
      </c>
      <c r="F712" s="43" t="s">
        <v>462</v>
      </c>
      <c r="G712" s="43" t="s">
        <v>233</v>
      </c>
      <c r="H712" s="43" t="s">
        <v>218</v>
      </c>
      <c r="I712" s="44">
        <v>45591</v>
      </c>
      <c r="J712" s="44">
        <v>45636</v>
      </c>
      <c r="K712" s="45">
        <v>3</v>
      </c>
      <c r="L712" s="45">
        <v>82.320300000000003</v>
      </c>
      <c r="M712" s="45">
        <v>228.87</v>
      </c>
      <c r="N712" s="45">
        <v>8</v>
      </c>
      <c r="O712" s="45">
        <v>226.19280000000001</v>
      </c>
      <c r="P712" s="62">
        <f t="shared" ref="P712:P775" si="12">K712+N712</f>
        <v>11</v>
      </c>
    </row>
    <row r="713" spans="1:16" x14ac:dyDescent="0.25">
      <c r="A713" s="43" t="s">
        <v>200</v>
      </c>
      <c r="B713" s="43" t="s">
        <v>291</v>
      </c>
      <c r="C713" s="43" t="s">
        <v>292</v>
      </c>
      <c r="D713" s="43" t="s">
        <v>460</v>
      </c>
      <c r="E713" s="43" t="s">
        <v>463</v>
      </c>
      <c r="F713" s="43" t="s">
        <v>462</v>
      </c>
      <c r="G713" s="43" t="s">
        <v>234</v>
      </c>
      <c r="H713" s="43" t="s">
        <v>218</v>
      </c>
      <c r="I713" s="44">
        <v>45591</v>
      </c>
      <c r="J713" s="44">
        <v>45636</v>
      </c>
      <c r="K713" s="45">
        <v>3</v>
      </c>
      <c r="L713" s="45">
        <v>83.176500000000004</v>
      </c>
      <c r="M713" s="45">
        <v>228.86</v>
      </c>
      <c r="N713" s="45">
        <v>4</v>
      </c>
      <c r="O713" s="45">
        <v>112.8908</v>
      </c>
      <c r="P713" s="62">
        <f t="shared" si="12"/>
        <v>7</v>
      </c>
    </row>
    <row r="714" spans="1:16" x14ac:dyDescent="0.25">
      <c r="A714" s="43" t="s">
        <v>200</v>
      </c>
      <c r="B714" s="43" t="s">
        <v>291</v>
      </c>
      <c r="C714" s="43" t="s">
        <v>292</v>
      </c>
      <c r="D714" s="43" t="s">
        <v>460</v>
      </c>
      <c r="E714" s="43" t="s">
        <v>463</v>
      </c>
      <c r="F714" s="43" t="s">
        <v>462</v>
      </c>
      <c r="G714" s="43" t="s">
        <v>296</v>
      </c>
      <c r="H714" s="43" t="s">
        <v>218</v>
      </c>
      <c r="I714" s="44">
        <v>45591</v>
      </c>
      <c r="J714" s="44">
        <v>45633</v>
      </c>
      <c r="K714" s="45">
        <v>2</v>
      </c>
      <c r="L714" s="45">
        <v>55.510399999999997</v>
      </c>
      <c r="M714" s="45">
        <v>152.58000000000001</v>
      </c>
      <c r="N714" s="45">
        <v>2</v>
      </c>
      <c r="O714" s="45">
        <v>56.935200000000002</v>
      </c>
      <c r="P714" s="62">
        <f t="shared" si="12"/>
        <v>4</v>
      </c>
    </row>
    <row r="715" spans="1:16" x14ac:dyDescent="0.25">
      <c r="A715" s="43" t="s">
        <v>200</v>
      </c>
      <c r="B715" s="43" t="s">
        <v>291</v>
      </c>
      <c r="C715" s="43" t="s">
        <v>292</v>
      </c>
      <c r="D715" s="43" t="s">
        <v>460</v>
      </c>
      <c r="E715" s="43" t="s">
        <v>464</v>
      </c>
      <c r="F715" s="43" t="s">
        <v>323</v>
      </c>
      <c r="G715" s="43" t="s">
        <v>232</v>
      </c>
      <c r="H715" s="43" t="s">
        <v>218</v>
      </c>
      <c r="I715" s="44">
        <v>45593</v>
      </c>
      <c r="J715" s="44">
        <v>45640</v>
      </c>
      <c r="K715" s="45">
        <v>22</v>
      </c>
      <c r="L715" s="45">
        <v>703.19039999999995</v>
      </c>
      <c r="M715" s="45">
        <v>1895.07</v>
      </c>
      <c r="N715" s="45">
        <v>4</v>
      </c>
      <c r="O715" s="45">
        <v>129.46639999999999</v>
      </c>
      <c r="P715" s="62">
        <f t="shared" si="12"/>
        <v>26</v>
      </c>
    </row>
    <row r="716" spans="1:16" x14ac:dyDescent="0.25">
      <c r="A716" s="43" t="s">
        <v>200</v>
      </c>
      <c r="B716" s="43" t="s">
        <v>291</v>
      </c>
      <c r="C716" s="43" t="s">
        <v>292</v>
      </c>
      <c r="D716" s="43" t="s">
        <v>460</v>
      </c>
      <c r="E716" s="43" t="s">
        <v>464</v>
      </c>
      <c r="F716" s="43" t="s">
        <v>323</v>
      </c>
      <c r="G716" s="43" t="s">
        <v>233</v>
      </c>
      <c r="H716" s="43" t="s">
        <v>218</v>
      </c>
      <c r="I716" s="44">
        <v>45593</v>
      </c>
      <c r="J716" s="44">
        <v>45640</v>
      </c>
      <c r="K716" s="45">
        <v>16</v>
      </c>
      <c r="L716" s="45">
        <v>509.09050000000002</v>
      </c>
      <c r="M716" s="45">
        <v>1367.17</v>
      </c>
      <c r="N716" s="45">
        <v>4</v>
      </c>
      <c r="O716" s="45">
        <v>129.19800000000001</v>
      </c>
      <c r="P716" s="62">
        <f t="shared" si="12"/>
        <v>20</v>
      </c>
    </row>
    <row r="717" spans="1:16" x14ac:dyDescent="0.25">
      <c r="A717" s="43" t="s">
        <v>200</v>
      </c>
      <c r="B717" s="43" t="s">
        <v>291</v>
      </c>
      <c r="C717" s="43" t="s">
        <v>292</v>
      </c>
      <c r="D717" s="43" t="s">
        <v>460</v>
      </c>
      <c r="E717" s="43" t="s">
        <v>464</v>
      </c>
      <c r="F717" s="43" t="s">
        <v>323</v>
      </c>
      <c r="G717" s="43" t="s">
        <v>234</v>
      </c>
      <c r="H717" s="43" t="s">
        <v>218</v>
      </c>
      <c r="I717" s="44">
        <v>45593</v>
      </c>
      <c r="J717" s="44">
        <v>45639</v>
      </c>
      <c r="K717" s="45">
        <v>7</v>
      </c>
      <c r="L717" s="45">
        <v>221.0343</v>
      </c>
      <c r="M717" s="45">
        <v>603.42999999999995</v>
      </c>
      <c r="N717" s="45">
        <v>4</v>
      </c>
      <c r="O717" s="45">
        <v>128.904</v>
      </c>
      <c r="P717" s="62">
        <f t="shared" si="12"/>
        <v>11</v>
      </c>
    </row>
    <row r="718" spans="1:16" x14ac:dyDescent="0.25">
      <c r="A718" s="43" t="s">
        <v>200</v>
      </c>
      <c r="B718" s="43" t="s">
        <v>291</v>
      </c>
      <c r="C718" s="43" t="s">
        <v>292</v>
      </c>
      <c r="D718" s="43" t="s">
        <v>460</v>
      </c>
      <c r="E718" s="43" t="s">
        <v>464</v>
      </c>
      <c r="F718" s="43" t="s">
        <v>323</v>
      </c>
      <c r="G718" s="43" t="s">
        <v>259</v>
      </c>
      <c r="H718" s="43" t="s">
        <v>218</v>
      </c>
      <c r="I718" s="44">
        <v>45593</v>
      </c>
      <c r="J718" s="44">
        <v>45593</v>
      </c>
      <c r="K718" s="45">
        <v>2</v>
      </c>
      <c r="L718" s="45">
        <v>61.587000000000003</v>
      </c>
      <c r="M718" s="45">
        <v>169.72</v>
      </c>
      <c r="N718" s="45">
        <v>0</v>
      </c>
      <c r="O718" s="45">
        <v>0</v>
      </c>
      <c r="P718" s="62">
        <f t="shared" si="12"/>
        <v>2</v>
      </c>
    </row>
    <row r="719" spans="1:16" x14ac:dyDescent="0.25">
      <c r="A719" s="43" t="s">
        <v>200</v>
      </c>
      <c r="B719" s="43" t="s">
        <v>291</v>
      </c>
      <c r="C719" s="43" t="s">
        <v>292</v>
      </c>
      <c r="D719" s="43" t="s">
        <v>460</v>
      </c>
      <c r="E719" s="43" t="s">
        <v>464</v>
      </c>
      <c r="F719" s="43" t="s">
        <v>323</v>
      </c>
      <c r="G719" s="43" t="s">
        <v>296</v>
      </c>
      <c r="H719" s="43" t="s">
        <v>218</v>
      </c>
      <c r="I719" s="44">
        <v>45593</v>
      </c>
      <c r="J719" s="44">
        <v>45624</v>
      </c>
      <c r="K719" s="45">
        <v>0</v>
      </c>
      <c r="L719" s="45">
        <v>-0.80069999999999897</v>
      </c>
      <c r="M719" s="45">
        <v>0</v>
      </c>
      <c r="N719" s="45">
        <v>3</v>
      </c>
      <c r="O719" s="45">
        <v>94.782600000000002</v>
      </c>
      <c r="P719" s="62">
        <f t="shared" si="12"/>
        <v>3</v>
      </c>
    </row>
    <row r="720" spans="1:16" x14ac:dyDescent="0.25">
      <c r="A720" s="43" t="s">
        <v>200</v>
      </c>
      <c r="B720" s="43" t="s">
        <v>291</v>
      </c>
      <c r="C720" s="43" t="s">
        <v>292</v>
      </c>
      <c r="D720" s="43" t="s">
        <v>460</v>
      </c>
      <c r="E720" s="43" t="s">
        <v>465</v>
      </c>
      <c r="F720" s="43" t="s">
        <v>323</v>
      </c>
      <c r="G720" s="43" t="s">
        <v>232</v>
      </c>
      <c r="H720" s="43" t="s">
        <v>218</v>
      </c>
      <c r="I720" s="44">
        <v>45593</v>
      </c>
      <c r="J720" s="44">
        <v>45593</v>
      </c>
      <c r="K720" s="45">
        <v>0</v>
      </c>
      <c r="L720" s="45">
        <v>0</v>
      </c>
      <c r="M720" s="45">
        <v>0</v>
      </c>
      <c r="N720" s="45">
        <v>6</v>
      </c>
      <c r="O720" s="45">
        <v>184.761</v>
      </c>
      <c r="P720" s="62">
        <f t="shared" si="12"/>
        <v>6</v>
      </c>
    </row>
    <row r="721" spans="1:16" x14ac:dyDescent="0.25">
      <c r="A721" s="43" t="s">
        <v>200</v>
      </c>
      <c r="B721" s="43" t="s">
        <v>291</v>
      </c>
      <c r="C721" s="43" t="s">
        <v>292</v>
      </c>
      <c r="D721" s="43" t="s">
        <v>460</v>
      </c>
      <c r="E721" s="43" t="s">
        <v>465</v>
      </c>
      <c r="F721" s="43" t="s">
        <v>323</v>
      </c>
      <c r="G721" s="43" t="s">
        <v>233</v>
      </c>
      <c r="H721" s="43" t="s">
        <v>218</v>
      </c>
      <c r="I721" s="44">
        <v>45593</v>
      </c>
      <c r="J721" s="44">
        <v>45593</v>
      </c>
      <c r="K721" s="45">
        <v>0</v>
      </c>
      <c r="L721" s="45">
        <v>0</v>
      </c>
      <c r="M721" s="45">
        <v>0</v>
      </c>
      <c r="N721" s="45">
        <v>6</v>
      </c>
      <c r="O721" s="45">
        <v>184.761</v>
      </c>
      <c r="P721" s="62">
        <f t="shared" si="12"/>
        <v>6</v>
      </c>
    </row>
    <row r="722" spans="1:16" x14ac:dyDescent="0.25">
      <c r="A722" s="43" t="s">
        <v>200</v>
      </c>
      <c r="B722" s="43" t="s">
        <v>291</v>
      </c>
      <c r="C722" s="43" t="s">
        <v>292</v>
      </c>
      <c r="D722" s="43" t="s">
        <v>460</v>
      </c>
      <c r="E722" s="43" t="s">
        <v>465</v>
      </c>
      <c r="F722" s="43" t="s">
        <v>323</v>
      </c>
      <c r="G722" s="43" t="s">
        <v>234</v>
      </c>
      <c r="H722" s="43" t="s">
        <v>218</v>
      </c>
      <c r="I722" s="44">
        <v>45593</v>
      </c>
      <c r="J722" s="44">
        <v>45624</v>
      </c>
      <c r="K722" s="45">
        <v>1</v>
      </c>
      <c r="L722" s="45">
        <v>30.793500000000002</v>
      </c>
      <c r="M722" s="45">
        <v>84.85</v>
      </c>
      <c r="N722" s="45">
        <v>4</v>
      </c>
      <c r="O722" s="45">
        <v>124.7752</v>
      </c>
      <c r="P722" s="62">
        <f t="shared" si="12"/>
        <v>5</v>
      </c>
    </row>
    <row r="723" spans="1:16" x14ac:dyDescent="0.25">
      <c r="A723" s="43" t="s">
        <v>200</v>
      </c>
      <c r="B723" s="43" t="s">
        <v>291</v>
      </c>
      <c r="C723" s="43" t="s">
        <v>292</v>
      </c>
      <c r="D723" s="43" t="s">
        <v>460</v>
      </c>
      <c r="E723" s="43" t="s">
        <v>465</v>
      </c>
      <c r="F723" s="43" t="s">
        <v>323</v>
      </c>
      <c r="G723" s="43" t="s">
        <v>296</v>
      </c>
      <c r="H723" s="43" t="s">
        <v>218</v>
      </c>
      <c r="I723" s="44">
        <v>45593</v>
      </c>
      <c r="J723" s="44">
        <v>45593</v>
      </c>
      <c r="K723" s="45">
        <v>0</v>
      </c>
      <c r="L723" s="45">
        <v>0</v>
      </c>
      <c r="M723" s="45">
        <v>0</v>
      </c>
      <c r="N723" s="45">
        <v>2</v>
      </c>
      <c r="O723" s="45">
        <v>61.587000000000003</v>
      </c>
      <c r="P723" s="62">
        <f t="shared" si="12"/>
        <v>2</v>
      </c>
    </row>
    <row r="724" spans="1:16" x14ac:dyDescent="0.25">
      <c r="A724" s="43" t="s">
        <v>200</v>
      </c>
      <c r="B724" s="43" t="s">
        <v>291</v>
      </c>
      <c r="C724" s="43" t="s">
        <v>292</v>
      </c>
      <c r="D724" s="43" t="s">
        <v>460</v>
      </c>
      <c r="E724" s="43" t="s">
        <v>466</v>
      </c>
      <c r="F724" s="43" t="s">
        <v>304</v>
      </c>
      <c r="G724" s="43" t="s">
        <v>232</v>
      </c>
      <c r="H724" s="43" t="s">
        <v>207</v>
      </c>
      <c r="I724" s="44">
        <v>45432</v>
      </c>
      <c r="J724" s="44">
        <v>45630</v>
      </c>
      <c r="K724" s="45">
        <v>5</v>
      </c>
      <c r="L724" s="45">
        <v>173.2835</v>
      </c>
      <c r="M724" s="45">
        <v>467.15</v>
      </c>
      <c r="N724" s="45">
        <v>6</v>
      </c>
      <c r="O724" s="45">
        <v>212.85300000000001</v>
      </c>
      <c r="P724" s="62">
        <f t="shared" si="12"/>
        <v>11</v>
      </c>
    </row>
    <row r="725" spans="1:16" x14ac:dyDescent="0.25">
      <c r="A725" s="43" t="s">
        <v>200</v>
      </c>
      <c r="B725" s="43" t="s">
        <v>291</v>
      </c>
      <c r="C725" s="43" t="s">
        <v>292</v>
      </c>
      <c r="D725" s="43" t="s">
        <v>460</v>
      </c>
      <c r="E725" s="43" t="s">
        <v>466</v>
      </c>
      <c r="F725" s="43" t="s">
        <v>304</v>
      </c>
      <c r="G725" s="43" t="s">
        <v>233</v>
      </c>
      <c r="H725" s="43" t="s">
        <v>207</v>
      </c>
      <c r="I725" s="44">
        <v>45432</v>
      </c>
      <c r="J725" s="44">
        <v>45637</v>
      </c>
      <c r="K725" s="45">
        <v>6</v>
      </c>
      <c r="L725" s="45">
        <v>208.9513</v>
      </c>
      <c r="M725" s="45">
        <v>560.58000000000004</v>
      </c>
      <c r="N725" s="45">
        <v>6</v>
      </c>
      <c r="O725" s="45">
        <v>213.23580000000001</v>
      </c>
      <c r="P725" s="62">
        <f t="shared" si="12"/>
        <v>12</v>
      </c>
    </row>
    <row r="726" spans="1:16" x14ac:dyDescent="0.25">
      <c r="A726" s="43" t="s">
        <v>200</v>
      </c>
      <c r="B726" s="43" t="s">
        <v>291</v>
      </c>
      <c r="C726" s="43" t="s">
        <v>292</v>
      </c>
      <c r="D726" s="43" t="s">
        <v>460</v>
      </c>
      <c r="E726" s="43" t="s">
        <v>466</v>
      </c>
      <c r="F726" s="43" t="s">
        <v>304</v>
      </c>
      <c r="G726" s="43" t="s">
        <v>234</v>
      </c>
      <c r="H726" s="43" t="s">
        <v>207</v>
      </c>
      <c r="I726" s="44">
        <v>45432</v>
      </c>
      <c r="J726" s="44">
        <v>45631</v>
      </c>
      <c r="K726" s="45">
        <v>3</v>
      </c>
      <c r="L726" s="45">
        <v>103.9177</v>
      </c>
      <c r="M726" s="45">
        <v>280.29000000000002</v>
      </c>
      <c r="N726" s="45">
        <v>4</v>
      </c>
      <c r="O726" s="45">
        <v>141.04159999999999</v>
      </c>
      <c r="P726" s="62">
        <f t="shared" si="12"/>
        <v>7</v>
      </c>
    </row>
    <row r="727" spans="1:16" x14ac:dyDescent="0.25">
      <c r="A727" s="43" t="s">
        <v>200</v>
      </c>
      <c r="B727" s="43" t="s">
        <v>291</v>
      </c>
      <c r="C727" s="43" t="s">
        <v>292</v>
      </c>
      <c r="D727" s="43" t="s">
        <v>460</v>
      </c>
      <c r="E727" s="43" t="s">
        <v>466</v>
      </c>
      <c r="F727" s="43" t="s">
        <v>304</v>
      </c>
      <c r="G727" s="43" t="s">
        <v>259</v>
      </c>
      <c r="H727" s="43" t="s">
        <v>207</v>
      </c>
      <c r="I727" s="44">
        <v>45432</v>
      </c>
      <c r="J727" s="44">
        <v>45630</v>
      </c>
      <c r="K727" s="45">
        <v>2</v>
      </c>
      <c r="L727" s="45">
        <v>69.387900000000002</v>
      </c>
      <c r="M727" s="45">
        <v>186.86</v>
      </c>
      <c r="N727" s="45">
        <v>2</v>
      </c>
      <c r="O727" s="45">
        <v>71.168800000000005</v>
      </c>
      <c r="P727" s="62">
        <f t="shared" si="12"/>
        <v>4</v>
      </c>
    </row>
    <row r="728" spans="1:16" x14ac:dyDescent="0.25">
      <c r="A728" s="43" t="s">
        <v>200</v>
      </c>
      <c r="B728" s="43" t="s">
        <v>291</v>
      </c>
      <c r="C728" s="43" t="s">
        <v>292</v>
      </c>
      <c r="D728" s="43" t="s">
        <v>460</v>
      </c>
      <c r="E728" s="43" t="s">
        <v>466</v>
      </c>
      <c r="F728" s="43" t="s">
        <v>304</v>
      </c>
      <c r="G728" s="43" t="s">
        <v>296</v>
      </c>
      <c r="H728" s="43" t="s">
        <v>207</v>
      </c>
      <c r="I728" s="44">
        <v>45432</v>
      </c>
      <c r="J728" s="44">
        <v>45626</v>
      </c>
      <c r="K728" s="45">
        <v>2</v>
      </c>
      <c r="L728" s="45">
        <v>67.596999999999994</v>
      </c>
      <c r="M728" s="45">
        <v>166.1</v>
      </c>
      <c r="N728" s="45">
        <v>2</v>
      </c>
      <c r="O728" s="45">
        <v>71.111999999999995</v>
      </c>
      <c r="P728" s="62">
        <f t="shared" si="12"/>
        <v>4</v>
      </c>
    </row>
    <row r="729" spans="1:16" x14ac:dyDescent="0.25">
      <c r="A729" s="43" t="s">
        <v>200</v>
      </c>
      <c r="B729" s="43" t="s">
        <v>291</v>
      </c>
      <c r="C729" s="43" t="s">
        <v>292</v>
      </c>
      <c r="D729" s="43" t="s">
        <v>460</v>
      </c>
      <c r="E729" s="43" t="s">
        <v>467</v>
      </c>
      <c r="F729" s="43" t="s">
        <v>304</v>
      </c>
      <c r="G729" s="43" t="s">
        <v>232</v>
      </c>
      <c r="H729" s="43" t="s">
        <v>207</v>
      </c>
      <c r="I729" s="44">
        <v>45593</v>
      </c>
      <c r="J729" s="44">
        <v>45630</v>
      </c>
      <c r="K729" s="45">
        <v>2</v>
      </c>
      <c r="L729" s="45">
        <v>68.754300000000001</v>
      </c>
      <c r="M729" s="45">
        <v>186.86</v>
      </c>
      <c r="N729" s="45">
        <v>6</v>
      </c>
      <c r="O729" s="45">
        <v>208.6362</v>
      </c>
      <c r="P729" s="62">
        <f t="shared" si="12"/>
        <v>8</v>
      </c>
    </row>
    <row r="730" spans="1:16" x14ac:dyDescent="0.25">
      <c r="A730" s="43" t="s">
        <v>200</v>
      </c>
      <c r="B730" s="43" t="s">
        <v>291</v>
      </c>
      <c r="C730" s="43" t="s">
        <v>292</v>
      </c>
      <c r="D730" s="43" t="s">
        <v>460</v>
      </c>
      <c r="E730" s="43" t="s">
        <v>467</v>
      </c>
      <c r="F730" s="43" t="s">
        <v>304</v>
      </c>
      <c r="G730" s="43" t="s">
        <v>233</v>
      </c>
      <c r="H730" s="43" t="s">
        <v>207</v>
      </c>
      <c r="I730" s="44">
        <v>45593</v>
      </c>
      <c r="J730" s="44">
        <v>45637</v>
      </c>
      <c r="K730" s="45">
        <v>3</v>
      </c>
      <c r="L730" s="45">
        <v>103.5261</v>
      </c>
      <c r="M730" s="45">
        <v>290.66000000000003</v>
      </c>
      <c r="N730" s="45">
        <v>6</v>
      </c>
      <c r="O730" s="45">
        <v>210.9084</v>
      </c>
      <c r="P730" s="62">
        <f t="shared" si="12"/>
        <v>9</v>
      </c>
    </row>
    <row r="731" spans="1:16" x14ac:dyDescent="0.25">
      <c r="A731" s="43" t="s">
        <v>200</v>
      </c>
      <c r="B731" s="43" t="s">
        <v>291</v>
      </c>
      <c r="C731" s="43" t="s">
        <v>292</v>
      </c>
      <c r="D731" s="43" t="s">
        <v>460</v>
      </c>
      <c r="E731" s="43" t="s">
        <v>467</v>
      </c>
      <c r="F731" s="43" t="s">
        <v>304</v>
      </c>
      <c r="G731" s="43" t="s">
        <v>234</v>
      </c>
      <c r="H731" s="43" t="s">
        <v>207</v>
      </c>
      <c r="I731" s="44">
        <v>45593</v>
      </c>
      <c r="J731" s="44">
        <v>45630</v>
      </c>
      <c r="K731" s="45">
        <v>1</v>
      </c>
      <c r="L731" s="45">
        <v>34.228499999999997</v>
      </c>
      <c r="M731" s="45">
        <v>93.43</v>
      </c>
      <c r="N731" s="45">
        <v>4</v>
      </c>
      <c r="O731" s="45">
        <v>138.69399999999999</v>
      </c>
      <c r="P731" s="62">
        <f t="shared" si="12"/>
        <v>5</v>
      </c>
    </row>
    <row r="732" spans="1:16" x14ac:dyDescent="0.25">
      <c r="A732" s="43" t="s">
        <v>200</v>
      </c>
      <c r="B732" s="43" t="s">
        <v>291</v>
      </c>
      <c r="C732" s="43" t="s">
        <v>292</v>
      </c>
      <c r="D732" s="43" t="s">
        <v>460</v>
      </c>
      <c r="E732" s="43" t="s">
        <v>467</v>
      </c>
      <c r="F732" s="43" t="s">
        <v>304</v>
      </c>
      <c r="G732" s="43" t="s">
        <v>259</v>
      </c>
      <c r="H732" s="43" t="s">
        <v>207</v>
      </c>
      <c r="I732" s="44">
        <v>45593</v>
      </c>
      <c r="J732" s="44">
        <v>45630</v>
      </c>
      <c r="K732" s="45">
        <v>1</v>
      </c>
      <c r="L732" s="45">
        <v>34.250700000000002</v>
      </c>
      <c r="M732" s="45">
        <v>93.43</v>
      </c>
      <c r="N732" s="45">
        <v>2</v>
      </c>
      <c r="O732" s="45">
        <v>70.282399999999996</v>
      </c>
      <c r="P732" s="62">
        <f t="shared" si="12"/>
        <v>3</v>
      </c>
    </row>
    <row r="733" spans="1:16" x14ac:dyDescent="0.25">
      <c r="A733" s="43" t="s">
        <v>200</v>
      </c>
      <c r="B733" s="43" t="s">
        <v>291</v>
      </c>
      <c r="C733" s="43" t="s">
        <v>292</v>
      </c>
      <c r="D733" s="43" t="s">
        <v>460</v>
      </c>
      <c r="E733" s="43" t="s">
        <v>467</v>
      </c>
      <c r="F733" s="43" t="s">
        <v>304</v>
      </c>
      <c r="G733" s="43" t="s">
        <v>296</v>
      </c>
      <c r="H733" s="43" t="s">
        <v>207</v>
      </c>
      <c r="I733" s="44">
        <v>45593</v>
      </c>
      <c r="J733" s="44">
        <v>45626</v>
      </c>
      <c r="K733" s="45">
        <v>1</v>
      </c>
      <c r="L733" s="45">
        <v>34.231699999999996</v>
      </c>
      <c r="M733" s="45">
        <v>93.43</v>
      </c>
      <c r="N733" s="45">
        <v>2</v>
      </c>
      <c r="O733" s="45">
        <v>70.243399999999994</v>
      </c>
      <c r="P733" s="62">
        <f t="shared" si="12"/>
        <v>3</v>
      </c>
    </row>
    <row r="734" spans="1:16" x14ac:dyDescent="0.25">
      <c r="A734" s="43" t="s">
        <v>200</v>
      </c>
      <c r="B734" s="43" t="s">
        <v>291</v>
      </c>
      <c r="C734" s="43" t="s">
        <v>292</v>
      </c>
      <c r="D734" s="43" t="s">
        <v>460</v>
      </c>
      <c r="E734" s="43" t="s">
        <v>468</v>
      </c>
      <c r="F734" s="43" t="s">
        <v>390</v>
      </c>
      <c r="G734" s="43" t="s">
        <v>232</v>
      </c>
      <c r="H734" s="43" t="s">
        <v>207</v>
      </c>
      <c r="I734" s="44">
        <v>45591</v>
      </c>
      <c r="J734" s="44">
        <v>45611</v>
      </c>
      <c r="K734" s="45">
        <v>15</v>
      </c>
      <c r="L734" s="45">
        <v>768.72149999999999</v>
      </c>
      <c r="M734" s="45">
        <v>2237.2199999999998</v>
      </c>
      <c r="N734" s="45">
        <v>2</v>
      </c>
      <c r="O734" s="45">
        <v>102.4962</v>
      </c>
      <c r="P734" s="62">
        <f t="shared" si="12"/>
        <v>17</v>
      </c>
    </row>
    <row r="735" spans="1:16" x14ac:dyDescent="0.25">
      <c r="A735" s="43" t="s">
        <v>200</v>
      </c>
      <c r="B735" s="43" t="s">
        <v>291</v>
      </c>
      <c r="C735" s="43" t="s">
        <v>292</v>
      </c>
      <c r="D735" s="43" t="s">
        <v>460</v>
      </c>
      <c r="E735" s="43" t="s">
        <v>468</v>
      </c>
      <c r="F735" s="43" t="s">
        <v>390</v>
      </c>
      <c r="G735" s="43" t="s">
        <v>233</v>
      </c>
      <c r="H735" s="43" t="s">
        <v>207</v>
      </c>
      <c r="I735" s="44">
        <v>45590</v>
      </c>
      <c r="J735" s="44">
        <v>45611</v>
      </c>
      <c r="K735" s="45">
        <v>7</v>
      </c>
      <c r="L735" s="45">
        <v>359.25819999999999</v>
      </c>
      <c r="M735" s="45">
        <v>1014</v>
      </c>
      <c r="N735" s="45">
        <v>0</v>
      </c>
      <c r="O735" s="45">
        <v>0</v>
      </c>
      <c r="P735" s="62">
        <f t="shared" si="12"/>
        <v>7</v>
      </c>
    </row>
    <row r="736" spans="1:16" x14ac:dyDescent="0.25">
      <c r="A736" s="43" t="s">
        <v>200</v>
      </c>
      <c r="B736" s="43" t="s">
        <v>291</v>
      </c>
      <c r="C736" s="43" t="s">
        <v>292</v>
      </c>
      <c r="D736" s="43" t="s">
        <v>460</v>
      </c>
      <c r="E736" s="43" t="s">
        <v>468</v>
      </c>
      <c r="F736" s="43" t="s">
        <v>390</v>
      </c>
      <c r="G736" s="43" t="s">
        <v>234</v>
      </c>
      <c r="H736" s="43" t="s">
        <v>207</v>
      </c>
      <c r="I736" s="44">
        <v>45591</v>
      </c>
      <c r="J736" s="44">
        <v>45611</v>
      </c>
      <c r="K736" s="45">
        <v>3</v>
      </c>
      <c r="L736" s="45">
        <v>153.78809999999999</v>
      </c>
      <c r="M736" s="45">
        <v>434.57</v>
      </c>
      <c r="N736" s="45">
        <v>1</v>
      </c>
      <c r="O736" s="45">
        <v>51.262700000000002</v>
      </c>
      <c r="P736" s="62">
        <f t="shared" si="12"/>
        <v>4</v>
      </c>
    </row>
    <row r="737" spans="1:16" x14ac:dyDescent="0.25">
      <c r="A737" s="43" t="s">
        <v>200</v>
      </c>
      <c r="B737" s="43" t="s">
        <v>291</v>
      </c>
      <c r="C737" s="43" t="s">
        <v>292</v>
      </c>
      <c r="D737" s="43" t="s">
        <v>460</v>
      </c>
      <c r="E737" s="43" t="s">
        <v>468</v>
      </c>
      <c r="F737" s="43" t="s">
        <v>390</v>
      </c>
      <c r="G737" s="43" t="s">
        <v>259</v>
      </c>
      <c r="H737" s="43" t="s">
        <v>207</v>
      </c>
      <c r="I737" s="44">
        <v>45590</v>
      </c>
      <c r="J737" s="44">
        <v>45590</v>
      </c>
      <c r="K737" s="45">
        <v>2</v>
      </c>
      <c r="L737" s="45">
        <v>98.811800000000005</v>
      </c>
      <c r="M737" s="45">
        <v>289.72000000000003</v>
      </c>
      <c r="N737" s="45">
        <v>0</v>
      </c>
      <c r="O737" s="45">
        <v>0</v>
      </c>
      <c r="P737" s="62">
        <f t="shared" si="12"/>
        <v>2</v>
      </c>
    </row>
    <row r="738" spans="1:16" x14ac:dyDescent="0.25">
      <c r="A738" s="43" t="s">
        <v>200</v>
      </c>
      <c r="B738" s="43" t="s">
        <v>291</v>
      </c>
      <c r="C738" s="43" t="s">
        <v>292</v>
      </c>
      <c r="D738" s="43" t="s">
        <v>460</v>
      </c>
      <c r="E738" s="43" t="s">
        <v>468</v>
      </c>
      <c r="F738" s="43" t="s">
        <v>390</v>
      </c>
      <c r="G738" s="43" t="s">
        <v>296</v>
      </c>
      <c r="H738" s="43" t="s">
        <v>207</v>
      </c>
      <c r="I738" s="44">
        <v>45591</v>
      </c>
      <c r="J738" s="44">
        <v>45605</v>
      </c>
      <c r="K738" s="45">
        <v>3</v>
      </c>
      <c r="L738" s="45">
        <v>153.96780000000001</v>
      </c>
      <c r="M738" s="45">
        <v>434.67</v>
      </c>
      <c r="N738" s="45">
        <v>0</v>
      </c>
      <c r="O738" s="45">
        <v>0</v>
      </c>
      <c r="P738" s="62">
        <f t="shared" si="12"/>
        <v>3</v>
      </c>
    </row>
    <row r="739" spans="1:16" x14ac:dyDescent="0.25">
      <c r="A739" s="43" t="s">
        <v>200</v>
      </c>
      <c r="B739" s="43" t="s">
        <v>291</v>
      </c>
      <c r="C739" s="43" t="s">
        <v>292</v>
      </c>
      <c r="D739" s="43" t="s">
        <v>460</v>
      </c>
      <c r="E739" s="43" t="s">
        <v>469</v>
      </c>
      <c r="F739" s="43" t="s">
        <v>390</v>
      </c>
      <c r="G739" s="43" t="s">
        <v>232</v>
      </c>
      <c r="H739" s="43" t="s">
        <v>218</v>
      </c>
      <c r="I739" s="44">
        <v>45591</v>
      </c>
      <c r="J739" s="44">
        <v>45610</v>
      </c>
      <c r="K739" s="45">
        <v>3</v>
      </c>
      <c r="L739" s="45">
        <v>153.96780000000001</v>
      </c>
      <c r="M739" s="45">
        <v>434.56</v>
      </c>
      <c r="N739" s="45">
        <v>0</v>
      </c>
      <c r="O739" s="45">
        <v>0</v>
      </c>
      <c r="P739" s="62">
        <f t="shared" si="12"/>
        <v>3</v>
      </c>
    </row>
    <row r="740" spans="1:16" x14ac:dyDescent="0.25">
      <c r="A740" s="43" t="s">
        <v>200</v>
      </c>
      <c r="B740" s="43" t="s">
        <v>291</v>
      </c>
      <c r="C740" s="43" t="s">
        <v>292</v>
      </c>
      <c r="D740" s="43" t="s">
        <v>460</v>
      </c>
      <c r="E740" s="43" t="s">
        <v>469</v>
      </c>
      <c r="F740" s="43" t="s">
        <v>390</v>
      </c>
      <c r="G740" s="43" t="s">
        <v>233</v>
      </c>
      <c r="H740" s="43" t="s">
        <v>218</v>
      </c>
      <c r="I740" s="44">
        <v>45590</v>
      </c>
      <c r="J740" s="44">
        <v>45611</v>
      </c>
      <c r="K740" s="45">
        <v>5</v>
      </c>
      <c r="L740" s="45">
        <v>256.613</v>
      </c>
      <c r="M740" s="45">
        <v>724.3</v>
      </c>
      <c r="N740" s="45">
        <v>1</v>
      </c>
      <c r="O740" s="45">
        <v>51.322600000000001</v>
      </c>
      <c r="P740" s="62">
        <f t="shared" si="12"/>
        <v>6</v>
      </c>
    </row>
    <row r="741" spans="1:16" x14ac:dyDescent="0.25">
      <c r="A741" s="43" t="s">
        <v>200</v>
      </c>
      <c r="B741" s="43" t="s">
        <v>291</v>
      </c>
      <c r="C741" s="43" t="s">
        <v>292</v>
      </c>
      <c r="D741" s="43" t="s">
        <v>460</v>
      </c>
      <c r="E741" s="43" t="s">
        <v>469</v>
      </c>
      <c r="F741" s="43" t="s">
        <v>390</v>
      </c>
      <c r="G741" s="43" t="s">
        <v>234</v>
      </c>
      <c r="H741" s="43" t="s">
        <v>218</v>
      </c>
      <c r="I741" s="44">
        <v>45591</v>
      </c>
      <c r="J741" s="44">
        <v>45605</v>
      </c>
      <c r="K741" s="45">
        <v>2</v>
      </c>
      <c r="L741" s="45">
        <v>102.6452</v>
      </c>
      <c r="M741" s="45">
        <v>273.62</v>
      </c>
      <c r="N741" s="45">
        <v>0</v>
      </c>
      <c r="O741" s="45">
        <v>0</v>
      </c>
      <c r="P741" s="62">
        <f t="shared" si="12"/>
        <v>2</v>
      </c>
    </row>
    <row r="742" spans="1:16" x14ac:dyDescent="0.25">
      <c r="A742" s="43" t="s">
        <v>200</v>
      </c>
      <c r="B742" s="43" t="s">
        <v>291</v>
      </c>
      <c r="C742" s="43" t="s">
        <v>292</v>
      </c>
      <c r="D742" s="43" t="s">
        <v>460</v>
      </c>
      <c r="E742" s="43" t="s">
        <v>469</v>
      </c>
      <c r="F742" s="43" t="s">
        <v>390</v>
      </c>
      <c r="G742" s="43" t="s">
        <v>259</v>
      </c>
      <c r="H742" s="43" t="s">
        <v>218</v>
      </c>
      <c r="I742" s="44">
        <v>45591</v>
      </c>
      <c r="J742" s="44">
        <v>45591</v>
      </c>
      <c r="K742" s="45">
        <v>2</v>
      </c>
      <c r="L742" s="45">
        <v>102.6452</v>
      </c>
      <c r="M742" s="45">
        <v>289.72000000000003</v>
      </c>
      <c r="N742" s="45">
        <v>0</v>
      </c>
      <c r="O742" s="45">
        <v>0</v>
      </c>
      <c r="P742" s="62">
        <f t="shared" si="12"/>
        <v>2</v>
      </c>
    </row>
    <row r="743" spans="1:16" x14ac:dyDescent="0.25">
      <c r="A743" s="43" t="s">
        <v>200</v>
      </c>
      <c r="B743" s="43" t="s">
        <v>291</v>
      </c>
      <c r="C743" s="43" t="s">
        <v>292</v>
      </c>
      <c r="D743" s="43" t="s">
        <v>460</v>
      </c>
      <c r="E743" s="43" t="s">
        <v>469</v>
      </c>
      <c r="F743" s="43" t="s">
        <v>390</v>
      </c>
      <c r="G743" s="43" t="s">
        <v>296</v>
      </c>
      <c r="H743" s="43" t="s">
        <v>218</v>
      </c>
      <c r="I743" s="44">
        <v>45591</v>
      </c>
      <c r="J743" s="44">
        <v>45608</v>
      </c>
      <c r="K743" s="45">
        <v>2</v>
      </c>
      <c r="L743" s="45">
        <v>102.6452</v>
      </c>
      <c r="M743" s="45">
        <v>305.81</v>
      </c>
      <c r="N743" s="45">
        <v>0</v>
      </c>
      <c r="O743" s="45">
        <v>0</v>
      </c>
      <c r="P743" s="62">
        <f t="shared" si="12"/>
        <v>2</v>
      </c>
    </row>
    <row r="744" spans="1:16" x14ac:dyDescent="0.25">
      <c r="A744" s="43" t="s">
        <v>200</v>
      </c>
      <c r="B744" s="43" t="s">
        <v>291</v>
      </c>
      <c r="C744" s="43" t="s">
        <v>292</v>
      </c>
      <c r="D744" s="43" t="s">
        <v>460</v>
      </c>
      <c r="E744" s="43" t="s">
        <v>470</v>
      </c>
      <c r="F744" s="43" t="s">
        <v>390</v>
      </c>
      <c r="G744" s="43" t="s">
        <v>232</v>
      </c>
      <c r="H744" s="43" t="s">
        <v>207</v>
      </c>
      <c r="I744" s="44">
        <v>45591</v>
      </c>
      <c r="J744" s="44">
        <v>45608</v>
      </c>
      <c r="K744" s="45">
        <v>2</v>
      </c>
      <c r="L744" s="45">
        <v>102.6452</v>
      </c>
      <c r="M744" s="45">
        <v>289.72000000000003</v>
      </c>
      <c r="N744" s="45">
        <v>0</v>
      </c>
      <c r="O744" s="45">
        <v>0</v>
      </c>
      <c r="P744" s="62">
        <f t="shared" si="12"/>
        <v>2</v>
      </c>
    </row>
    <row r="745" spans="1:16" x14ac:dyDescent="0.25">
      <c r="A745" s="43" t="s">
        <v>200</v>
      </c>
      <c r="B745" s="43" t="s">
        <v>291</v>
      </c>
      <c r="C745" s="43" t="s">
        <v>292</v>
      </c>
      <c r="D745" s="43" t="s">
        <v>460</v>
      </c>
      <c r="E745" s="43" t="s">
        <v>470</v>
      </c>
      <c r="F745" s="43" t="s">
        <v>390</v>
      </c>
      <c r="G745" s="43" t="s">
        <v>233</v>
      </c>
      <c r="H745" s="43" t="s">
        <v>207</v>
      </c>
      <c r="I745" s="44">
        <v>45591</v>
      </c>
      <c r="J745" s="44">
        <v>45611</v>
      </c>
      <c r="K745" s="45">
        <v>4</v>
      </c>
      <c r="L745" s="45">
        <v>205.29040000000001</v>
      </c>
      <c r="M745" s="45">
        <v>595.52</v>
      </c>
      <c r="N745" s="45">
        <v>1</v>
      </c>
      <c r="O745" s="45">
        <v>51.322600000000001</v>
      </c>
      <c r="P745" s="62">
        <f t="shared" si="12"/>
        <v>5</v>
      </c>
    </row>
    <row r="746" spans="1:16" x14ac:dyDescent="0.25">
      <c r="A746" s="43" t="s">
        <v>200</v>
      </c>
      <c r="B746" s="43" t="s">
        <v>291</v>
      </c>
      <c r="C746" s="43" t="s">
        <v>292</v>
      </c>
      <c r="D746" s="43" t="s">
        <v>460</v>
      </c>
      <c r="E746" s="43" t="s">
        <v>470</v>
      </c>
      <c r="F746" s="43" t="s">
        <v>390</v>
      </c>
      <c r="G746" s="43" t="s">
        <v>234</v>
      </c>
      <c r="H746" s="43" t="s">
        <v>207</v>
      </c>
      <c r="I746" s="44">
        <v>45591</v>
      </c>
      <c r="J746" s="44">
        <v>45609</v>
      </c>
      <c r="K746" s="45">
        <v>3</v>
      </c>
      <c r="L746" s="45">
        <v>153.96780000000001</v>
      </c>
      <c r="M746" s="45">
        <v>434.58</v>
      </c>
      <c r="N746" s="45">
        <v>0</v>
      </c>
      <c r="O746" s="45">
        <v>0</v>
      </c>
      <c r="P746" s="62">
        <f t="shared" si="12"/>
        <v>3</v>
      </c>
    </row>
    <row r="747" spans="1:16" x14ac:dyDescent="0.25">
      <c r="A747" s="43" t="s">
        <v>200</v>
      </c>
      <c r="B747" s="43" t="s">
        <v>291</v>
      </c>
      <c r="C747" s="43" t="s">
        <v>292</v>
      </c>
      <c r="D747" s="43" t="s">
        <v>460</v>
      </c>
      <c r="E747" s="43" t="s">
        <v>470</v>
      </c>
      <c r="F747" s="43" t="s">
        <v>390</v>
      </c>
      <c r="G747" s="43" t="s">
        <v>259</v>
      </c>
      <c r="H747" s="43" t="s">
        <v>207</v>
      </c>
      <c r="I747" s="44">
        <v>45590</v>
      </c>
      <c r="J747" s="44">
        <v>45590</v>
      </c>
      <c r="K747" s="45">
        <v>2</v>
      </c>
      <c r="L747" s="45">
        <v>102.6452</v>
      </c>
      <c r="M747" s="45">
        <v>305.81</v>
      </c>
      <c r="N747" s="45">
        <v>0</v>
      </c>
      <c r="O747" s="45">
        <v>0</v>
      </c>
      <c r="P747" s="62">
        <f t="shared" si="12"/>
        <v>2</v>
      </c>
    </row>
    <row r="748" spans="1:16" x14ac:dyDescent="0.25">
      <c r="A748" s="43" t="s">
        <v>200</v>
      </c>
      <c r="B748" s="43" t="s">
        <v>291</v>
      </c>
      <c r="C748" s="43" t="s">
        <v>292</v>
      </c>
      <c r="D748" s="43" t="s">
        <v>460</v>
      </c>
      <c r="E748" s="43" t="s">
        <v>470</v>
      </c>
      <c r="F748" s="43" t="s">
        <v>390</v>
      </c>
      <c r="G748" s="43" t="s">
        <v>296</v>
      </c>
      <c r="H748" s="43" t="s">
        <v>207</v>
      </c>
      <c r="I748" s="44">
        <v>45591</v>
      </c>
      <c r="J748" s="44">
        <v>45608</v>
      </c>
      <c r="K748" s="45">
        <v>2</v>
      </c>
      <c r="L748" s="45">
        <v>102.6452</v>
      </c>
      <c r="M748" s="45">
        <v>289.70999999999998</v>
      </c>
      <c r="N748" s="45">
        <v>0</v>
      </c>
      <c r="O748" s="45">
        <v>0</v>
      </c>
      <c r="P748" s="62">
        <f t="shared" si="12"/>
        <v>2</v>
      </c>
    </row>
    <row r="749" spans="1:16" x14ac:dyDescent="0.25">
      <c r="A749" s="43" t="s">
        <v>200</v>
      </c>
      <c r="B749" s="43" t="s">
        <v>291</v>
      </c>
      <c r="C749" s="43" t="s">
        <v>292</v>
      </c>
      <c r="D749" s="43" t="s">
        <v>460</v>
      </c>
      <c r="E749" s="43" t="s">
        <v>471</v>
      </c>
      <c r="F749" s="43" t="s">
        <v>228</v>
      </c>
      <c r="G749" s="43" t="s">
        <v>232</v>
      </c>
      <c r="H749" s="43" t="s">
        <v>218</v>
      </c>
      <c r="I749" s="44">
        <v>45633</v>
      </c>
      <c r="J749" s="44">
        <v>45633</v>
      </c>
      <c r="K749" s="45">
        <v>1</v>
      </c>
      <c r="L749" s="45">
        <v>43.192999999999998</v>
      </c>
      <c r="M749" s="45">
        <v>110.57</v>
      </c>
      <c r="N749" s="45">
        <v>5</v>
      </c>
      <c r="O749" s="45">
        <v>215.965</v>
      </c>
      <c r="P749" s="62">
        <f t="shared" si="12"/>
        <v>6</v>
      </c>
    </row>
    <row r="750" spans="1:16" x14ac:dyDescent="0.25">
      <c r="A750" s="43" t="s">
        <v>200</v>
      </c>
      <c r="B750" s="43" t="s">
        <v>291</v>
      </c>
      <c r="C750" s="43" t="s">
        <v>292</v>
      </c>
      <c r="D750" s="43" t="s">
        <v>460</v>
      </c>
      <c r="E750" s="43" t="s">
        <v>471</v>
      </c>
      <c r="F750" s="43" t="s">
        <v>228</v>
      </c>
      <c r="G750" s="43" t="s">
        <v>233</v>
      </c>
      <c r="H750" s="43" t="s">
        <v>218</v>
      </c>
      <c r="I750" s="44">
        <v>45633</v>
      </c>
      <c r="J750" s="44">
        <v>45633</v>
      </c>
      <c r="K750" s="45">
        <v>0</v>
      </c>
      <c r="L750" s="45">
        <v>0</v>
      </c>
      <c r="M750" s="45">
        <v>0</v>
      </c>
      <c r="N750" s="45">
        <v>6</v>
      </c>
      <c r="O750" s="45">
        <v>259.15800000000002</v>
      </c>
      <c r="P750" s="62">
        <f t="shared" si="12"/>
        <v>6</v>
      </c>
    </row>
    <row r="751" spans="1:16" x14ac:dyDescent="0.25">
      <c r="A751" s="43" t="s">
        <v>200</v>
      </c>
      <c r="B751" s="43" t="s">
        <v>291</v>
      </c>
      <c r="C751" s="43" t="s">
        <v>292</v>
      </c>
      <c r="D751" s="43" t="s">
        <v>460</v>
      </c>
      <c r="E751" s="43" t="s">
        <v>471</v>
      </c>
      <c r="F751" s="43" t="s">
        <v>228</v>
      </c>
      <c r="G751" s="43" t="s">
        <v>234</v>
      </c>
      <c r="H751" s="43" t="s">
        <v>218</v>
      </c>
      <c r="I751" s="44">
        <v>45633</v>
      </c>
      <c r="J751" s="44">
        <v>45633</v>
      </c>
      <c r="K751" s="45">
        <v>0</v>
      </c>
      <c r="L751" s="45">
        <v>0</v>
      </c>
      <c r="M751" s="45">
        <v>0</v>
      </c>
      <c r="N751" s="45">
        <v>4</v>
      </c>
      <c r="O751" s="45">
        <v>172.77199999999999</v>
      </c>
      <c r="P751" s="62">
        <f t="shared" si="12"/>
        <v>4</v>
      </c>
    </row>
    <row r="752" spans="1:16" x14ac:dyDescent="0.25">
      <c r="A752" s="43" t="s">
        <v>200</v>
      </c>
      <c r="B752" s="43" t="s">
        <v>291</v>
      </c>
      <c r="C752" s="43" t="s">
        <v>292</v>
      </c>
      <c r="D752" s="43" t="s">
        <v>460</v>
      </c>
      <c r="E752" s="43" t="s">
        <v>471</v>
      </c>
      <c r="F752" s="43" t="s">
        <v>228</v>
      </c>
      <c r="G752" s="43" t="s">
        <v>296</v>
      </c>
      <c r="H752" s="43" t="s">
        <v>218</v>
      </c>
      <c r="I752" s="44">
        <v>45633</v>
      </c>
      <c r="J752" s="44">
        <v>45633</v>
      </c>
      <c r="K752" s="45">
        <v>0</v>
      </c>
      <c r="L752" s="45">
        <v>0</v>
      </c>
      <c r="M752" s="45">
        <v>0</v>
      </c>
      <c r="N752" s="45">
        <v>2</v>
      </c>
      <c r="O752" s="45">
        <v>86.385999999999996</v>
      </c>
      <c r="P752" s="62">
        <f t="shared" si="12"/>
        <v>2</v>
      </c>
    </row>
    <row r="753" spans="1:16" x14ac:dyDescent="0.25">
      <c r="A753" s="43" t="s">
        <v>200</v>
      </c>
      <c r="B753" s="43" t="s">
        <v>291</v>
      </c>
      <c r="C753" s="43" t="s">
        <v>292</v>
      </c>
      <c r="D753" s="43" t="s">
        <v>460</v>
      </c>
      <c r="E753" s="43" t="s">
        <v>472</v>
      </c>
      <c r="F753" s="43" t="s">
        <v>228</v>
      </c>
      <c r="G753" s="43" t="s">
        <v>232</v>
      </c>
      <c r="H753" s="43" t="s">
        <v>349</v>
      </c>
      <c r="I753" s="44">
        <v>45593</v>
      </c>
      <c r="J753" s="44">
        <v>45593</v>
      </c>
      <c r="K753" s="45">
        <v>0</v>
      </c>
      <c r="L753" s="45">
        <v>0</v>
      </c>
      <c r="M753" s="45">
        <v>0</v>
      </c>
      <c r="N753" s="45">
        <v>4</v>
      </c>
      <c r="O753" s="45">
        <v>164.232</v>
      </c>
      <c r="P753" s="62">
        <f t="shared" si="12"/>
        <v>4</v>
      </c>
    </row>
    <row r="754" spans="1:16" x14ac:dyDescent="0.25">
      <c r="A754" s="43" t="s">
        <v>200</v>
      </c>
      <c r="B754" s="43" t="s">
        <v>291</v>
      </c>
      <c r="C754" s="43" t="s">
        <v>292</v>
      </c>
      <c r="D754" s="43" t="s">
        <v>460</v>
      </c>
      <c r="E754" s="43" t="s">
        <v>472</v>
      </c>
      <c r="F754" s="43" t="s">
        <v>228</v>
      </c>
      <c r="G754" s="43" t="s">
        <v>233</v>
      </c>
      <c r="H754" s="43" t="s">
        <v>349</v>
      </c>
      <c r="I754" s="44">
        <v>45593</v>
      </c>
      <c r="J754" s="44">
        <v>45593</v>
      </c>
      <c r="K754" s="45">
        <v>1</v>
      </c>
      <c r="L754" s="45">
        <v>41.058</v>
      </c>
      <c r="M754" s="45">
        <v>110.57</v>
      </c>
      <c r="N754" s="45">
        <v>3</v>
      </c>
      <c r="O754" s="45">
        <v>123.17400000000001</v>
      </c>
      <c r="P754" s="62">
        <f t="shared" si="12"/>
        <v>4</v>
      </c>
    </row>
    <row r="755" spans="1:16" x14ac:dyDescent="0.25">
      <c r="A755" s="43" t="s">
        <v>200</v>
      </c>
      <c r="B755" s="43" t="s">
        <v>291</v>
      </c>
      <c r="C755" s="43" t="s">
        <v>292</v>
      </c>
      <c r="D755" s="43" t="s">
        <v>460</v>
      </c>
      <c r="E755" s="43" t="s">
        <v>472</v>
      </c>
      <c r="F755" s="43" t="s">
        <v>228</v>
      </c>
      <c r="G755" s="43" t="s">
        <v>234</v>
      </c>
      <c r="H755" s="43" t="s">
        <v>349</v>
      </c>
      <c r="I755" s="44">
        <v>45593</v>
      </c>
      <c r="J755" s="44">
        <v>45593</v>
      </c>
      <c r="K755" s="45">
        <v>0</v>
      </c>
      <c r="L755" s="45">
        <v>0</v>
      </c>
      <c r="M755" s="45">
        <v>0</v>
      </c>
      <c r="N755" s="45">
        <v>3</v>
      </c>
      <c r="O755" s="45">
        <v>123.17400000000001</v>
      </c>
      <c r="P755" s="62">
        <f t="shared" si="12"/>
        <v>3</v>
      </c>
    </row>
    <row r="756" spans="1:16" x14ac:dyDescent="0.25">
      <c r="A756" s="43" t="s">
        <v>200</v>
      </c>
      <c r="B756" s="43" t="s">
        <v>291</v>
      </c>
      <c r="C756" s="43" t="s">
        <v>292</v>
      </c>
      <c r="D756" s="43" t="s">
        <v>460</v>
      </c>
      <c r="E756" s="43" t="s">
        <v>472</v>
      </c>
      <c r="F756" s="43" t="s">
        <v>228</v>
      </c>
      <c r="G756" s="43" t="s">
        <v>259</v>
      </c>
      <c r="H756" s="43" t="s">
        <v>349</v>
      </c>
      <c r="I756" s="44">
        <v>45593</v>
      </c>
      <c r="J756" s="44">
        <v>45593</v>
      </c>
      <c r="K756" s="45">
        <v>1</v>
      </c>
      <c r="L756" s="45">
        <v>41.058</v>
      </c>
      <c r="M756" s="45">
        <v>122.86</v>
      </c>
      <c r="N756" s="45">
        <v>0</v>
      </c>
      <c r="O756" s="45">
        <v>0</v>
      </c>
      <c r="P756" s="62">
        <f t="shared" si="12"/>
        <v>1</v>
      </c>
    </row>
    <row r="757" spans="1:16" x14ac:dyDescent="0.25">
      <c r="A757" s="43" t="s">
        <v>200</v>
      </c>
      <c r="B757" s="43" t="s">
        <v>291</v>
      </c>
      <c r="C757" s="43" t="s">
        <v>292</v>
      </c>
      <c r="D757" s="43" t="s">
        <v>460</v>
      </c>
      <c r="E757" s="43" t="s">
        <v>472</v>
      </c>
      <c r="F757" s="43" t="s">
        <v>228</v>
      </c>
      <c r="G757" s="43" t="s">
        <v>296</v>
      </c>
      <c r="H757" s="43" t="s">
        <v>349</v>
      </c>
      <c r="I757" s="44">
        <v>45593</v>
      </c>
      <c r="J757" s="44">
        <v>45593</v>
      </c>
      <c r="K757" s="45">
        <v>0</v>
      </c>
      <c r="L757" s="45">
        <v>0</v>
      </c>
      <c r="M757" s="45">
        <v>0</v>
      </c>
      <c r="N757" s="45">
        <v>1</v>
      </c>
      <c r="O757" s="45">
        <v>41.058</v>
      </c>
      <c r="P757" s="62">
        <f t="shared" si="12"/>
        <v>1</v>
      </c>
    </row>
    <row r="758" spans="1:16" x14ac:dyDescent="0.25">
      <c r="A758" s="43" t="s">
        <v>200</v>
      </c>
      <c r="B758" s="43" t="s">
        <v>291</v>
      </c>
      <c r="C758" s="43" t="s">
        <v>292</v>
      </c>
      <c r="D758" s="43" t="s">
        <v>460</v>
      </c>
      <c r="E758" s="43" t="s">
        <v>473</v>
      </c>
      <c r="F758" s="43" t="s">
        <v>228</v>
      </c>
      <c r="G758" s="43" t="s">
        <v>232</v>
      </c>
      <c r="H758" s="43" t="s">
        <v>218</v>
      </c>
      <c r="I758" s="44">
        <v>45633</v>
      </c>
      <c r="J758" s="44">
        <v>45633</v>
      </c>
      <c r="K758" s="45">
        <v>0</v>
      </c>
      <c r="L758" s="45">
        <v>0</v>
      </c>
      <c r="M758" s="45">
        <v>0</v>
      </c>
      <c r="N758" s="45">
        <v>6</v>
      </c>
      <c r="O758" s="45">
        <v>259.15800000000002</v>
      </c>
      <c r="P758" s="62">
        <f t="shared" si="12"/>
        <v>6</v>
      </c>
    </row>
    <row r="759" spans="1:16" x14ac:dyDescent="0.25">
      <c r="A759" s="43" t="s">
        <v>200</v>
      </c>
      <c r="B759" s="43" t="s">
        <v>291</v>
      </c>
      <c r="C759" s="43" t="s">
        <v>292</v>
      </c>
      <c r="D759" s="43" t="s">
        <v>460</v>
      </c>
      <c r="E759" s="43" t="s">
        <v>473</v>
      </c>
      <c r="F759" s="43" t="s">
        <v>228</v>
      </c>
      <c r="G759" s="43" t="s">
        <v>233</v>
      </c>
      <c r="H759" s="43" t="s">
        <v>218</v>
      </c>
      <c r="I759" s="44">
        <v>45633</v>
      </c>
      <c r="J759" s="44">
        <v>45633</v>
      </c>
      <c r="K759" s="45">
        <v>0</v>
      </c>
      <c r="L759" s="45">
        <v>0</v>
      </c>
      <c r="M759" s="45">
        <v>0</v>
      </c>
      <c r="N759" s="45">
        <v>6</v>
      </c>
      <c r="O759" s="45">
        <v>259.15800000000002</v>
      </c>
      <c r="P759" s="62">
        <f t="shared" si="12"/>
        <v>6</v>
      </c>
    </row>
    <row r="760" spans="1:16" x14ac:dyDescent="0.25">
      <c r="A760" s="43" t="s">
        <v>200</v>
      </c>
      <c r="B760" s="43" t="s">
        <v>291</v>
      </c>
      <c r="C760" s="43" t="s">
        <v>292</v>
      </c>
      <c r="D760" s="43" t="s">
        <v>460</v>
      </c>
      <c r="E760" s="43" t="s">
        <v>473</v>
      </c>
      <c r="F760" s="43" t="s">
        <v>228</v>
      </c>
      <c r="G760" s="43" t="s">
        <v>234</v>
      </c>
      <c r="H760" s="43" t="s">
        <v>218</v>
      </c>
      <c r="I760" s="44">
        <v>45633</v>
      </c>
      <c r="J760" s="44">
        <v>45633</v>
      </c>
      <c r="K760" s="45">
        <v>0</v>
      </c>
      <c r="L760" s="45">
        <v>0</v>
      </c>
      <c r="M760" s="45">
        <v>0</v>
      </c>
      <c r="N760" s="45">
        <v>4</v>
      </c>
      <c r="O760" s="45">
        <v>172.7724</v>
      </c>
      <c r="P760" s="62">
        <f t="shared" si="12"/>
        <v>4</v>
      </c>
    </row>
    <row r="761" spans="1:16" x14ac:dyDescent="0.25">
      <c r="A761" s="43" t="s">
        <v>200</v>
      </c>
      <c r="B761" s="43" t="s">
        <v>291</v>
      </c>
      <c r="C761" s="43" t="s">
        <v>292</v>
      </c>
      <c r="D761" s="43" t="s">
        <v>460</v>
      </c>
      <c r="E761" s="43" t="s">
        <v>473</v>
      </c>
      <c r="F761" s="43" t="s">
        <v>228</v>
      </c>
      <c r="G761" s="43" t="s">
        <v>259</v>
      </c>
      <c r="H761" s="43" t="s">
        <v>218</v>
      </c>
      <c r="I761" s="44">
        <v>45633</v>
      </c>
      <c r="J761" s="44">
        <v>45637</v>
      </c>
      <c r="K761" s="45">
        <v>1</v>
      </c>
      <c r="L761" s="45">
        <v>43.193100000000001</v>
      </c>
      <c r="M761" s="45">
        <v>122.86</v>
      </c>
      <c r="N761" s="45">
        <v>2</v>
      </c>
      <c r="O761" s="45">
        <v>86.386200000000002</v>
      </c>
      <c r="P761" s="62">
        <f t="shared" si="12"/>
        <v>3</v>
      </c>
    </row>
    <row r="762" spans="1:16" x14ac:dyDescent="0.25">
      <c r="A762" s="43" t="s">
        <v>200</v>
      </c>
      <c r="B762" s="43" t="s">
        <v>291</v>
      </c>
      <c r="C762" s="43" t="s">
        <v>292</v>
      </c>
      <c r="D762" s="43" t="s">
        <v>460</v>
      </c>
      <c r="E762" s="43" t="s">
        <v>473</v>
      </c>
      <c r="F762" s="43" t="s">
        <v>228</v>
      </c>
      <c r="G762" s="43" t="s">
        <v>296</v>
      </c>
      <c r="H762" s="43" t="s">
        <v>218</v>
      </c>
      <c r="I762" s="44">
        <v>45633</v>
      </c>
      <c r="J762" s="44">
        <v>45633</v>
      </c>
      <c r="K762" s="45">
        <v>0</v>
      </c>
      <c r="L762" s="45">
        <v>0</v>
      </c>
      <c r="M762" s="45">
        <v>0</v>
      </c>
      <c r="N762" s="45">
        <v>2</v>
      </c>
      <c r="O762" s="45">
        <v>86.386200000000002</v>
      </c>
      <c r="P762" s="62">
        <f t="shared" si="12"/>
        <v>2</v>
      </c>
    </row>
    <row r="763" spans="1:16" x14ac:dyDescent="0.25">
      <c r="A763" s="43" t="s">
        <v>200</v>
      </c>
      <c r="B763" s="43" t="s">
        <v>291</v>
      </c>
      <c r="C763" s="43" t="s">
        <v>292</v>
      </c>
      <c r="D763" s="43" t="s">
        <v>460</v>
      </c>
      <c r="E763" s="43" t="s">
        <v>474</v>
      </c>
      <c r="F763" s="43" t="s">
        <v>344</v>
      </c>
      <c r="G763" s="43" t="s">
        <v>232</v>
      </c>
      <c r="H763" s="43" t="s">
        <v>207</v>
      </c>
      <c r="I763" s="44">
        <v>45576</v>
      </c>
      <c r="J763" s="44">
        <v>45636</v>
      </c>
      <c r="K763" s="45">
        <v>20</v>
      </c>
      <c r="L763" s="45">
        <v>1127.3025</v>
      </c>
      <c r="M763" s="45">
        <v>2889.09</v>
      </c>
      <c r="N763" s="45">
        <v>6</v>
      </c>
      <c r="O763" s="45">
        <v>345.88440000000003</v>
      </c>
      <c r="P763" s="62">
        <f t="shared" si="12"/>
        <v>26</v>
      </c>
    </row>
    <row r="764" spans="1:16" x14ac:dyDescent="0.25">
      <c r="A764" s="43" t="s">
        <v>200</v>
      </c>
      <c r="B764" s="43" t="s">
        <v>291</v>
      </c>
      <c r="C764" s="43" t="s">
        <v>292</v>
      </c>
      <c r="D764" s="43" t="s">
        <v>460</v>
      </c>
      <c r="E764" s="43" t="s">
        <v>474</v>
      </c>
      <c r="F764" s="43" t="s">
        <v>344</v>
      </c>
      <c r="G764" s="43" t="s">
        <v>233</v>
      </c>
      <c r="H764" s="43" t="s">
        <v>207</v>
      </c>
      <c r="I764" s="44">
        <v>45576</v>
      </c>
      <c r="J764" s="44">
        <v>45639</v>
      </c>
      <c r="K764" s="45">
        <v>17</v>
      </c>
      <c r="L764" s="45">
        <v>946.63630000000001</v>
      </c>
      <c r="M764" s="45">
        <v>2494.79</v>
      </c>
      <c r="N764" s="45">
        <v>6</v>
      </c>
      <c r="O764" s="45">
        <v>345.06</v>
      </c>
      <c r="P764" s="62">
        <f t="shared" si="12"/>
        <v>23</v>
      </c>
    </row>
    <row r="765" spans="1:16" x14ac:dyDescent="0.25">
      <c r="A765" s="43" t="s">
        <v>200</v>
      </c>
      <c r="B765" s="43" t="s">
        <v>291</v>
      </c>
      <c r="C765" s="43" t="s">
        <v>292</v>
      </c>
      <c r="D765" s="43" t="s">
        <v>460</v>
      </c>
      <c r="E765" s="43" t="s">
        <v>474</v>
      </c>
      <c r="F765" s="43" t="s">
        <v>344</v>
      </c>
      <c r="G765" s="43" t="s">
        <v>234</v>
      </c>
      <c r="H765" s="43" t="s">
        <v>207</v>
      </c>
      <c r="I765" s="44">
        <v>45576</v>
      </c>
      <c r="J765" s="44">
        <v>45626</v>
      </c>
      <c r="K765" s="45">
        <v>10</v>
      </c>
      <c r="L765" s="45">
        <v>553.678</v>
      </c>
      <c r="M765" s="45">
        <v>1416.41</v>
      </c>
      <c r="N765" s="45">
        <v>6</v>
      </c>
      <c r="O765" s="45">
        <v>345.88440000000003</v>
      </c>
      <c r="P765" s="62">
        <f t="shared" si="12"/>
        <v>16</v>
      </c>
    </row>
    <row r="766" spans="1:16" x14ac:dyDescent="0.25">
      <c r="A766" s="43" t="s">
        <v>200</v>
      </c>
      <c r="B766" s="43" t="s">
        <v>291</v>
      </c>
      <c r="C766" s="43" t="s">
        <v>292</v>
      </c>
      <c r="D766" s="43" t="s">
        <v>460</v>
      </c>
      <c r="E766" s="43" t="s">
        <v>474</v>
      </c>
      <c r="F766" s="43" t="s">
        <v>344</v>
      </c>
      <c r="G766" s="43" t="s">
        <v>259</v>
      </c>
      <c r="H766" s="43" t="s">
        <v>207</v>
      </c>
      <c r="I766" s="44">
        <v>45591</v>
      </c>
      <c r="J766" s="44">
        <v>45636</v>
      </c>
      <c r="K766" s="45">
        <v>2</v>
      </c>
      <c r="L766" s="45">
        <v>109.5958</v>
      </c>
      <c r="M766" s="45">
        <v>289.72000000000003</v>
      </c>
      <c r="N766" s="45">
        <v>2</v>
      </c>
      <c r="O766" s="45">
        <v>115.21</v>
      </c>
      <c r="P766" s="62">
        <f t="shared" si="12"/>
        <v>4</v>
      </c>
    </row>
    <row r="767" spans="1:16" x14ac:dyDescent="0.25">
      <c r="A767" s="43" t="s">
        <v>200</v>
      </c>
      <c r="B767" s="43" t="s">
        <v>291</v>
      </c>
      <c r="C767" s="43" t="s">
        <v>292</v>
      </c>
      <c r="D767" s="43" t="s">
        <v>460</v>
      </c>
      <c r="E767" s="43" t="s">
        <v>474</v>
      </c>
      <c r="F767" s="43" t="s">
        <v>344</v>
      </c>
      <c r="G767" s="43" t="s">
        <v>296</v>
      </c>
      <c r="H767" s="43" t="s">
        <v>207</v>
      </c>
      <c r="I767" s="44">
        <v>45591</v>
      </c>
      <c r="J767" s="44">
        <v>45591</v>
      </c>
      <c r="K767" s="45">
        <v>2</v>
      </c>
      <c r="L767" s="45">
        <v>109.5958</v>
      </c>
      <c r="M767" s="45">
        <v>289.70999999999998</v>
      </c>
      <c r="N767" s="45">
        <v>0</v>
      </c>
      <c r="O767" s="45">
        <v>0</v>
      </c>
      <c r="P767" s="62">
        <f t="shared" si="12"/>
        <v>2</v>
      </c>
    </row>
    <row r="768" spans="1:16" x14ac:dyDescent="0.25">
      <c r="A768" s="43" t="s">
        <v>200</v>
      </c>
      <c r="B768" s="43" t="s">
        <v>291</v>
      </c>
      <c r="C768" s="43" t="s">
        <v>292</v>
      </c>
      <c r="D768" s="43" t="s">
        <v>460</v>
      </c>
      <c r="E768" s="43" t="s">
        <v>475</v>
      </c>
      <c r="F768" s="43" t="s">
        <v>344</v>
      </c>
      <c r="G768" s="43" t="s">
        <v>232</v>
      </c>
      <c r="H768" s="43" t="s">
        <v>207</v>
      </c>
      <c r="I768" s="44">
        <v>45591</v>
      </c>
      <c r="J768" s="44">
        <v>45622</v>
      </c>
      <c r="K768" s="45">
        <v>8</v>
      </c>
      <c r="L768" s="45">
        <v>444.0822</v>
      </c>
      <c r="M768" s="45">
        <v>1174.96</v>
      </c>
      <c r="N768" s="45">
        <v>6</v>
      </c>
      <c r="O768" s="45">
        <v>345.88440000000003</v>
      </c>
      <c r="P768" s="62">
        <f t="shared" si="12"/>
        <v>14</v>
      </c>
    </row>
    <row r="769" spans="1:16" x14ac:dyDescent="0.25">
      <c r="A769" s="43" t="s">
        <v>200</v>
      </c>
      <c r="B769" s="43" t="s">
        <v>291</v>
      </c>
      <c r="C769" s="43" t="s">
        <v>292</v>
      </c>
      <c r="D769" s="43" t="s">
        <v>460</v>
      </c>
      <c r="E769" s="43" t="s">
        <v>475</v>
      </c>
      <c r="F769" s="43" t="s">
        <v>344</v>
      </c>
      <c r="G769" s="43" t="s">
        <v>233</v>
      </c>
      <c r="H769" s="43" t="s">
        <v>207</v>
      </c>
      <c r="I769" s="44">
        <v>45591</v>
      </c>
      <c r="J769" s="44">
        <v>45617</v>
      </c>
      <c r="K769" s="45">
        <v>6</v>
      </c>
      <c r="L769" s="45">
        <v>328.78739999999999</v>
      </c>
      <c r="M769" s="45">
        <v>869.14</v>
      </c>
      <c r="N769" s="45">
        <v>6</v>
      </c>
      <c r="O769" s="45">
        <v>343.03500000000003</v>
      </c>
      <c r="P769" s="62">
        <f t="shared" si="12"/>
        <v>12</v>
      </c>
    </row>
    <row r="770" spans="1:16" x14ac:dyDescent="0.25">
      <c r="A770" s="43" t="s">
        <v>200</v>
      </c>
      <c r="B770" s="43" t="s">
        <v>291</v>
      </c>
      <c r="C770" s="43" t="s">
        <v>292</v>
      </c>
      <c r="D770" s="43" t="s">
        <v>460</v>
      </c>
      <c r="E770" s="43" t="s">
        <v>475</v>
      </c>
      <c r="F770" s="43" t="s">
        <v>344</v>
      </c>
      <c r="G770" s="43" t="s">
        <v>234</v>
      </c>
      <c r="H770" s="43" t="s">
        <v>207</v>
      </c>
      <c r="I770" s="44">
        <v>45591</v>
      </c>
      <c r="J770" s="44">
        <v>45639</v>
      </c>
      <c r="K770" s="45">
        <v>7</v>
      </c>
      <c r="L770" s="45">
        <v>388.0376</v>
      </c>
      <c r="M770" s="45">
        <v>1030.1099999999999</v>
      </c>
      <c r="N770" s="45">
        <v>4</v>
      </c>
      <c r="O770" s="45">
        <v>228.98679999999999</v>
      </c>
      <c r="P770" s="62">
        <f t="shared" si="12"/>
        <v>11</v>
      </c>
    </row>
    <row r="771" spans="1:16" x14ac:dyDescent="0.25">
      <c r="A771" s="43" t="s">
        <v>200</v>
      </c>
      <c r="B771" s="43" t="s">
        <v>291</v>
      </c>
      <c r="C771" s="43" t="s">
        <v>292</v>
      </c>
      <c r="D771" s="43" t="s">
        <v>460</v>
      </c>
      <c r="E771" s="43" t="s">
        <v>475</v>
      </c>
      <c r="F771" s="43" t="s">
        <v>344</v>
      </c>
      <c r="G771" s="43" t="s">
        <v>259</v>
      </c>
      <c r="H771" s="43" t="s">
        <v>207</v>
      </c>
      <c r="I771" s="44">
        <v>45591</v>
      </c>
      <c r="J771" s="44">
        <v>45636</v>
      </c>
      <c r="K771" s="45">
        <v>1</v>
      </c>
      <c r="L771" s="45">
        <v>54.797899999999998</v>
      </c>
      <c r="M771" s="45">
        <v>144.85</v>
      </c>
      <c r="N771" s="45">
        <v>2</v>
      </c>
      <c r="O771" s="45">
        <v>112.40560000000001</v>
      </c>
      <c r="P771" s="62">
        <f t="shared" si="12"/>
        <v>3</v>
      </c>
    </row>
    <row r="772" spans="1:16" x14ac:dyDescent="0.25">
      <c r="A772" s="43" t="s">
        <v>200</v>
      </c>
      <c r="B772" s="43" t="s">
        <v>291</v>
      </c>
      <c r="C772" s="43" t="s">
        <v>292</v>
      </c>
      <c r="D772" s="43" t="s">
        <v>460</v>
      </c>
      <c r="E772" s="43" t="s">
        <v>476</v>
      </c>
      <c r="F772" s="43" t="s">
        <v>344</v>
      </c>
      <c r="G772" s="43" t="s">
        <v>232</v>
      </c>
      <c r="H772" s="43" t="s">
        <v>218</v>
      </c>
      <c r="I772" s="44">
        <v>45591</v>
      </c>
      <c r="J772" s="44">
        <v>45636</v>
      </c>
      <c r="K772" s="45">
        <v>9</v>
      </c>
      <c r="L772" s="45">
        <v>503.55790000000002</v>
      </c>
      <c r="M772" s="45">
        <v>1335.91</v>
      </c>
      <c r="N772" s="45">
        <v>6</v>
      </c>
      <c r="O772" s="45">
        <v>343.43340000000001</v>
      </c>
      <c r="P772" s="62">
        <f t="shared" si="12"/>
        <v>15</v>
      </c>
    </row>
    <row r="773" spans="1:16" x14ac:dyDescent="0.25">
      <c r="A773" s="43" t="s">
        <v>200</v>
      </c>
      <c r="B773" s="43" t="s">
        <v>291</v>
      </c>
      <c r="C773" s="43" t="s">
        <v>292</v>
      </c>
      <c r="D773" s="43" t="s">
        <v>460</v>
      </c>
      <c r="E773" s="43" t="s">
        <v>476</v>
      </c>
      <c r="F773" s="43" t="s">
        <v>344</v>
      </c>
      <c r="G773" s="43" t="s">
        <v>233</v>
      </c>
      <c r="H773" s="43" t="s">
        <v>218</v>
      </c>
      <c r="I773" s="44">
        <v>45591</v>
      </c>
      <c r="J773" s="44">
        <v>45639</v>
      </c>
      <c r="K773" s="45">
        <v>6</v>
      </c>
      <c r="L773" s="45">
        <v>334.43040000000002</v>
      </c>
      <c r="M773" s="45">
        <v>885.25</v>
      </c>
      <c r="N773" s="45">
        <v>6</v>
      </c>
      <c r="O773" s="45">
        <v>340.88459999999998</v>
      </c>
      <c r="P773" s="62">
        <f t="shared" si="12"/>
        <v>12</v>
      </c>
    </row>
    <row r="774" spans="1:16" x14ac:dyDescent="0.25">
      <c r="A774" s="43" t="s">
        <v>200</v>
      </c>
      <c r="B774" s="43" t="s">
        <v>291</v>
      </c>
      <c r="C774" s="43" t="s">
        <v>292</v>
      </c>
      <c r="D774" s="43" t="s">
        <v>460</v>
      </c>
      <c r="E774" s="43" t="s">
        <v>476</v>
      </c>
      <c r="F774" s="43" t="s">
        <v>344</v>
      </c>
      <c r="G774" s="43" t="s">
        <v>234</v>
      </c>
      <c r="H774" s="43" t="s">
        <v>218</v>
      </c>
      <c r="I774" s="44">
        <v>45591</v>
      </c>
      <c r="J774" s="44">
        <v>45639</v>
      </c>
      <c r="K774" s="45">
        <v>3</v>
      </c>
      <c r="L774" s="45">
        <v>166.23050000000001</v>
      </c>
      <c r="M774" s="45">
        <v>450.67</v>
      </c>
      <c r="N774" s="45">
        <v>4</v>
      </c>
      <c r="O774" s="45">
        <v>225.61519999999999</v>
      </c>
      <c r="P774" s="62">
        <f t="shared" si="12"/>
        <v>7</v>
      </c>
    </row>
    <row r="775" spans="1:16" x14ac:dyDescent="0.25">
      <c r="A775" s="43" t="s">
        <v>200</v>
      </c>
      <c r="B775" s="43" t="s">
        <v>291</v>
      </c>
      <c r="C775" s="43" t="s">
        <v>292</v>
      </c>
      <c r="D775" s="43" t="s">
        <v>460</v>
      </c>
      <c r="E775" s="43" t="s">
        <v>476</v>
      </c>
      <c r="F775" s="43" t="s">
        <v>344</v>
      </c>
      <c r="G775" s="43" t="s">
        <v>259</v>
      </c>
      <c r="H775" s="43" t="s">
        <v>218</v>
      </c>
      <c r="I775" s="44">
        <v>45591</v>
      </c>
      <c r="J775" s="44">
        <v>45591</v>
      </c>
      <c r="K775" s="45">
        <v>1</v>
      </c>
      <c r="L775" s="45">
        <v>54.757599999999996</v>
      </c>
      <c r="M775" s="45">
        <v>144.86000000000001</v>
      </c>
      <c r="N775" s="45">
        <v>1</v>
      </c>
      <c r="O775" s="45">
        <v>54.757599999999996</v>
      </c>
      <c r="P775" s="62">
        <f t="shared" si="12"/>
        <v>2</v>
      </c>
    </row>
    <row r="776" spans="1:16" x14ac:dyDescent="0.25">
      <c r="A776" s="43" t="s">
        <v>200</v>
      </c>
      <c r="B776" s="43" t="s">
        <v>291</v>
      </c>
      <c r="C776" s="43" t="s">
        <v>292</v>
      </c>
      <c r="D776" s="43" t="s">
        <v>460</v>
      </c>
      <c r="E776" s="43" t="s">
        <v>476</v>
      </c>
      <c r="F776" s="43" t="s">
        <v>344</v>
      </c>
      <c r="G776" s="43" t="s">
        <v>296</v>
      </c>
      <c r="H776" s="43" t="s">
        <v>218</v>
      </c>
      <c r="I776" s="44">
        <v>45591</v>
      </c>
      <c r="J776" s="44">
        <v>45622</v>
      </c>
      <c r="K776" s="45">
        <v>3</v>
      </c>
      <c r="L776" s="45">
        <v>167.12020000000001</v>
      </c>
      <c r="M776" s="45">
        <v>434.48</v>
      </c>
      <c r="N776" s="45">
        <v>0</v>
      </c>
      <c r="O776" s="45">
        <v>0</v>
      </c>
      <c r="P776" s="62">
        <f t="shared" ref="P776:P839" si="13">K776+N776</f>
        <v>3</v>
      </c>
    </row>
    <row r="777" spans="1:16" x14ac:dyDescent="0.25">
      <c r="A777" s="43" t="s">
        <v>200</v>
      </c>
      <c r="B777" s="43" t="s">
        <v>291</v>
      </c>
      <c r="C777" s="43" t="s">
        <v>292</v>
      </c>
      <c r="D777" s="43" t="s">
        <v>460</v>
      </c>
      <c r="E777" s="43" t="s">
        <v>477</v>
      </c>
      <c r="F777" s="43" t="s">
        <v>390</v>
      </c>
      <c r="G777" s="43" t="s">
        <v>232</v>
      </c>
      <c r="H777" s="43" t="s">
        <v>207</v>
      </c>
      <c r="I777" s="44">
        <v>45591</v>
      </c>
      <c r="J777" s="44">
        <v>45611</v>
      </c>
      <c r="K777" s="45">
        <v>6</v>
      </c>
      <c r="L777" s="45">
        <v>307.93560000000002</v>
      </c>
      <c r="M777" s="45">
        <v>869.16</v>
      </c>
      <c r="N777" s="45">
        <v>0</v>
      </c>
      <c r="O777" s="45">
        <v>0</v>
      </c>
      <c r="P777" s="62">
        <f t="shared" si="13"/>
        <v>6</v>
      </c>
    </row>
    <row r="778" spans="1:16" x14ac:dyDescent="0.25">
      <c r="A778" s="43" t="s">
        <v>200</v>
      </c>
      <c r="B778" s="43" t="s">
        <v>291</v>
      </c>
      <c r="C778" s="43" t="s">
        <v>292</v>
      </c>
      <c r="D778" s="43" t="s">
        <v>460</v>
      </c>
      <c r="E778" s="43" t="s">
        <v>477</v>
      </c>
      <c r="F778" s="43" t="s">
        <v>390</v>
      </c>
      <c r="G778" s="43" t="s">
        <v>233</v>
      </c>
      <c r="H778" s="43" t="s">
        <v>207</v>
      </c>
      <c r="I778" s="44">
        <v>45591</v>
      </c>
      <c r="J778" s="44">
        <v>45611</v>
      </c>
      <c r="K778" s="45">
        <v>11</v>
      </c>
      <c r="L778" s="45">
        <v>564.09320000000002</v>
      </c>
      <c r="M778" s="45">
        <v>1561.25</v>
      </c>
      <c r="N778" s="45">
        <v>0</v>
      </c>
      <c r="O778" s="45">
        <v>0</v>
      </c>
      <c r="P778" s="62">
        <f t="shared" si="13"/>
        <v>11</v>
      </c>
    </row>
    <row r="779" spans="1:16" x14ac:dyDescent="0.25">
      <c r="A779" s="43" t="s">
        <v>200</v>
      </c>
      <c r="B779" s="43" t="s">
        <v>291</v>
      </c>
      <c r="C779" s="43" t="s">
        <v>292</v>
      </c>
      <c r="D779" s="43" t="s">
        <v>460</v>
      </c>
      <c r="E779" s="43" t="s">
        <v>477</v>
      </c>
      <c r="F779" s="43" t="s">
        <v>390</v>
      </c>
      <c r="G779" s="43" t="s">
        <v>234</v>
      </c>
      <c r="H779" s="43" t="s">
        <v>207</v>
      </c>
      <c r="I779" s="44">
        <v>45591</v>
      </c>
      <c r="J779" s="44">
        <v>45611</v>
      </c>
      <c r="K779" s="45">
        <v>7</v>
      </c>
      <c r="L779" s="45">
        <v>358.69889999999998</v>
      </c>
      <c r="M779" s="45">
        <v>1014.01</v>
      </c>
      <c r="N779" s="45">
        <v>1</v>
      </c>
      <c r="O779" s="45">
        <v>51.242699999999999</v>
      </c>
      <c r="P779" s="62">
        <f t="shared" si="13"/>
        <v>8</v>
      </c>
    </row>
    <row r="780" spans="1:16" x14ac:dyDescent="0.25">
      <c r="A780" s="43" t="s">
        <v>200</v>
      </c>
      <c r="B780" s="43" t="s">
        <v>291</v>
      </c>
      <c r="C780" s="43" t="s">
        <v>292</v>
      </c>
      <c r="D780" s="43" t="s">
        <v>460</v>
      </c>
      <c r="E780" s="43" t="s">
        <v>477</v>
      </c>
      <c r="F780" s="43" t="s">
        <v>390</v>
      </c>
      <c r="G780" s="43" t="s">
        <v>259</v>
      </c>
      <c r="H780" s="43" t="s">
        <v>207</v>
      </c>
      <c r="I780" s="44">
        <v>45591</v>
      </c>
      <c r="J780" s="44">
        <v>45591</v>
      </c>
      <c r="K780" s="45">
        <v>2</v>
      </c>
      <c r="L780" s="45">
        <v>102.6452</v>
      </c>
      <c r="M780" s="45">
        <v>289.72000000000003</v>
      </c>
      <c r="N780" s="45">
        <v>0</v>
      </c>
      <c r="O780" s="45">
        <v>0</v>
      </c>
      <c r="P780" s="62">
        <f t="shared" si="13"/>
        <v>2</v>
      </c>
    </row>
    <row r="781" spans="1:16" x14ac:dyDescent="0.25">
      <c r="A781" s="43" t="s">
        <v>200</v>
      </c>
      <c r="B781" s="43" t="s">
        <v>291</v>
      </c>
      <c r="C781" s="43" t="s">
        <v>292</v>
      </c>
      <c r="D781" s="43" t="s">
        <v>460</v>
      </c>
      <c r="E781" s="43" t="s">
        <v>477</v>
      </c>
      <c r="F781" s="43" t="s">
        <v>390</v>
      </c>
      <c r="G781" s="43" t="s">
        <v>296</v>
      </c>
      <c r="H781" s="43" t="s">
        <v>207</v>
      </c>
      <c r="I781" s="44">
        <v>45591</v>
      </c>
      <c r="J781" s="44">
        <v>45609</v>
      </c>
      <c r="K781" s="45">
        <v>4</v>
      </c>
      <c r="L781" s="45">
        <v>205.29040000000001</v>
      </c>
      <c r="M781" s="45">
        <v>579.44000000000005</v>
      </c>
      <c r="N781" s="45">
        <v>0</v>
      </c>
      <c r="O781" s="45">
        <v>0</v>
      </c>
      <c r="P781" s="62">
        <f t="shared" si="13"/>
        <v>4</v>
      </c>
    </row>
    <row r="782" spans="1:16" x14ac:dyDescent="0.25">
      <c r="A782" s="43" t="s">
        <v>200</v>
      </c>
      <c r="B782" s="43" t="s">
        <v>291</v>
      </c>
      <c r="C782" s="43" t="s">
        <v>292</v>
      </c>
      <c r="D782" s="43" t="s">
        <v>460</v>
      </c>
      <c r="E782" s="43" t="s">
        <v>478</v>
      </c>
      <c r="F782" s="43" t="s">
        <v>356</v>
      </c>
      <c r="G782" s="43" t="s">
        <v>232</v>
      </c>
      <c r="H782" s="43" t="s">
        <v>207</v>
      </c>
      <c r="I782" s="44">
        <v>45638</v>
      </c>
      <c r="J782" s="44">
        <v>45638</v>
      </c>
      <c r="K782" s="45">
        <v>0</v>
      </c>
      <c r="L782" s="45">
        <v>0</v>
      </c>
      <c r="M782" s="45">
        <v>0</v>
      </c>
      <c r="N782" s="45">
        <v>6</v>
      </c>
      <c r="O782" s="45">
        <v>323.94839999999999</v>
      </c>
      <c r="P782" s="62">
        <f t="shared" si="13"/>
        <v>6</v>
      </c>
    </row>
    <row r="783" spans="1:16" x14ac:dyDescent="0.25">
      <c r="A783" s="43" t="s">
        <v>200</v>
      </c>
      <c r="B783" s="43" t="s">
        <v>291</v>
      </c>
      <c r="C783" s="43" t="s">
        <v>292</v>
      </c>
      <c r="D783" s="43" t="s">
        <v>460</v>
      </c>
      <c r="E783" s="43" t="s">
        <v>478</v>
      </c>
      <c r="F783" s="43" t="s">
        <v>356</v>
      </c>
      <c r="G783" s="43" t="s">
        <v>233</v>
      </c>
      <c r="H783" s="43" t="s">
        <v>207</v>
      </c>
      <c r="I783" s="44">
        <v>45638</v>
      </c>
      <c r="J783" s="44">
        <v>45638</v>
      </c>
      <c r="K783" s="45">
        <v>0</v>
      </c>
      <c r="L783" s="45">
        <v>0</v>
      </c>
      <c r="M783" s="45">
        <v>0</v>
      </c>
      <c r="N783" s="45">
        <v>6</v>
      </c>
      <c r="O783" s="45">
        <v>323.94839999999999</v>
      </c>
      <c r="P783" s="62">
        <f t="shared" si="13"/>
        <v>6</v>
      </c>
    </row>
    <row r="784" spans="1:16" x14ac:dyDescent="0.25">
      <c r="A784" s="43" t="s">
        <v>200</v>
      </c>
      <c r="B784" s="43" t="s">
        <v>291</v>
      </c>
      <c r="C784" s="43" t="s">
        <v>292</v>
      </c>
      <c r="D784" s="43" t="s">
        <v>460</v>
      </c>
      <c r="E784" s="43" t="s">
        <v>478</v>
      </c>
      <c r="F784" s="43" t="s">
        <v>356</v>
      </c>
      <c r="G784" s="43" t="s">
        <v>234</v>
      </c>
      <c r="H784" s="43" t="s">
        <v>207</v>
      </c>
      <c r="I784" s="44">
        <v>45638</v>
      </c>
      <c r="J784" s="44">
        <v>45638</v>
      </c>
      <c r="K784" s="45">
        <v>0</v>
      </c>
      <c r="L784" s="45">
        <v>0</v>
      </c>
      <c r="M784" s="45">
        <v>0</v>
      </c>
      <c r="N784" s="45">
        <v>4</v>
      </c>
      <c r="O784" s="45">
        <v>215.96559999999999</v>
      </c>
      <c r="P784" s="62">
        <f t="shared" si="13"/>
        <v>4</v>
      </c>
    </row>
    <row r="785" spans="1:16" x14ac:dyDescent="0.25">
      <c r="A785" s="43" t="s">
        <v>200</v>
      </c>
      <c r="B785" s="43" t="s">
        <v>291</v>
      </c>
      <c r="C785" s="43" t="s">
        <v>292</v>
      </c>
      <c r="D785" s="43" t="s">
        <v>460</v>
      </c>
      <c r="E785" s="43" t="s">
        <v>478</v>
      </c>
      <c r="F785" s="43" t="s">
        <v>356</v>
      </c>
      <c r="G785" s="43" t="s">
        <v>259</v>
      </c>
      <c r="H785" s="43" t="s">
        <v>207</v>
      </c>
      <c r="I785" s="44">
        <v>45638</v>
      </c>
      <c r="J785" s="44">
        <v>45638</v>
      </c>
      <c r="K785" s="45">
        <v>0</v>
      </c>
      <c r="L785" s="45">
        <v>0</v>
      </c>
      <c r="M785" s="45">
        <v>0</v>
      </c>
      <c r="N785" s="45">
        <v>2</v>
      </c>
      <c r="O785" s="45">
        <v>107.9828</v>
      </c>
      <c r="P785" s="62">
        <f t="shared" si="13"/>
        <v>2</v>
      </c>
    </row>
    <row r="786" spans="1:16" x14ac:dyDescent="0.25">
      <c r="A786" s="43" t="s">
        <v>200</v>
      </c>
      <c r="B786" s="43" t="s">
        <v>291</v>
      </c>
      <c r="C786" s="43" t="s">
        <v>292</v>
      </c>
      <c r="D786" s="43" t="s">
        <v>460</v>
      </c>
      <c r="E786" s="43" t="s">
        <v>478</v>
      </c>
      <c r="F786" s="43" t="s">
        <v>356</v>
      </c>
      <c r="G786" s="43" t="s">
        <v>296</v>
      </c>
      <c r="H786" s="43" t="s">
        <v>207</v>
      </c>
      <c r="I786" s="44">
        <v>45638</v>
      </c>
      <c r="J786" s="44">
        <v>45638</v>
      </c>
      <c r="K786" s="45">
        <v>0</v>
      </c>
      <c r="L786" s="45">
        <v>0</v>
      </c>
      <c r="M786" s="45">
        <v>0</v>
      </c>
      <c r="N786" s="45">
        <v>2</v>
      </c>
      <c r="O786" s="45">
        <v>107.9828</v>
      </c>
      <c r="P786" s="62">
        <f t="shared" si="13"/>
        <v>2</v>
      </c>
    </row>
    <row r="787" spans="1:16" x14ac:dyDescent="0.25">
      <c r="A787" s="43" t="s">
        <v>200</v>
      </c>
      <c r="B787" s="43" t="s">
        <v>291</v>
      </c>
      <c r="C787" s="43" t="s">
        <v>292</v>
      </c>
      <c r="D787" s="43" t="s">
        <v>460</v>
      </c>
      <c r="E787" s="43" t="s">
        <v>479</v>
      </c>
      <c r="F787" s="43" t="s">
        <v>356</v>
      </c>
      <c r="G787" s="43" t="s">
        <v>232</v>
      </c>
      <c r="H787" s="43" t="s">
        <v>218</v>
      </c>
      <c r="I787" s="44">
        <v>45638</v>
      </c>
      <c r="J787" s="44">
        <v>45638</v>
      </c>
      <c r="K787" s="45">
        <v>0</v>
      </c>
      <c r="L787" s="45">
        <v>0</v>
      </c>
      <c r="M787" s="45">
        <v>0</v>
      </c>
      <c r="N787" s="45">
        <v>6</v>
      </c>
      <c r="O787" s="45">
        <v>323.94839999999999</v>
      </c>
      <c r="P787" s="62">
        <f t="shared" si="13"/>
        <v>6</v>
      </c>
    </row>
    <row r="788" spans="1:16" x14ac:dyDescent="0.25">
      <c r="A788" s="43" t="s">
        <v>200</v>
      </c>
      <c r="B788" s="43" t="s">
        <v>291</v>
      </c>
      <c r="C788" s="43" t="s">
        <v>292</v>
      </c>
      <c r="D788" s="43" t="s">
        <v>460</v>
      </c>
      <c r="E788" s="43" t="s">
        <v>479</v>
      </c>
      <c r="F788" s="43" t="s">
        <v>356</v>
      </c>
      <c r="G788" s="43" t="s">
        <v>233</v>
      </c>
      <c r="H788" s="43" t="s">
        <v>218</v>
      </c>
      <c r="I788" s="44">
        <v>45638</v>
      </c>
      <c r="J788" s="44">
        <v>45638</v>
      </c>
      <c r="K788" s="45">
        <v>0</v>
      </c>
      <c r="L788" s="45">
        <v>0</v>
      </c>
      <c r="M788" s="45">
        <v>0</v>
      </c>
      <c r="N788" s="45">
        <v>6</v>
      </c>
      <c r="O788" s="45">
        <v>323.94839999999999</v>
      </c>
      <c r="P788" s="62">
        <f t="shared" si="13"/>
        <v>6</v>
      </c>
    </row>
    <row r="789" spans="1:16" x14ac:dyDescent="0.25">
      <c r="A789" s="43" t="s">
        <v>200</v>
      </c>
      <c r="B789" s="43" t="s">
        <v>291</v>
      </c>
      <c r="C789" s="43" t="s">
        <v>292</v>
      </c>
      <c r="D789" s="43" t="s">
        <v>460</v>
      </c>
      <c r="E789" s="43" t="s">
        <v>479</v>
      </c>
      <c r="F789" s="43" t="s">
        <v>356</v>
      </c>
      <c r="G789" s="43" t="s">
        <v>234</v>
      </c>
      <c r="H789" s="43" t="s">
        <v>218</v>
      </c>
      <c r="I789" s="44">
        <v>45638</v>
      </c>
      <c r="J789" s="44">
        <v>45638</v>
      </c>
      <c r="K789" s="45">
        <v>0</v>
      </c>
      <c r="L789" s="45">
        <v>0</v>
      </c>
      <c r="M789" s="45">
        <v>0</v>
      </c>
      <c r="N789" s="45">
        <v>4</v>
      </c>
      <c r="O789" s="45">
        <v>215.96559999999999</v>
      </c>
      <c r="P789" s="62">
        <f t="shared" si="13"/>
        <v>4</v>
      </c>
    </row>
    <row r="790" spans="1:16" x14ac:dyDescent="0.25">
      <c r="A790" s="43" t="s">
        <v>200</v>
      </c>
      <c r="B790" s="43" t="s">
        <v>291</v>
      </c>
      <c r="C790" s="43" t="s">
        <v>292</v>
      </c>
      <c r="D790" s="43" t="s">
        <v>460</v>
      </c>
      <c r="E790" s="43" t="s">
        <v>479</v>
      </c>
      <c r="F790" s="43" t="s">
        <v>356</v>
      </c>
      <c r="G790" s="43" t="s">
        <v>259</v>
      </c>
      <c r="H790" s="43" t="s">
        <v>218</v>
      </c>
      <c r="I790" s="44">
        <v>45638</v>
      </c>
      <c r="J790" s="44">
        <v>45638</v>
      </c>
      <c r="K790" s="45">
        <v>0</v>
      </c>
      <c r="L790" s="45">
        <v>0</v>
      </c>
      <c r="M790" s="45">
        <v>0</v>
      </c>
      <c r="N790" s="45">
        <v>2</v>
      </c>
      <c r="O790" s="45">
        <v>107.9828</v>
      </c>
      <c r="P790" s="62">
        <f t="shared" si="13"/>
        <v>2</v>
      </c>
    </row>
    <row r="791" spans="1:16" x14ac:dyDescent="0.25">
      <c r="A791" s="43" t="s">
        <v>200</v>
      </c>
      <c r="B791" s="43" t="s">
        <v>291</v>
      </c>
      <c r="C791" s="43" t="s">
        <v>292</v>
      </c>
      <c r="D791" s="43" t="s">
        <v>460</v>
      </c>
      <c r="E791" s="43" t="s">
        <v>479</v>
      </c>
      <c r="F791" s="43" t="s">
        <v>356</v>
      </c>
      <c r="G791" s="43" t="s">
        <v>296</v>
      </c>
      <c r="H791" s="43" t="s">
        <v>218</v>
      </c>
      <c r="I791" s="44">
        <v>45638</v>
      </c>
      <c r="J791" s="44">
        <v>45638</v>
      </c>
      <c r="K791" s="45">
        <v>0</v>
      </c>
      <c r="L791" s="45">
        <v>0</v>
      </c>
      <c r="M791" s="45">
        <v>0</v>
      </c>
      <c r="N791" s="45">
        <v>2</v>
      </c>
      <c r="O791" s="45">
        <v>107.9828</v>
      </c>
      <c r="P791" s="62">
        <f t="shared" si="13"/>
        <v>2</v>
      </c>
    </row>
    <row r="792" spans="1:16" x14ac:dyDescent="0.25">
      <c r="A792" s="43" t="s">
        <v>200</v>
      </c>
      <c r="B792" s="43" t="s">
        <v>291</v>
      </c>
      <c r="C792" s="43" t="s">
        <v>292</v>
      </c>
      <c r="D792" s="43" t="s">
        <v>480</v>
      </c>
      <c r="E792" s="43" t="s">
        <v>481</v>
      </c>
      <c r="F792" s="43" t="s">
        <v>480</v>
      </c>
      <c r="G792" s="43" t="s">
        <v>232</v>
      </c>
      <c r="H792" s="43" t="s">
        <v>207</v>
      </c>
      <c r="I792" s="44">
        <v>45633</v>
      </c>
      <c r="J792" s="44">
        <v>45633</v>
      </c>
      <c r="K792" s="45">
        <v>0</v>
      </c>
      <c r="L792" s="45">
        <v>0</v>
      </c>
      <c r="M792" s="45">
        <v>0</v>
      </c>
      <c r="N792" s="45">
        <v>4</v>
      </c>
      <c r="O792" s="45">
        <v>201.85120000000001</v>
      </c>
      <c r="P792" s="62">
        <f t="shared" si="13"/>
        <v>4</v>
      </c>
    </row>
    <row r="793" spans="1:16" x14ac:dyDescent="0.25">
      <c r="A793" s="43" t="s">
        <v>200</v>
      </c>
      <c r="B793" s="43" t="s">
        <v>291</v>
      </c>
      <c r="C793" s="43" t="s">
        <v>292</v>
      </c>
      <c r="D793" s="43" t="s">
        <v>480</v>
      </c>
      <c r="E793" s="43" t="s">
        <v>481</v>
      </c>
      <c r="F793" s="43" t="s">
        <v>480</v>
      </c>
      <c r="G793" s="43" t="s">
        <v>233</v>
      </c>
      <c r="H793" s="43" t="s">
        <v>207</v>
      </c>
      <c r="I793" s="44">
        <v>45633</v>
      </c>
      <c r="J793" s="44">
        <v>45633</v>
      </c>
      <c r="K793" s="45">
        <v>0</v>
      </c>
      <c r="L793" s="45">
        <v>0</v>
      </c>
      <c r="M793" s="45">
        <v>0</v>
      </c>
      <c r="N793" s="45">
        <v>5</v>
      </c>
      <c r="O793" s="45">
        <v>252.31399999999999</v>
      </c>
      <c r="P793" s="62">
        <f t="shared" si="13"/>
        <v>5</v>
      </c>
    </row>
    <row r="794" spans="1:16" x14ac:dyDescent="0.25">
      <c r="A794" s="43" t="s">
        <v>200</v>
      </c>
      <c r="B794" s="43" t="s">
        <v>291</v>
      </c>
      <c r="C794" s="43" t="s">
        <v>292</v>
      </c>
      <c r="D794" s="43" t="s">
        <v>480</v>
      </c>
      <c r="E794" s="43" t="s">
        <v>481</v>
      </c>
      <c r="F794" s="43" t="s">
        <v>480</v>
      </c>
      <c r="G794" s="43" t="s">
        <v>234</v>
      </c>
      <c r="H794" s="43" t="s">
        <v>207</v>
      </c>
      <c r="I794" s="44">
        <v>45633</v>
      </c>
      <c r="J794" s="44">
        <v>45633</v>
      </c>
      <c r="K794" s="45">
        <v>0</v>
      </c>
      <c r="L794" s="45">
        <v>0</v>
      </c>
      <c r="M794" s="45">
        <v>0</v>
      </c>
      <c r="N794" s="45">
        <v>4</v>
      </c>
      <c r="O794" s="45">
        <v>201.85120000000001</v>
      </c>
      <c r="P794" s="62">
        <f t="shared" si="13"/>
        <v>4</v>
      </c>
    </row>
    <row r="795" spans="1:16" x14ac:dyDescent="0.25">
      <c r="A795" s="43" t="s">
        <v>200</v>
      </c>
      <c r="B795" s="43" t="s">
        <v>291</v>
      </c>
      <c r="C795" s="43" t="s">
        <v>292</v>
      </c>
      <c r="D795" s="43" t="s">
        <v>480</v>
      </c>
      <c r="E795" s="43" t="s">
        <v>481</v>
      </c>
      <c r="F795" s="43" t="s">
        <v>480</v>
      </c>
      <c r="G795" s="43" t="s">
        <v>259</v>
      </c>
      <c r="H795" s="43" t="s">
        <v>207</v>
      </c>
      <c r="I795" s="44">
        <v>45633</v>
      </c>
      <c r="J795" s="44">
        <v>45633</v>
      </c>
      <c r="K795" s="45">
        <v>0</v>
      </c>
      <c r="L795" s="45">
        <v>0</v>
      </c>
      <c r="M795" s="45">
        <v>0</v>
      </c>
      <c r="N795" s="45">
        <v>2</v>
      </c>
      <c r="O795" s="45">
        <v>100.9256</v>
      </c>
      <c r="P795" s="62">
        <f t="shared" si="13"/>
        <v>2</v>
      </c>
    </row>
    <row r="796" spans="1:16" x14ac:dyDescent="0.25">
      <c r="A796" s="43" t="s">
        <v>200</v>
      </c>
      <c r="B796" s="43" t="s">
        <v>291</v>
      </c>
      <c r="C796" s="43" t="s">
        <v>292</v>
      </c>
      <c r="D796" s="43" t="s">
        <v>480</v>
      </c>
      <c r="E796" s="43" t="s">
        <v>481</v>
      </c>
      <c r="F796" s="43" t="s">
        <v>480</v>
      </c>
      <c r="G796" s="43" t="s">
        <v>296</v>
      </c>
      <c r="H796" s="43" t="s">
        <v>207</v>
      </c>
      <c r="I796" s="44">
        <v>45633</v>
      </c>
      <c r="J796" s="44">
        <v>45633</v>
      </c>
      <c r="K796" s="45">
        <v>0</v>
      </c>
      <c r="L796" s="45">
        <v>0</v>
      </c>
      <c r="M796" s="45">
        <v>0</v>
      </c>
      <c r="N796" s="45">
        <v>2</v>
      </c>
      <c r="O796" s="45">
        <v>100.9256</v>
      </c>
      <c r="P796" s="62">
        <f t="shared" si="13"/>
        <v>2</v>
      </c>
    </row>
    <row r="797" spans="1:16" x14ac:dyDescent="0.25">
      <c r="A797" s="43" t="s">
        <v>200</v>
      </c>
      <c r="B797" s="43" t="s">
        <v>291</v>
      </c>
      <c r="C797" s="43" t="s">
        <v>292</v>
      </c>
      <c r="D797" s="43" t="s">
        <v>480</v>
      </c>
      <c r="E797" s="43" t="s">
        <v>482</v>
      </c>
      <c r="F797" s="43" t="s">
        <v>480</v>
      </c>
      <c r="G797" s="43" t="s">
        <v>232</v>
      </c>
      <c r="H797" s="43" t="s">
        <v>207</v>
      </c>
      <c r="I797" s="44">
        <v>45432</v>
      </c>
      <c r="J797" s="44">
        <v>45633</v>
      </c>
      <c r="K797" s="45">
        <v>0</v>
      </c>
      <c r="L797" s="45">
        <v>0</v>
      </c>
      <c r="M797" s="45">
        <v>0</v>
      </c>
      <c r="N797" s="45">
        <v>4</v>
      </c>
      <c r="O797" s="45">
        <v>208.9932</v>
      </c>
      <c r="P797" s="62">
        <f t="shared" si="13"/>
        <v>4</v>
      </c>
    </row>
    <row r="798" spans="1:16" x14ac:dyDescent="0.25">
      <c r="A798" s="43" t="s">
        <v>200</v>
      </c>
      <c r="B798" s="43" t="s">
        <v>291</v>
      </c>
      <c r="C798" s="43" t="s">
        <v>292</v>
      </c>
      <c r="D798" s="43" t="s">
        <v>480</v>
      </c>
      <c r="E798" s="43" t="s">
        <v>482</v>
      </c>
      <c r="F798" s="43" t="s">
        <v>480</v>
      </c>
      <c r="G798" s="43" t="s">
        <v>233</v>
      </c>
      <c r="H798" s="43" t="s">
        <v>207</v>
      </c>
      <c r="I798" s="44">
        <v>45432</v>
      </c>
      <c r="J798" s="44">
        <v>45633</v>
      </c>
      <c r="K798" s="45">
        <v>0</v>
      </c>
      <c r="L798" s="45">
        <v>0</v>
      </c>
      <c r="M798" s="45">
        <v>0</v>
      </c>
      <c r="N798" s="45">
        <v>5</v>
      </c>
      <c r="O798" s="45">
        <v>261.24149999999997</v>
      </c>
      <c r="P798" s="62">
        <f t="shared" si="13"/>
        <v>5</v>
      </c>
    </row>
    <row r="799" spans="1:16" x14ac:dyDescent="0.25">
      <c r="A799" s="43" t="s">
        <v>200</v>
      </c>
      <c r="B799" s="43" t="s">
        <v>291</v>
      </c>
      <c r="C799" s="43" t="s">
        <v>292</v>
      </c>
      <c r="D799" s="43" t="s">
        <v>480</v>
      </c>
      <c r="E799" s="43" t="s">
        <v>482</v>
      </c>
      <c r="F799" s="43" t="s">
        <v>480</v>
      </c>
      <c r="G799" s="43" t="s">
        <v>234</v>
      </c>
      <c r="H799" s="43" t="s">
        <v>207</v>
      </c>
      <c r="I799" s="44">
        <v>45432</v>
      </c>
      <c r="J799" s="44">
        <v>45633</v>
      </c>
      <c r="K799" s="45">
        <v>0</v>
      </c>
      <c r="L799" s="45">
        <v>0</v>
      </c>
      <c r="M799" s="45">
        <v>0</v>
      </c>
      <c r="N799" s="45">
        <v>4</v>
      </c>
      <c r="O799" s="45">
        <v>208.9932</v>
      </c>
      <c r="P799" s="62">
        <f t="shared" si="13"/>
        <v>4</v>
      </c>
    </row>
    <row r="800" spans="1:16" x14ac:dyDescent="0.25">
      <c r="A800" s="43" t="s">
        <v>200</v>
      </c>
      <c r="B800" s="43" t="s">
        <v>291</v>
      </c>
      <c r="C800" s="43" t="s">
        <v>292</v>
      </c>
      <c r="D800" s="43" t="s">
        <v>480</v>
      </c>
      <c r="E800" s="43" t="s">
        <v>482</v>
      </c>
      <c r="F800" s="43" t="s">
        <v>480</v>
      </c>
      <c r="G800" s="43" t="s">
        <v>259</v>
      </c>
      <c r="H800" s="43" t="s">
        <v>207</v>
      </c>
      <c r="I800" s="44">
        <v>45432</v>
      </c>
      <c r="J800" s="44">
        <v>45633</v>
      </c>
      <c r="K800" s="45">
        <v>0</v>
      </c>
      <c r="L800" s="45">
        <v>0</v>
      </c>
      <c r="M800" s="45">
        <v>0</v>
      </c>
      <c r="N800" s="45">
        <v>1</v>
      </c>
      <c r="O800" s="45">
        <v>52.2483</v>
      </c>
      <c r="P800" s="62">
        <f t="shared" si="13"/>
        <v>1</v>
      </c>
    </row>
    <row r="801" spans="1:16" x14ac:dyDescent="0.25">
      <c r="A801" s="43" t="s">
        <v>200</v>
      </c>
      <c r="B801" s="43" t="s">
        <v>291</v>
      </c>
      <c r="C801" s="43" t="s">
        <v>292</v>
      </c>
      <c r="D801" s="43" t="s">
        <v>480</v>
      </c>
      <c r="E801" s="43" t="s">
        <v>482</v>
      </c>
      <c r="F801" s="43" t="s">
        <v>480</v>
      </c>
      <c r="G801" s="43" t="s">
        <v>296</v>
      </c>
      <c r="H801" s="43" t="s">
        <v>207</v>
      </c>
      <c r="I801" s="44">
        <v>45432</v>
      </c>
      <c r="J801" s="44">
        <v>45633</v>
      </c>
      <c r="K801" s="45">
        <v>0</v>
      </c>
      <c r="L801" s="45">
        <v>0</v>
      </c>
      <c r="M801" s="45">
        <v>0</v>
      </c>
      <c r="N801" s="45">
        <v>2</v>
      </c>
      <c r="O801" s="45">
        <v>104.4966</v>
      </c>
      <c r="P801" s="62">
        <f t="shared" si="13"/>
        <v>2</v>
      </c>
    </row>
    <row r="802" spans="1:16" x14ac:dyDescent="0.25">
      <c r="A802" s="43" t="s">
        <v>200</v>
      </c>
      <c r="B802" s="43" t="s">
        <v>291</v>
      </c>
      <c r="C802" s="43" t="s">
        <v>265</v>
      </c>
      <c r="D802" s="43" t="s">
        <v>293</v>
      </c>
      <c r="E802" s="43" t="s">
        <v>483</v>
      </c>
      <c r="F802" s="43" t="s">
        <v>484</v>
      </c>
      <c r="G802" s="43" t="s">
        <v>232</v>
      </c>
      <c r="H802" s="43" t="s">
        <v>207</v>
      </c>
      <c r="I802" s="44">
        <v>45633</v>
      </c>
      <c r="J802" s="44">
        <v>45645</v>
      </c>
      <c r="K802" s="45">
        <v>0</v>
      </c>
      <c r="L802" s="45">
        <v>0</v>
      </c>
      <c r="M802" s="45">
        <v>0</v>
      </c>
      <c r="N802" s="45">
        <v>5</v>
      </c>
      <c r="O802" s="45">
        <v>180.042</v>
      </c>
      <c r="P802" s="62">
        <f t="shared" si="13"/>
        <v>5</v>
      </c>
    </row>
    <row r="803" spans="1:16" x14ac:dyDescent="0.25">
      <c r="A803" s="43" t="s">
        <v>200</v>
      </c>
      <c r="B803" s="43" t="s">
        <v>291</v>
      </c>
      <c r="C803" s="43" t="s">
        <v>265</v>
      </c>
      <c r="D803" s="43" t="s">
        <v>293</v>
      </c>
      <c r="E803" s="43" t="s">
        <v>483</v>
      </c>
      <c r="F803" s="43" t="s">
        <v>484</v>
      </c>
      <c r="G803" s="43" t="s">
        <v>233</v>
      </c>
      <c r="H803" s="43" t="s">
        <v>207</v>
      </c>
      <c r="I803" s="44">
        <v>45633</v>
      </c>
      <c r="J803" s="44">
        <v>45643</v>
      </c>
      <c r="K803" s="45">
        <v>1</v>
      </c>
      <c r="L803" s="45">
        <v>36.014499999999998</v>
      </c>
      <c r="M803" s="45">
        <v>103.81</v>
      </c>
      <c r="N803" s="45">
        <v>4</v>
      </c>
      <c r="O803" s="45">
        <v>144.05799999999999</v>
      </c>
      <c r="P803" s="62">
        <f t="shared" si="13"/>
        <v>5</v>
      </c>
    </row>
    <row r="804" spans="1:16" x14ac:dyDescent="0.25">
      <c r="A804" s="43" t="s">
        <v>200</v>
      </c>
      <c r="B804" s="43" t="s">
        <v>291</v>
      </c>
      <c r="C804" s="43" t="s">
        <v>265</v>
      </c>
      <c r="D804" s="43" t="s">
        <v>293</v>
      </c>
      <c r="E804" s="43" t="s">
        <v>483</v>
      </c>
      <c r="F804" s="43" t="s">
        <v>484</v>
      </c>
      <c r="G804" s="43" t="s">
        <v>234</v>
      </c>
      <c r="H804" s="43" t="s">
        <v>207</v>
      </c>
      <c r="I804" s="44">
        <v>45633</v>
      </c>
      <c r="J804" s="44">
        <v>45647</v>
      </c>
      <c r="K804" s="45">
        <v>1</v>
      </c>
      <c r="L804" s="45">
        <v>36.023000000000003</v>
      </c>
      <c r="M804" s="45">
        <v>93.43</v>
      </c>
      <c r="N804" s="45">
        <v>4</v>
      </c>
      <c r="O804" s="45">
        <v>144.09200000000001</v>
      </c>
      <c r="P804" s="62">
        <f t="shared" si="13"/>
        <v>5</v>
      </c>
    </row>
    <row r="805" spans="1:16" x14ac:dyDescent="0.25">
      <c r="A805" s="43" t="s">
        <v>200</v>
      </c>
      <c r="B805" s="43" t="s">
        <v>291</v>
      </c>
      <c r="C805" s="43" t="s">
        <v>265</v>
      </c>
      <c r="D805" s="43" t="s">
        <v>293</v>
      </c>
      <c r="E805" s="43" t="s">
        <v>483</v>
      </c>
      <c r="F805" s="43" t="s">
        <v>484</v>
      </c>
      <c r="G805" s="43" t="s">
        <v>259</v>
      </c>
      <c r="H805" s="43" t="s">
        <v>207</v>
      </c>
      <c r="I805" s="44">
        <v>45633</v>
      </c>
      <c r="J805" s="44">
        <v>45633</v>
      </c>
      <c r="K805" s="45">
        <v>0</v>
      </c>
      <c r="L805" s="45">
        <v>0</v>
      </c>
      <c r="M805" s="45">
        <v>0</v>
      </c>
      <c r="N805" s="45">
        <v>3</v>
      </c>
      <c r="O805" s="45">
        <v>108.1185</v>
      </c>
      <c r="P805" s="62">
        <f t="shared" si="13"/>
        <v>3</v>
      </c>
    </row>
    <row r="806" spans="1:16" x14ac:dyDescent="0.25">
      <c r="A806" s="43" t="s">
        <v>200</v>
      </c>
      <c r="B806" s="43" t="s">
        <v>291</v>
      </c>
      <c r="C806" s="43" t="s">
        <v>265</v>
      </c>
      <c r="D806" s="43" t="s">
        <v>293</v>
      </c>
      <c r="E806" s="43" t="s">
        <v>483</v>
      </c>
      <c r="F806" s="43" t="s">
        <v>484</v>
      </c>
      <c r="G806" s="43" t="s">
        <v>296</v>
      </c>
      <c r="H806" s="43" t="s">
        <v>207</v>
      </c>
      <c r="I806" s="44">
        <v>45633</v>
      </c>
      <c r="J806" s="44">
        <v>45645</v>
      </c>
      <c r="K806" s="45">
        <v>4</v>
      </c>
      <c r="L806" s="45">
        <v>144.10759999999999</v>
      </c>
      <c r="M806" s="45">
        <v>384.1</v>
      </c>
      <c r="N806" s="45">
        <v>2</v>
      </c>
      <c r="O806" s="45">
        <v>72.053799999999995</v>
      </c>
      <c r="P806" s="62">
        <f t="shared" si="13"/>
        <v>6</v>
      </c>
    </row>
    <row r="807" spans="1:16" x14ac:dyDescent="0.25">
      <c r="A807" s="43" t="s">
        <v>200</v>
      </c>
      <c r="B807" s="43" t="s">
        <v>291</v>
      </c>
      <c r="C807" s="43" t="s">
        <v>265</v>
      </c>
      <c r="D807" s="43" t="s">
        <v>293</v>
      </c>
      <c r="E807" s="43" t="s">
        <v>485</v>
      </c>
      <c r="F807" s="43" t="s">
        <v>484</v>
      </c>
      <c r="G807" s="43" t="s">
        <v>234</v>
      </c>
      <c r="H807" s="43" t="s">
        <v>207</v>
      </c>
      <c r="I807" s="44">
        <v>45621</v>
      </c>
      <c r="J807" s="44">
        <v>45621</v>
      </c>
      <c r="K807" s="45">
        <v>0</v>
      </c>
      <c r="L807" s="45">
        <v>0</v>
      </c>
      <c r="M807" s="45">
        <v>0</v>
      </c>
      <c r="N807" s="45">
        <v>2</v>
      </c>
      <c r="O807" s="45">
        <v>72.101799999999997</v>
      </c>
      <c r="P807" s="62">
        <f t="shared" si="13"/>
        <v>2</v>
      </c>
    </row>
    <row r="808" spans="1:16" x14ac:dyDescent="0.25">
      <c r="A808" s="43" t="s">
        <v>200</v>
      </c>
      <c r="B808" s="43" t="s">
        <v>291</v>
      </c>
      <c r="C808" s="43" t="s">
        <v>265</v>
      </c>
      <c r="D808" s="43" t="s">
        <v>293</v>
      </c>
      <c r="E808" s="43" t="s">
        <v>486</v>
      </c>
      <c r="F808" s="43" t="s">
        <v>484</v>
      </c>
      <c r="G808" s="43" t="s">
        <v>232</v>
      </c>
      <c r="H808" s="43" t="s">
        <v>207</v>
      </c>
      <c r="I808" s="44">
        <v>45633</v>
      </c>
      <c r="J808" s="44">
        <v>45633</v>
      </c>
      <c r="K808" s="45">
        <v>0</v>
      </c>
      <c r="L808" s="45">
        <v>0</v>
      </c>
      <c r="M808" s="45">
        <v>0</v>
      </c>
      <c r="N808" s="45">
        <v>5</v>
      </c>
      <c r="O808" s="45">
        <v>180.06800000000001</v>
      </c>
      <c r="P808" s="62">
        <f t="shared" si="13"/>
        <v>5</v>
      </c>
    </row>
    <row r="809" spans="1:16" x14ac:dyDescent="0.25">
      <c r="A809" s="43" t="s">
        <v>200</v>
      </c>
      <c r="B809" s="43" t="s">
        <v>291</v>
      </c>
      <c r="C809" s="43" t="s">
        <v>265</v>
      </c>
      <c r="D809" s="43" t="s">
        <v>293</v>
      </c>
      <c r="E809" s="43" t="s">
        <v>486</v>
      </c>
      <c r="F809" s="43" t="s">
        <v>484</v>
      </c>
      <c r="G809" s="43" t="s">
        <v>233</v>
      </c>
      <c r="H809" s="43" t="s">
        <v>207</v>
      </c>
      <c r="I809" s="44">
        <v>45633</v>
      </c>
      <c r="J809" s="44">
        <v>45640</v>
      </c>
      <c r="K809" s="45">
        <v>1</v>
      </c>
      <c r="L809" s="45">
        <v>36.013399999999997</v>
      </c>
      <c r="M809" s="45">
        <v>93.43</v>
      </c>
      <c r="N809" s="45">
        <v>5</v>
      </c>
      <c r="O809" s="45">
        <v>180.06700000000001</v>
      </c>
      <c r="P809" s="62">
        <f t="shared" si="13"/>
        <v>6</v>
      </c>
    </row>
    <row r="810" spans="1:16" x14ac:dyDescent="0.25">
      <c r="A810" s="43" t="s">
        <v>200</v>
      </c>
      <c r="B810" s="43" t="s">
        <v>291</v>
      </c>
      <c r="C810" s="43" t="s">
        <v>265</v>
      </c>
      <c r="D810" s="43" t="s">
        <v>293</v>
      </c>
      <c r="E810" s="43" t="s">
        <v>486</v>
      </c>
      <c r="F810" s="43" t="s">
        <v>484</v>
      </c>
      <c r="G810" s="43" t="s">
        <v>234</v>
      </c>
      <c r="H810" s="43" t="s">
        <v>207</v>
      </c>
      <c r="I810" s="44">
        <v>45633</v>
      </c>
      <c r="J810" s="44">
        <v>45647</v>
      </c>
      <c r="K810" s="45">
        <v>3</v>
      </c>
      <c r="L810" s="45">
        <v>108.0561</v>
      </c>
      <c r="M810" s="45">
        <v>280.29000000000002</v>
      </c>
      <c r="N810" s="45">
        <v>3</v>
      </c>
      <c r="O810" s="45">
        <v>108.0561</v>
      </c>
      <c r="P810" s="62">
        <f t="shared" si="13"/>
        <v>6</v>
      </c>
    </row>
    <row r="811" spans="1:16" x14ac:dyDescent="0.25">
      <c r="A811" s="43" t="s">
        <v>200</v>
      </c>
      <c r="B811" s="43" t="s">
        <v>291</v>
      </c>
      <c r="C811" s="43" t="s">
        <v>265</v>
      </c>
      <c r="D811" s="43" t="s">
        <v>293</v>
      </c>
      <c r="E811" s="43" t="s">
        <v>486</v>
      </c>
      <c r="F811" s="43" t="s">
        <v>484</v>
      </c>
      <c r="G811" s="43" t="s">
        <v>296</v>
      </c>
      <c r="H811" s="43" t="s">
        <v>207</v>
      </c>
      <c r="I811" s="44">
        <v>45633</v>
      </c>
      <c r="J811" s="44">
        <v>45637</v>
      </c>
      <c r="K811" s="45">
        <v>3</v>
      </c>
      <c r="L811" s="45">
        <v>108.0252</v>
      </c>
      <c r="M811" s="45">
        <v>280.29000000000002</v>
      </c>
      <c r="N811" s="45">
        <v>2</v>
      </c>
      <c r="O811" s="45">
        <v>72.016800000000003</v>
      </c>
      <c r="P811" s="62">
        <f t="shared" si="13"/>
        <v>5</v>
      </c>
    </row>
    <row r="812" spans="1:16" x14ac:dyDescent="0.25">
      <c r="A812" s="43" t="s">
        <v>200</v>
      </c>
      <c r="B812" s="43" t="s">
        <v>291</v>
      </c>
      <c r="C812" s="43" t="s">
        <v>265</v>
      </c>
      <c r="D812" s="43" t="s">
        <v>293</v>
      </c>
      <c r="E812" s="43" t="s">
        <v>487</v>
      </c>
      <c r="F812" s="43" t="s">
        <v>488</v>
      </c>
      <c r="G812" s="43" t="s">
        <v>232</v>
      </c>
      <c r="H812" s="43" t="s">
        <v>218</v>
      </c>
      <c r="I812" s="44">
        <v>45638</v>
      </c>
      <c r="J812" s="44">
        <v>45638</v>
      </c>
      <c r="K812" s="45">
        <v>0</v>
      </c>
      <c r="L812" s="45">
        <v>0</v>
      </c>
      <c r="M812" s="45">
        <v>0</v>
      </c>
      <c r="N812" s="45">
        <v>5</v>
      </c>
      <c r="O812" s="45">
        <v>315.233</v>
      </c>
      <c r="P812" s="62">
        <f t="shared" si="13"/>
        <v>5</v>
      </c>
    </row>
    <row r="813" spans="1:16" x14ac:dyDescent="0.25">
      <c r="A813" s="43" t="s">
        <v>200</v>
      </c>
      <c r="B813" s="43" t="s">
        <v>291</v>
      </c>
      <c r="C813" s="43" t="s">
        <v>265</v>
      </c>
      <c r="D813" s="43" t="s">
        <v>293</v>
      </c>
      <c r="E813" s="43" t="s">
        <v>487</v>
      </c>
      <c r="F813" s="43" t="s">
        <v>488</v>
      </c>
      <c r="G813" s="43" t="s">
        <v>233</v>
      </c>
      <c r="H813" s="43" t="s">
        <v>218</v>
      </c>
      <c r="I813" s="44">
        <v>45638</v>
      </c>
      <c r="J813" s="44">
        <v>45646</v>
      </c>
      <c r="K813" s="45">
        <v>0</v>
      </c>
      <c r="L813" s="45">
        <v>0</v>
      </c>
      <c r="M813" s="45">
        <v>0</v>
      </c>
      <c r="N813" s="45">
        <v>5</v>
      </c>
      <c r="O813" s="45">
        <v>315.33</v>
      </c>
      <c r="P813" s="62">
        <f t="shared" si="13"/>
        <v>5</v>
      </c>
    </row>
    <row r="814" spans="1:16" x14ac:dyDescent="0.25">
      <c r="A814" s="43" t="s">
        <v>200</v>
      </c>
      <c r="B814" s="43" t="s">
        <v>291</v>
      </c>
      <c r="C814" s="43" t="s">
        <v>265</v>
      </c>
      <c r="D814" s="43" t="s">
        <v>293</v>
      </c>
      <c r="E814" s="43" t="s">
        <v>487</v>
      </c>
      <c r="F814" s="43" t="s">
        <v>488</v>
      </c>
      <c r="G814" s="43" t="s">
        <v>234</v>
      </c>
      <c r="H814" s="43" t="s">
        <v>218</v>
      </c>
      <c r="I814" s="44">
        <v>45638</v>
      </c>
      <c r="J814" s="44">
        <v>45645</v>
      </c>
      <c r="K814" s="45">
        <v>0</v>
      </c>
      <c r="L814" s="45">
        <v>0</v>
      </c>
      <c r="M814" s="45">
        <v>0</v>
      </c>
      <c r="N814" s="45">
        <v>4</v>
      </c>
      <c r="O814" s="45">
        <v>252.18639999999999</v>
      </c>
      <c r="P814" s="62">
        <f t="shared" si="13"/>
        <v>4</v>
      </c>
    </row>
    <row r="815" spans="1:16" x14ac:dyDescent="0.25">
      <c r="A815" s="43" t="s">
        <v>200</v>
      </c>
      <c r="B815" s="43" t="s">
        <v>291</v>
      </c>
      <c r="C815" s="43" t="s">
        <v>265</v>
      </c>
      <c r="D815" s="43" t="s">
        <v>293</v>
      </c>
      <c r="E815" s="43" t="s">
        <v>487</v>
      </c>
      <c r="F815" s="43" t="s">
        <v>488</v>
      </c>
      <c r="G815" s="43" t="s">
        <v>296</v>
      </c>
      <c r="H815" s="43" t="s">
        <v>218</v>
      </c>
      <c r="I815" s="44">
        <v>45638</v>
      </c>
      <c r="J815" s="44">
        <v>45647</v>
      </c>
      <c r="K815" s="45">
        <v>0</v>
      </c>
      <c r="L815" s="45">
        <v>0</v>
      </c>
      <c r="M815" s="45">
        <v>0</v>
      </c>
      <c r="N815" s="45">
        <v>3</v>
      </c>
      <c r="O815" s="45">
        <v>189.13980000000001</v>
      </c>
      <c r="P815" s="62">
        <f t="shared" si="13"/>
        <v>3</v>
      </c>
    </row>
    <row r="816" spans="1:16" x14ac:dyDescent="0.25">
      <c r="A816" s="43" t="s">
        <v>200</v>
      </c>
      <c r="B816" s="43" t="s">
        <v>291</v>
      </c>
      <c r="C816" s="43" t="s">
        <v>265</v>
      </c>
      <c r="D816" s="43" t="s">
        <v>293</v>
      </c>
      <c r="E816" s="43" t="s">
        <v>489</v>
      </c>
      <c r="F816" s="43" t="s">
        <v>488</v>
      </c>
      <c r="G816" s="43" t="s">
        <v>232</v>
      </c>
      <c r="H816" s="43" t="s">
        <v>218</v>
      </c>
      <c r="I816" s="44">
        <v>45638</v>
      </c>
      <c r="J816" s="44">
        <v>45645</v>
      </c>
      <c r="K816" s="45">
        <v>0</v>
      </c>
      <c r="L816" s="45">
        <v>0</v>
      </c>
      <c r="M816" s="45">
        <v>0</v>
      </c>
      <c r="N816" s="45">
        <v>3</v>
      </c>
      <c r="O816" s="45">
        <v>189.13980000000001</v>
      </c>
      <c r="P816" s="62">
        <f t="shared" si="13"/>
        <v>3</v>
      </c>
    </row>
    <row r="817" spans="1:16" x14ac:dyDescent="0.25">
      <c r="A817" s="43" t="s">
        <v>200</v>
      </c>
      <c r="B817" s="43" t="s">
        <v>291</v>
      </c>
      <c r="C817" s="43" t="s">
        <v>265</v>
      </c>
      <c r="D817" s="43" t="s">
        <v>293</v>
      </c>
      <c r="E817" s="43" t="s">
        <v>489</v>
      </c>
      <c r="F817" s="43" t="s">
        <v>488</v>
      </c>
      <c r="G817" s="43" t="s">
        <v>233</v>
      </c>
      <c r="H817" s="43" t="s">
        <v>218</v>
      </c>
      <c r="I817" s="44">
        <v>45638</v>
      </c>
      <c r="J817" s="44">
        <v>45647</v>
      </c>
      <c r="K817" s="45">
        <v>0</v>
      </c>
      <c r="L817" s="45">
        <v>0</v>
      </c>
      <c r="M817" s="45">
        <v>0</v>
      </c>
      <c r="N817" s="45">
        <v>5</v>
      </c>
      <c r="O817" s="45">
        <v>315.233</v>
      </c>
      <c r="P817" s="62">
        <f t="shared" si="13"/>
        <v>5</v>
      </c>
    </row>
    <row r="818" spans="1:16" x14ac:dyDescent="0.25">
      <c r="A818" s="43" t="s">
        <v>200</v>
      </c>
      <c r="B818" s="43" t="s">
        <v>291</v>
      </c>
      <c r="C818" s="43" t="s">
        <v>265</v>
      </c>
      <c r="D818" s="43" t="s">
        <v>293</v>
      </c>
      <c r="E818" s="43" t="s">
        <v>489</v>
      </c>
      <c r="F818" s="43" t="s">
        <v>488</v>
      </c>
      <c r="G818" s="43" t="s">
        <v>234</v>
      </c>
      <c r="H818" s="43" t="s">
        <v>218</v>
      </c>
      <c r="I818" s="44">
        <v>45638</v>
      </c>
      <c r="J818" s="44">
        <v>45646</v>
      </c>
      <c r="K818" s="45">
        <v>0</v>
      </c>
      <c r="L818" s="45">
        <v>0</v>
      </c>
      <c r="M818" s="45">
        <v>0</v>
      </c>
      <c r="N818" s="45">
        <v>4</v>
      </c>
      <c r="O818" s="45">
        <v>252.18639999999999</v>
      </c>
      <c r="P818" s="62">
        <f t="shared" si="13"/>
        <v>4</v>
      </c>
    </row>
    <row r="819" spans="1:16" x14ac:dyDescent="0.25">
      <c r="A819" s="43" t="s">
        <v>200</v>
      </c>
      <c r="B819" s="43" t="s">
        <v>291</v>
      </c>
      <c r="C819" s="43" t="s">
        <v>265</v>
      </c>
      <c r="D819" s="43" t="s">
        <v>293</v>
      </c>
      <c r="E819" s="43" t="s">
        <v>489</v>
      </c>
      <c r="F819" s="43" t="s">
        <v>488</v>
      </c>
      <c r="G819" s="43" t="s">
        <v>296</v>
      </c>
      <c r="H819" s="43" t="s">
        <v>218</v>
      </c>
      <c r="I819" s="44">
        <v>45638</v>
      </c>
      <c r="J819" s="44">
        <v>45645</v>
      </c>
      <c r="K819" s="45">
        <v>0</v>
      </c>
      <c r="L819" s="45">
        <v>0</v>
      </c>
      <c r="M819" s="45">
        <v>0</v>
      </c>
      <c r="N819" s="45">
        <v>3</v>
      </c>
      <c r="O819" s="45">
        <v>189.13980000000001</v>
      </c>
      <c r="P819" s="62">
        <f t="shared" si="13"/>
        <v>3</v>
      </c>
    </row>
    <row r="820" spans="1:16" x14ac:dyDescent="0.25">
      <c r="A820" s="43" t="s">
        <v>200</v>
      </c>
      <c r="B820" s="43" t="s">
        <v>291</v>
      </c>
      <c r="C820" s="43" t="s">
        <v>265</v>
      </c>
      <c r="D820" s="43" t="s">
        <v>293</v>
      </c>
      <c r="E820" s="43" t="s">
        <v>490</v>
      </c>
      <c r="F820" s="43" t="s">
        <v>491</v>
      </c>
      <c r="G820" s="43" t="s">
        <v>232</v>
      </c>
      <c r="H820" s="43" t="s">
        <v>218</v>
      </c>
      <c r="I820" s="44">
        <v>45633</v>
      </c>
      <c r="J820" s="44">
        <v>45647</v>
      </c>
      <c r="K820" s="45">
        <v>0</v>
      </c>
      <c r="L820" s="45">
        <v>0</v>
      </c>
      <c r="M820" s="45">
        <v>0</v>
      </c>
      <c r="N820" s="45">
        <v>5</v>
      </c>
      <c r="O820" s="45">
        <v>269.95699999999999</v>
      </c>
      <c r="P820" s="62">
        <f t="shared" si="13"/>
        <v>5</v>
      </c>
    </row>
    <row r="821" spans="1:16" x14ac:dyDescent="0.25">
      <c r="A821" s="43" t="s">
        <v>200</v>
      </c>
      <c r="B821" s="43" t="s">
        <v>291</v>
      </c>
      <c r="C821" s="43" t="s">
        <v>265</v>
      </c>
      <c r="D821" s="43" t="s">
        <v>293</v>
      </c>
      <c r="E821" s="43" t="s">
        <v>490</v>
      </c>
      <c r="F821" s="43" t="s">
        <v>491</v>
      </c>
      <c r="G821" s="43" t="s">
        <v>233</v>
      </c>
      <c r="H821" s="43" t="s">
        <v>218</v>
      </c>
      <c r="I821" s="44">
        <v>45633</v>
      </c>
      <c r="J821" s="44">
        <v>45633</v>
      </c>
      <c r="K821" s="45">
        <v>0</v>
      </c>
      <c r="L821" s="45">
        <v>0</v>
      </c>
      <c r="M821" s="45">
        <v>0</v>
      </c>
      <c r="N821" s="45">
        <v>5</v>
      </c>
      <c r="O821" s="45">
        <v>269.95699999999999</v>
      </c>
      <c r="P821" s="62">
        <f t="shared" si="13"/>
        <v>5</v>
      </c>
    </row>
    <row r="822" spans="1:16" x14ac:dyDescent="0.25">
      <c r="A822" s="43" t="s">
        <v>200</v>
      </c>
      <c r="B822" s="43" t="s">
        <v>291</v>
      </c>
      <c r="C822" s="43" t="s">
        <v>265</v>
      </c>
      <c r="D822" s="43" t="s">
        <v>293</v>
      </c>
      <c r="E822" s="43" t="s">
        <v>490</v>
      </c>
      <c r="F822" s="43" t="s">
        <v>491</v>
      </c>
      <c r="G822" s="43" t="s">
        <v>234</v>
      </c>
      <c r="H822" s="43" t="s">
        <v>218</v>
      </c>
      <c r="I822" s="44">
        <v>45633</v>
      </c>
      <c r="J822" s="44">
        <v>45647</v>
      </c>
      <c r="K822" s="45">
        <v>1</v>
      </c>
      <c r="L822" s="45">
        <v>53.991399999999999</v>
      </c>
      <c r="M822" s="45">
        <v>144.85</v>
      </c>
      <c r="N822" s="45">
        <v>4</v>
      </c>
      <c r="O822" s="45">
        <v>215.96559999999999</v>
      </c>
      <c r="P822" s="62">
        <f t="shared" si="13"/>
        <v>5</v>
      </c>
    </row>
    <row r="823" spans="1:16" x14ac:dyDescent="0.25">
      <c r="A823" s="43" t="s">
        <v>200</v>
      </c>
      <c r="B823" s="43" t="s">
        <v>291</v>
      </c>
      <c r="C823" s="43" t="s">
        <v>265</v>
      </c>
      <c r="D823" s="43" t="s">
        <v>293</v>
      </c>
      <c r="E823" s="43" t="s">
        <v>490</v>
      </c>
      <c r="F823" s="43" t="s">
        <v>491</v>
      </c>
      <c r="G823" s="43" t="s">
        <v>296</v>
      </c>
      <c r="H823" s="43" t="s">
        <v>218</v>
      </c>
      <c r="I823" s="44">
        <v>45633</v>
      </c>
      <c r="J823" s="44">
        <v>45633</v>
      </c>
      <c r="K823" s="45">
        <v>2</v>
      </c>
      <c r="L823" s="45">
        <v>107.9828</v>
      </c>
      <c r="M823" s="45">
        <v>289.72000000000003</v>
      </c>
      <c r="N823" s="45">
        <v>0</v>
      </c>
      <c r="O823" s="45">
        <v>0</v>
      </c>
      <c r="P823" s="62">
        <f t="shared" si="13"/>
        <v>2</v>
      </c>
    </row>
    <row r="824" spans="1:16" x14ac:dyDescent="0.25">
      <c r="A824" s="43" t="s">
        <v>200</v>
      </c>
      <c r="B824" s="43" t="s">
        <v>291</v>
      </c>
      <c r="C824" s="43" t="s">
        <v>265</v>
      </c>
      <c r="D824" s="43" t="s">
        <v>293</v>
      </c>
      <c r="E824" s="43" t="s">
        <v>492</v>
      </c>
      <c r="F824" s="43" t="s">
        <v>493</v>
      </c>
      <c r="G824" s="43" t="s">
        <v>232</v>
      </c>
      <c r="H824" s="43" t="s">
        <v>218</v>
      </c>
      <c r="I824" s="44">
        <v>45625</v>
      </c>
      <c r="J824" s="44">
        <v>45625</v>
      </c>
      <c r="K824" s="45">
        <v>0</v>
      </c>
      <c r="L824" s="45">
        <v>0</v>
      </c>
      <c r="M824" s="45">
        <v>0</v>
      </c>
      <c r="N824" s="45">
        <v>5</v>
      </c>
      <c r="O824" s="45">
        <v>269.95699999999999</v>
      </c>
      <c r="P824" s="62">
        <f t="shared" si="13"/>
        <v>5</v>
      </c>
    </row>
    <row r="825" spans="1:16" x14ac:dyDescent="0.25">
      <c r="A825" s="43" t="s">
        <v>200</v>
      </c>
      <c r="B825" s="43" t="s">
        <v>291</v>
      </c>
      <c r="C825" s="43" t="s">
        <v>265</v>
      </c>
      <c r="D825" s="43" t="s">
        <v>293</v>
      </c>
      <c r="E825" s="43" t="s">
        <v>492</v>
      </c>
      <c r="F825" s="43" t="s">
        <v>493</v>
      </c>
      <c r="G825" s="43" t="s">
        <v>233</v>
      </c>
      <c r="H825" s="43" t="s">
        <v>218</v>
      </c>
      <c r="I825" s="44">
        <v>45625</v>
      </c>
      <c r="J825" s="44">
        <v>45625</v>
      </c>
      <c r="K825" s="45">
        <v>0</v>
      </c>
      <c r="L825" s="45">
        <v>0</v>
      </c>
      <c r="M825" s="45">
        <v>0</v>
      </c>
      <c r="N825" s="45">
        <v>5</v>
      </c>
      <c r="O825" s="45">
        <v>269.95699999999999</v>
      </c>
      <c r="P825" s="62">
        <f t="shared" si="13"/>
        <v>5</v>
      </c>
    </row>
    <row r="826" spans="1:16" x14ac:dyDescent="0.25">
      <c r="A826" s="43" t="s">
        <v>200</v>
      </c>
      <c r="B826" s="43" t="s">
        <v>291</v>
      </c>
      <c r="C826" s="43" t="s">
        <v>265</v>
      </c>
      <c r="D826" s="43" t="s">
        <v>293</v>
      </c>
      <c r="E826" s="43" t="s">
        <v>492</v>
      </c>
      <c r="F826" s="43" t="s">
        <v>493</v>
      </c>
      <c r="G826" s="43" t="s">
        <v>234</v>
      </c>
      <c r="H826" s="43" t="s">
        <v>218</v>
      </c>
      <c r="I826" s="44">
        <v>45625</v>
      </c>
      <c r="J826" s="44">
        <v>45639</v>
      </c>
      <c r="K826" s="45">
        <v>0</v>
      </c>
      <c r="L826" s="45">
        <v>0</v>
      </c>
      <c r="M826" s="45">
        <v>0</v>
      </c>
      <c r="N826" s="45">
        <v>5</v>
      </c>
      <c r="O826" s="45">
        <v>269.95699999999999</v>
      </c>
      <c r="P826" s="62">
        <f t="shared" si="13"/>
        <v>5</v>
      </c>
    </row>
    <row r="827" spans="1:16" x14ac:dyDescent="0.25">
      <c r="A827" s="43" t="s">
        <v>200</v>
      </c>
      <c r="B827" s="43" t="s">
        <v>291</v>
      </c>
      <c r="C827" s="43" t="s">
        <v>265</v>
      </c>
      <c r="D827" s="43" t="s">
        <v>293</v>
      </c>
      <c r="E827" s="43" t="s">
        <v>492</v>
      </c>
      <c r="F827" s="43" t="s">
        <v>493</v>
      </c>
      <c r="G827" s="43" t="s">
        <v>296</v>
      </c>
      <c r="H827" s="43" t="s">
        <v>218</v>
      </c>
      <c r="I827" s="44">
        <v>45625</v>
      </c>
      <c r="J827" s="44">
        <v>45638</v>
      </c>
      <c r="K827" s="45">
        <v>3</v>
      </c>
      <c r="L827" s="45">
        <v>161.9742</v>
      </c>
      <c r="M827" s="45">
        <v>434.56</v>
      </c>
      <c r="N827" s="45">
        <v>8</v>
      </c>
      <c r="O827" s="45">
        <v>431.93119999999999</v>
      </c>
      <c r="P827" s="62">
        <f t="shared" si="13"/>
        <v>11</v>
      </c>
    </row>
    <row r="828" spans="1:16" x14ac:dyDescent="0.25">
      <c r="A828" s="43" t="s">
        <v>200</v>
      </c>
      <c r="B828" s="43" t="s">
        <v>291</v>
      </c>
      <c r="C828" s="43" t="s">
        <v>265</v>
      </c>
      <c r="D828" s="43" t="s">
        <v>293</v>
      </c>
      <c r="E828" s="43" t="s">
        <v>494</v>
      </c>
      <c r="F828" s="43" t="s">
        <v>493</v>
      </c>
      <c r="G828" s="43" t="s">
        <v>232</v>
      </c>
      <c r="H828" s="43" t="s">
        <v>218</v>
      </c>
      <c r="I828" s="44">
        <v>45593</v>
      </c>
      <c r="J828" s="44">
        <v>45625</v>
      </c>
      <c r="K828" s="45">
        <v>0</v>
      </c>
      <c r="L828" s="45">
        <v>0</v>
      </c>
      <c r="M828" s="45">
        <v>0</v>
      </c>
      <c r="N828" s="45">
        <v>5</v>
      </c>
      <c r="O828" s="45">
        <v>269.95699999999999</v>
      </c>
      <c r="P828" s="62">
        <f t="shared" si="13"/>
        <v>5</v>
      </c>
    </row>
    <row r="829" spans="1:16" x14ac:dyDescent="0.25">
      <c r="A829" s="43" t="s">
        <v>200</v>
      </c>
      <c r="B829" s="43" t="s">
        <v>291</v>
      </c>
      <c r="C829" s="43" t="s">
        <v>265</v>
      </c>
      <c r="D829" s="43" t="s">
        <v>293</v>
      </c>
      <c r="E829" s="43" t="s">
        <v>494</v>
      </c>
      <c r="F829" s="43" t="s">
        <v>493</v>
      </c>
      <c r="G829" s="43" t="s">
        <v>233</v>
      </c>
      <c r="H829" s="43" t="s">
        <v>218</v>
      </c>
      <c r="I829" s="44">
        <v>45593</v>
      </c>
      <c r="J829" s="44">
        <v>45625</v>
      </c>
      <c r="K829" s="45">
        <v>1</v>
      </c>
      <c r="L829" s="45">
        <v>53.991399999999999</v>
      </c>
      <c r="M829" s="45">
        <v>160.94999999999999</v>
      </c>
      <c r="N829" s="45">
        <v>4</v>
      </c>
      <c r="O829" s="45">
        <v>215.96559999999999</v>
      </c>
      <c r="P829" s="62">
        <f t="shared" si="13"/>
        <v>5</v>
      </c>
    </row>
    <row r="830" spans="1:16" x14ac:dyDescent="0.25">
      <c r="A830" s="43" t="s">
        <v>200</v>
      </c>
      <c r="B830" s="43" t="s">
        <v>291</v>
      </c>
      <c r="C830" s="43" t="s">
        <v>265</v>
      </c>
      <c r="D830" s="43" t="s">
        <v>293</v>
      </c>
      <c r="E830" s="43" t="s">
        <v>494</v>
      </c>
      <c r="F830" s="43" t="s">
        <v>493</v>
      </c>
      <c r="G830" s="43" t="s">
        <v>234</v>
      </c>
      <c r="H830" s="43" t="s">
        <v>218</v>
      </c>
      <c r="I830" s="44">
        <v>45593</v>
      </c>
      <c r="J830" s="44">
        <v>45625</v>
      </c>
      <c r="K830" s="45">
        <v>0</v>
      </c>
      <c r="L830" s="45">
        <v>0</v>
      </c>
      <c r="M830" s="45">
        <v>0</v>
      </c>
      <c r="N830" s="45">
        <v>4</v>
      </c>
      <c r="O830" s="45">
        <v>215.96559999999999</v>
      </c>
      <c r="P830" s="62">
        <f t="shared" si="13"/>
        <v>4</v>
      </c>
    </row>
    <row r="831" spans="1:16" x14ac:dyDescent="0.25">
      <c r="A831" s="43" t="s">
        <v>200</v>
      </c>
      <c r="B831" s="43" t="s">
        <v>291</v>
      </c>
      <c r="C831" s="43" t="s">
        <v>265</v>
      </c>
      <c r="D831" s="43" t="s">
        <v>293</v>
      </c>
      <c r="E831" s="43" t="s">
        <v>494</v>
      </c>
      <c r="F831" s="43" t="s">
        <v>493</v>
      </c>
      <c r="G831" s="43" t="s">
        <v>296</v>
      </c>
      <c r="H831" s="43" t="s">
        <v>218</v>
      </c>
      <c r="I831" s="44">
        <v>45625</v>
      </c>
      <c r="J831" s="44">
        <v>45638</v>
      </c>
      <c r="K831" s="45">
        <v>2</v>
      </c>
      <c r="L831" s="45">
        <v>107.9828</v>
      </c>
      <c r="M831" s="45">
        <v>289.72000000000003</v>
      </c>
      <c r="N831" s="45">
        <v>3</v>
      </c>
      <c r="O831" s="45">
        <v>161.9742</v>
      </c>
      <c r="P831" s="62">
        <f t="shared" si="13"/>
        <v>5</v>
      </c>
    </row>
    <row r="832" spans="1:16" x14ac:dyDescent="0.25">
      <c r="A832" s="43" t="s">
        <v>200</v>
      </c>
      <c r="B832" s="43" t="s">
        <v>291</v>
      </c>
      <c r="C832" s="43" t="s">
        <v>265</v>
      </c>
      <c r="D832" s="43" t="s">
        <v>293</v>
      </c>
      <c r="E832" s="43" t="s">
        <v>494</v>
      </c>
      <c r="F832" s="43" t="s">
        <v>493</v>
      </c>
      <c r="G832" s="43" t="s">
        <v>368</v>
      </c>
      <c r="H832" s="43" t="s">
        <v>218</v>
      </c>
      <c r="I832" s="44">
        <v>45625</v>
      </c>
      <c r="J832" s="44">
        <v>45625</v>
      </c>
      <c r="K832" s="45">
        <v>0</v>
      </c>
      <c r="L832" s="45">
        <v>0</v>
      </c>
      <c r="M832" s="45">
        <v>0</v>
      </c>
      <c r="N832" s="45">
        <v>1</v>
      </c>
      <c r="O832" s="45">
        <v>53.991399999999999</v>
      </c>
      <c r="P832" s="62">
        <f t="shared" si="13"/>
        <v>1</v>
      </c>
    </row>
    <row r="833" spans="1:16" x14ac:dyDescent="0.25">
      <c r="A833" s="43" t="s">
        <v>200</v>
      </c>
      <c r="B833" s="43" t="s">
        <v>291</v>
      </c>
      <c r="C833" s="43" t="s">
        <v>265</v>
      </c>
      <c r="D833" s="43" t="s">
        <v>293</v>
      </c>
      <c r="E833" s="43" t="s">
        <v>495</v>
      </c>
      <c r="F833" s="43" t="s">
        <v>496</v>
      </c>
      <c r="G833" s="43" t="s">
        <v>232</v>
      </c>
      <c r="H833" s="43" t="s">
        <v>218</v>
      </c>
      <c r="I833" s="44">
        <v>45625</v>
      </c>
      <c r="J833" s="44">
        <v>45646</v>
      </c>
      <c r="K833" s="45">
        <v>2</v>
      </c>
      <c r="L833" s="45">
        <v>107.9828</v>
      </c>
      <c r="M833" s="45">
        <v>289.72000000000003</v>
      </c>
      <c r="N833" s="45">
        <v>5</v>
      </c>
      <c r="O833" s="45">
        <v>269.95699999999999</v>
      </c>
      <c r="P833" s="62">
        <f t="shared" si="13"/>
        <v>7</v>
      </c>
    </row>
    <row r="834" spans="1:16" x14ac:dyDescent="0.25">
      <c r="A834" s="43" t="s">
        <v>200</v>
      </c>
      <c r="B834" s="43" t="s">
        <v>291</v>
      </c>
      <c r="C834" s="43" t="s">
        <v>265</v>
      </c>
      <c r="D834" s="43" t="s">
        <v>293</v>
      </c>
      <c r="E834" s="43" t="s">
        <v>495</v>
      </c>
      <c r="F834" s="43" t="s">
        <v>496</v>
      </c>
      <c r="G834" s="43" t="s">
        <v>233</v>
      </c>
      <c r="H834" s="43" t="s">
        <v>218</v>
      </c>
      <c r="I834" s="44">
        <v>45625</v>
      </c>
      <c r="J834" s="44">
        <v>45638</v>
      </c>
      <c r="K834" s="45">
        <v>5</v>
      </c>
      <c r="L834" s="45">
        <v>269.95699999999999</v>
      </c>
      <c r="M834" s="45">
        <v>724.28</v>
      </c>
      <c r="N834" s="45">
        <v>8</v>
      </c>
      <c r="O834" s="45">
        <v>431.93119999999999</v>
      </c>
      <c r="P834" s="62">
        <f t="shared" si="13"/>
        <v>13</v>
      </c>
    </row>
    <row r="835" spans="1:16" x14ac:dyDescent="0.25">
      <c r="A835" s="43" t="s">
        <v>200</v>
      </c>
      <c r="B835" s="43" t="s">
        <v>291</v>
      </c>
      <c r="C835" s="43" t="s">
        <v>265</v>
      </c>
      <c r="D835" s="43" t="s">
        <v>293</v>
      </c>
      <c r="E835" s="43" t="s">
        <v>495</v>
      </c>
      <c r="F835" s="43" t="s">
        <v>496</v>
      </c>
      <c r="G835" s="43" t="s">
        <v>234</v>
      </c>
      <c r="H835" s="43" t="s">
        <v>218</v>
      </c>
      <c r="I835" s="44">
        <v>45625</v>
      </c>
      <c r="J835" s="44">
        <v>45638</v>
      </c>
      <c r="K835" s="45">
        <v>3</v>
      </c>
      <c r="L835" s="45">
        <v>161.9742</v>
      </c>
      <c r="M835" s="45">
        <v>434.57</v>
      </c>
      <c r="N835" s="45">
        <v>9</v>
      </c>
      <c r="O835" s="45">
        <v>485.92259999999999</v>
      </c>
      <c r="P835" s="62">
        <f t="shared" si="13"/>
        <v>12</v>
      </c>
    </row>
    <row r="836" spans="1:16" x14ac:dyDescent="0.25">
      <c r="A836" s="43" t="s">
        <v>200</v>
      </c>
      <c r="B836" s="43" t="s">
        <v>291</v>
      </c>
      <c r="C836" s="43" t="s">
        <v>265</v>
      </c>
      <c r="D836" s="43" t="s">
        <v>293</v>
      </c>
      <c r="E836" s="43" t="s">
        <v>495</v>
      </c>
      <c r="F836" s="43" t="s">
        <v>496</v>
      </c>
      <c r="G836" s="43" t="s">
        <v>296</v>
      </c>
      <c r="H836" s="43" t="s">
        <v>218</v>
      </c>
      <c r="I836" s="44">
        <v>45625</v>
      </c>
      <c r="J836" s="44">
        <v>45646</v>
      </c>
      <c r="K836" s="45">
        <v>2</v>
      </c>
      <c r="L836" s="45">
        <v>107.9828</v>
      </c>
      <c r="M836" s="45">
        <v>289.72000000000003</v>
      </c>
      <c r="N836" s="45">
        <v>4</v>
      </c>
      <c r="O836" s="45">
        <v>215.96559999999999</v>
      </c>
      <c r="P836" s="62">
        <f t="shared" si="13"/>
        <v>6</v>
      </c>
    </row>
    <row r="837" spans="1:16" x14ac:dyDescent="0.25">
      <c r="A837" s="43" t="s">
        <v>200</v>
      </c>
      <c r="B837" s="43" t="s">
        <v>291</v>
      </c>
      <c r="C837" s="43" t="s">
        <v>265</v>
      </c>
      <c r="D837" s="43" t="s">
        <v>293</v>
      </c>
      <c r="E837" s="43" t="s">
        <v>497</v>
      </c>
      <c r="F837" s="43" t="s">
        <v>496</v>
      </c>
      <c r="G837" s="43" t="s">
        <v>232</v>
      </c>
      <c r="H837" s="43" t="s">
        <v>218</v>
      </c>
      <c r="I837" s="44">
        <v>45625</v>
      </c>
      <c r="J837" s="44">
        <v>45645</v>
      </c>
      <c r="K837" s="45">
        <v>5</v>
      </c>
      <c r="L837" s="45">
        <v>269.95699999999999</v>
      </c>
      <c r="M837" s="45">
        <v>740.39</v>
      </c>
      <c r="N837" s="45">
        <v>8</v>
      </c>
      <c r="O837" s="45">
        <v>431.93119999999999</v>
      </c>
      <c r="P837" s="62">
        <f t="shared" si="13"/>
        <v>13</v>
      </c>
    </row>
    <row r="838" spans="1:16" x14ac:dyDescent="0.25">
      <c r="A838" s="43" t="s">
        <v>200</v>
      </c>
      <c r="B838" s="43" t="s">
        <v>291</v>
      </c>
      <c r="C838" s="43" t="s">
        <v>265</v>
      </c>
      <c r="D838" s="43" t="s">
        <v>293</v>
      </c>
      <c r="E838" s="43" t="s">
        <v>497</v>
      </c>
      <c r="F838" s="43" t="s">
        <v>496</v>
      </c>
      <c r="G838" s="43" t="s">
        <v>233</v>
      </c>
      <c r="H838" s="43" t="s">
        <v>218</v>
      </c>
      <c r="I838" s="44">
        <v>45625</v>
      </c>
      <c r="J838" s="44">
        <v>45645</v>
      </c>
      <c r="K838" s="45">
        <v>7</v>
      </c>
      <c r="L838" s="45">
        <v>377.93979999999999</v>
      </c>
      <c r="M838" s="45">
        <v>1030.1099999999999</v>
      </c>
      <c r="N838" s="45">
        <v>6</v>
      </c>
      <c r="O838" s="45">
        <v>323.94839999999999</v>
      </c>
      <c r="P838" s="62">
        <f t="shared" si="13"/>
        <v>13</v>
      </c>
    </row>
    <row r="839" spans="1:16" x14ac:dyDescent="0.25">
      <c r="A839" s="43" t="s">
        <v>200</v>
      </c>
      <c r="B839" s="43" t="s">
        <v>291</v>
      </c>
      <c r="C839" s="43" t="s">
        <v>265</v>
      </c>
      <c r="D839" s="43" t="s">
        <v>293</v>
      </c>
      <c r="E839" s="43" t="s">
        <v>497</v>
      </c>
      <c r="F839" s="43" t="s">
        <v>496</v>
      </c>
      <c r="G839" s="43" t="s">
        <v>234</v>
      </c>
      <c r="H839" s="43" t="s">
        <v>218</v>
      </c>
      <c r="I839" s="44">
        <v>45625</v>
      </c>
      <c r="J839" s="44">
        <v>45645</v>
      </c>
      <c r="K839" s="45">
        <v>5</v>
      </c>
      <c r="L839" s="45">
        <v>269.95699999999999</v>
      </c>
      <c r="M839" s="45">
        <v>740.4</v>
      </c>
      <c r="N839" s="45">
        <v>6</v>
      </c>
      <c r="O839" s="45">
        <v>323.94839999999999</v>
      </c>
      <c r="P839" s="62">
        <f t="shared" si="13"/>
        <v>11</v>
      </c>
    </row>
    <row r="840" spans="1:16" x14ac:dyDescent="0.25">
      <c r="A840" s="43" t="s">
        <v>200</v>
      </c>
      <c r="B840" s="43" t="s">
        <v>291</v>
      </c>
      <c r="C840" s="43" t="s">
        <v>265</v>
      </c>
      <c r="D840" s="43" t="s">
        <v>293</v>
      </c>
      <c r="E840" s="43" t="s">
        <v>497</v>
      </c>
      <c r="F840" s="43" t="s">
        <v>496</v>
      </c>
      <c r="G840" s="43" t="s">
        <v>296</v>
      </c>
      <c r="H840" s="43" t="s">
        <v>218</v>
      </c>
      <c r="I840" s="44">
        <v>45625</v>
      </c>
      <c r="J840" s="44">
        <v>45645</v>
      </c>
      <c r="K840" s="45">
        <v>4</v>
      </c>
      <c r="L840" s="45">
        <v>215.96559999999999</v>
      </c>
      <c r="M840" s="45">
        <v>579.42999999999995</v>
      </c>
      <c r="N840" s="45">
        <v>4</v>
      </c>
      <c r="O840" s="45">
        <v>215.96559999999999</v>
      </c>
      <c r="P840" s="62">
        <f t="shared" ref="P840:P903" si="14">K840+N840</f>
        <v>8</v>
      </c>
    </row>
    <row r="841" spans="1:16" x14ac:dyDescent="0.25">
      <c r="A841" s="43" t="s">
        <v>200</v>
      </c>
      <c r="B841" s="43" t="s">
        <v>291</v>
      </c>
      <c r="C841" s="43" t="s">
        <v>265</v>
      </c>
      <c r="D841" s="43" t="s">
        <v>293</v>
      </c>
      <c r="E841" s="43" t="s">
        <v>497</v>
      </c>
      <c r="F841" s="43" t="s">
        <v>496</v>
      </c>
      <c r="G841" s="43" t="s">
        <v>368</v>
      </c>
      <c r="H841" s="43" t="s">
        <v>218</v>
      </c>
      <c r="I841" s="44">
        <v>45625</v>
      </c>
      <c r="J841" s="44">
        <v>45625</v>
      </c>
      <c r="K841" s="45">
        <v>0</v>
      </c>
      <c r="L841" s="45">
        <v>0</v>
      </c>
      <c r="M841" s="45">
        <v>0</v>
      </c>
      <c r="N841" s="45">
        <v>1</v>
      </c>
      <c r="O841" s="45">
        <v>53.991399999999999</v>
      </c>
      <c r="P841" s="62">
        <f t="shared" si="14"/>
        <v>1</v>
      </c>
    </row>
    <row r="842" spans="1:16" x14ac:dyDescent="0.25">
      <c r="A842" s="43" t="s">
        <v>200</v>
      </c>
      <c r="B842" s="43" t="s">
        <v>291</v>
      </c>
      <c r="C842" s="43" t="s">
        <v>265</v>
      </c>
      <c r="D842" s="43" t="s">
        <v>293</v>
      </c>
      <c r="E842" s="43" t="s">
        <v>498</v>
      </c>
      <c r="F842" s="43" t="s">
        <v>312</v>
      </c>
      <c r="G842" s="43" t="s">
        <v>232</v>
      </c>
      <c r="H842" s="43" t="s">
        <v>207</v>
      </c>
      <c r="I842" s="44">
        <v>45591</v>
      </c>
      <c r="J842" s="44">
        <v>45646</v>
      </c>
      <c r="K842" s="45">
        <v>4</v>
      </c>
      <c r="L842" s="45">
        <v>316.29230000000001</v>
      </c>
      <c r="M842" s="45">
        <v>877.43</v>
      </c>
      <c r="N842" s="45">
        <v>4</v>
      </c>
      <c r="O842" s="45">
        <v>319.95920000000001</v>
      </c>
      <c r="P842" s="62">
        <f t="shared" si="14"/>
        <v>8</v>
      </c>
    </row>
    <row r="843" spans="1:16" x14ac:dyDescent="0.25">
      <c r="A843" s="43" t="s">
        <v>200</v>
      </c>
      <c r="B843" s="43" t="s">
        <v>291</v>
      </c>
      <c r="C843" s="43" t="s">
        <v>265</v>
      </c>
      <c r="D843" s="43" t="s">
        <v>293</v>
      </c>
      <c r="E843" s="43" t="s">
        <v>498</v>
      </c>
      <c r="F843" s="43" t="s">
        <v>312</v>
      </c>
      <c r="G843" s="43" t="s">
        <v>233</v>
      </c>
      <c r="H843" s="43" t="s">
        <v>207</v>
      </c>
      <c r="I843" s="44">
        <v>45591</v>
      </c>
      <c r="J843" s="44">
        <v>45626</v>
      </c>
      <c r="K843" s="45">
        <v>8</v>
      </c>
      <c r="L843" s="45">
        <v>639.98929999999996</v>
      </c>
      <c r="M843" s="45">
        <v>1707.42</v>
      </c>
      <c r="N843" s="45">
        <v>6</v>
      </c>
      <c r="O843" s="45">
        <v>488.66160000000002</v>
      </c>
      <c r="P843" s="62">
        <f t="shared" si="14"/>
        <v>14</v>
      </c>
    </row>
    <row r="844" spans="1:16" x14ac:dyDescent="0.25">
      <c r="A844" s="43" t="s">
        <v>200</v>
      </c>
      <c r="B844" s="43" t="s">
        <v>291</v>
      </c>
      <c r="C844" s="43" t="s">
        <v>265</v>
      </c>
      <c r="D844" s="43" t="s">
        <v>293</v>
      </c>
      <c r="E844" s="43" t="s">
        <v>498</v>
      </c>
      <c r="F844" s="43" t="s">
        <v>312</v>
      </c>
      <c r="G844" s="43" t="s">
        <v>234</v>
      </c>
      <c r="H844" s="43" t="s">
        <v>207</v>
      </c>
      <c r="I844" s="44">
        <v>45591</v>
      </c>
      <c r="J844" s="44">
        <v>45645</v>
      </c>
      <c r="K844" s="45">
        <v>11</v>
      </c>
      <c r="L844" s="45">
        <v>886.99680000000001</v>
      </c>
      <c r="M844" s="45">
        <v>2347.73</v>
      </c>
      <c r="N844" s="45">
        <v>4</v>
      </c>
      <c r="O844" s="45">
        <v>327.77800000000002</v>
      </c>
      <c r="P844" s="62">
        <f t="shared" si="14"/>
        <v>15</v>
      </c>
    </row>
    <row r="845" spans="1:16" x14ac:dyDescent="0.25">
      <c r="A845" s="43" t="s">
        <v>200</v>
      </c>
      <c r="B845" s="43" t="s">
        <v>291</v>
      </c>
      <c r="C845" s="43" t="s">
        <v>265</v>
      </c>
      <c r="D845" s="43" t="s">
        <v>293</v>
      </c>
      <c r="E845" s="43" t="s">
        <v>498</v>
      </c>
      <c r="F845" s="43" t="s">
        <v>312</v>
      </c>
      <c r="G845" s="43" t="s">
        <v>296</v>
      </c>
      <c r="H845" s="43" t="s">
        <v>207</v>
      </c>
      <c r="I845" s="44">
        <v>45591</v>
      </c>
      <c r="J845" s="44">
        <v>45626</v>
      </c>
      <c r="K845" s="45">
        <v>9</v>
      </c>
      <c r="L845" s="45">
        <v>726.75229999999999</v>
      </c>
      <c r="M845" s="45">
        <v>1920.87</v>
      </c>
      <c r="N845" s="45">
        <v>1</v>
      </c>
      <c r="O845" s="45">
        <v>81.746300000000005</v>
      </c>
      <c r="P845" s="62">
        <f t="shared" si="14"/>
        <v>10</v>
      </c>
    </row>
    <row r="846" spans="1:16" x14ac:dyDescent="0.25">
      <c r="A846" s="43" t="s">
        <v>200</v>
      </c>
      <c r="B846" s="43" t="s">
        <v>291</v>
      </c>
      <c r="C846" s="43" t="s">
        <v>265</v>
      </c>
      <c r="D846" s="43" t="s">
        <v>293</v>
      </c>
      <c r="E846" s="43" t="s">
        <v>499</v>
      </c>
      <c r="F846" s="43" t="s">
        <v>312</v>
      </c>
      <c r="G846" s="43" t="s">
        <v>232</v>
      </c>
      <c r="H846" s="43" t="s">
        <v>207</v>
      </c>
      <c r="I846" s="44">
        <v>45591</v>
      </c>
      <c r="J846" s="44">
        <v>45591</v>
      </c>
      <c r="K846" s="45">
        <v>0</v>
      </c>
      <c r="L846" s="45">
        <v>0</v>
      </c>
      <c r="M846" s="45">
        <v>0</v>
      </c>
      <c r="N846" s="45">
        <v>5</v>
      </c>
      <c r="O846" s="45">
        <v>390.05099999999999</v>
      </c>
      <c r="P846" s="62">
        <f t="shared" si="14"/>
        <v>5</v>
      </c>
    </row>
    <row r="847" spans="1:16" x14ac:dyDescent="0.25">
      <c r="A847" s="43" t="s">
        <v>200</v>
      </c>
      <c r="B847" s="43" t="s">
        <v>291</v>
      </c>
      <c r="C847" s="43" t="s">
        <v>265</v>
      </c>
      <c r="D847" s="43" t="s">
        <v>293</v>
      </c>
      <c r="E847" s="43" t="s">
        <v>499</v>
      </c>
      <c r="F847" s="43" t="s">
        <v>312</v>
      </c>
      <c r="G847" s="43" t="s">
        <v>233</v>
      </c>
      <c r="H847" s="43" t="s">
        <v>207</v>
      </c>
      <c r="I847" s="44">
        <v>45591</v>
      </c>
      <c r="J847" s="44">
        <v>45647</v>
      </c>
      <c r="K847" s="45">
        <v>1</v>
      </c>
      <c r="L847" s="45">
        <v>78.010199999999998</v>
      </c>
      <c r="M847" s="45">
        <v>213.43</v>
      </c>
      <c r="N847" s="45">
        <v>5</v>
      </c>
      <c r="O847" s="45">
        <v>394.10750000000002</v>
      </c>
      <c r="P847" s="62">
        <f t="shared" si="14"/>
        <v>6</v>
      </c>
    </row>
    <row r="848" spans="1:16" x14ac:dyDescent="0.25">
      <c r="A848" s="43" t="s">
        <v>200</v>
      </c>
      <c r="B848" s="43" t="s">
        <v>291</v>
      </c>
      <c r="C848" s="43" t="s">
        <v>265</v>
      </c>
      <c r="D848" s="43" t="s">
        <v>293</v>
      </c>
      <c r="E848" s="43" t="s">
        <v>499</v>
      </c>
      <c r="F848" s="43" t="s">
        <v>312</v>
      </c>
      <c r="G848" s="43" t="s">
        <v>234</v>
      </c>
      <c r="H848" s="43" t="s">
        <v>207</v>
      </c>
      <c r="I848" s="44">
        <v>45591</v>
      </c>
      <c r="J848" s="44">
        <v>45645</v>
      </c>
      <c r="K848" s="45">
        <v>4</v>
      </c>
      <c r="L848" s="45">
        <v>317.17520000000002</v>
      </c>
      <c r="M848" s="45">
        <v>877.44</v>
      </c>
      <c r="N848" s="45">
        <v>4</v>
      </c>
      <c r="O848" s="45">
        <v>323.13319999999999</v>
      </c>
      <c r="P848" s="62">
        <f t="shared" si="14"/>
        <v>8</v>
      </c>
    </row>
    <row r="849" spans="1:16" x14ac:dyDescent="0.25">
      <c r="A849" s="43" t="s">
        <v>200</v>
      </c>
      <c r="B849" s="43" t="s">
        <v>291</v>
      </c>
      <c r="C849" s="43" t="s">
        <v>265</v>
      </c>
      <c r="D849" s="43" t="s">
        <v>293</v>
      </c>
      <c r="E849" s="43" t="s">
        <v>499</v>
      </c>
      <c r="F849" s="43" t="s">
        <v>312</v>
      </c>
      <c r="G849" s="43" t="s">
        <v>259</v>
      </c>
      <c r="H849" s="43" t="s">
        <v>207</v>
      </c>
      <c r="I849" s="44">
        <v>45591</v>
      </c>
      <c r="J849" s="44">
        <v>45591</v>
      </c>
      <c r="K849" s="45">
        <v>0</v>
      </c>
      <c r="L849" s="45">
        <v>0</v>
      </c>
      <c r="M849" s="45">
        <v>0</v>
      </c>
      <c r="N849" s="45">
        <v>3</v>
      </c>
      <c r="O849" s="45">
        <v>234.03059999999999</v>
      </c>
      <c r="P849" s="62">
        <f t="shared" si="14"/>
        <v>3</v>
      </c>
    </row>
    <row r="850" spans="1:16" x14ac:dyDescent="0.25">
      <c r="A850" s="43" t="s">
        <v>200</v>
      </c>
      <c r="B850" s="43" t="s">
        <v>291</v>
      </c>
      <c r="C850" s="43" t="s">
        <v>265</v>
      </c>
      <c r="D850" s="43" t="s">
        <v>293</v>
      </c>
      <c r="E850" s="43" t="s">
        <v>499</v>
      </c>
      <c r="F850" s="43" t="s">
        <v>312</v>
      </c>
      <c r="G850" s="43" t="s">
        <v>296</v>
      </c>
      <c r="H850" s="43" t="s">
        <v>207</v>
      </c>
      <c r="I850" s="44">
        <v>45591</v>
      </c>
      <c r="J850" s="44">
        <v>45646</v>
      </c>
      <c r="K850" s="45">
        <v>9</v>
      </c>
      <c r="L850" s="45">
        <v>726.83230000000003</v>
      </c>
      <c r="M850" s="45">
        <v>1920.85</v>
      </c>
      <c r="N850" s="45">
        <v>3</v>
      </c>
      <c r="O850" s="45">
        <v>245.79990000000001</v>
      </c>
      <c r="P850" s="62">
        <f t="shared" si="14"/>
        <v>12</v>
      </c>
    </row>
    <row r="851" spans="1:16" x14ac:dyDescent="0.25">
      <c r="A851" s="43" t="s">
        <v>200</v>
      </c>
      <c r="B851" s="43" t="s">
        <v>291</v>
      </c>
      <c r="C851" s="43" t="s">
        <v>265</v>
      </c>
      <c r="D851" s="43" t="s">
        <v>293</v>
      </c>
      <c r="E851" s="43" t="s">
        <v>500</v>
      </c>
      <c r="F851" s="43" t="s">
        <v>312</v>
      </c>
      <c r="G851" s="43" t="s">
        <v>232</v>
      </c>
      <c r="H851" s="43" t="s">
        <v>207</v>
      </c>
      <c r="I851" s="44">
        <v>45591</v>
      </c>
      <c r="J851" s="44">
        <v>45642</v>
      </c>
      <c r="K851" s="45">
        <v>9</v>
      </c>
      <c r="L851" s="45">
        <v>708.98410000000001</v>
      </c>
      <c r="M851" s="45">
        <v>1968.29</v>
      </c>
      <c r="N851" s="45">
        <v>7</v>
      </c>
      <c r="O851" s="45">
        <v>563.51959999999997</v>
      </c>
      <c r="P851" s="62">
        <f t="shared" si="14"/>
        <v>16</v>
      </c>
    </row>
    <row r="852" spans="1:16" x14ac:dyDescent="0.25">
      <c r="A852" s="43" t="s">
        <v>200</v>
      </c>
      <c r="B852" s="43" t="s">
        <v>291</v>
      </c>
      <c r="C852" s="43" t="s">
        <v>265</v>
      </c>
      <c r="D852" s="43" t="s">
        <v>293</v>
      </c>
      <c r="E852" s="43" t="s">
        <v>500</v>
      </c>
      <c r="F852" s="43" t="s">
        <v>312</v>
      </c>
      <c r="G852" s="43" t="s">
        <v>233</v>
      </c>
      <c r="H852" s="43" t="s">
        <v>207</v>
      </c>
      <c r="I852" s="44">
        <v>45591</v>
      </c>
      <c r="J852" s="44">
        <v>45640</v>
      </c>
      <c r="K852" s="45">
        <v>14</v>
      </c>
      <c r="L852" s="45">
        <v>1109.1387</v>
      </c>
      <c r="M852" s="45">
        <v>2964.3</v>
      </c>
      <c r="N852" s="45">
        <v>7</v>
      </c>
      <c r="O852" s="45">
        <v>569.64110000000005</v>
      </c>
      <c r="P852" s="62">
        <f t="shared" si="14"/>
        <v>21</v>
      </c>
    </row>
    <row r="853" spans="1:16" x14ac:dyDescent="0.25">
      <c r="A853" s="43" t="s">
        <v>200</v>
      </c>
      <c r="B853" s="43" t="s">
        <v>291</v>
      </c>
      <c r="C853" s="43" t="s">
        <v>265</v>
      </c>
      <c r="D853" s="43" t="s">
        <v>293</v>
      </c>
      <c r="E853" s="43" t="s">
        <v>500</v>
      </c>
      <c r="F853" s="43" t="s">
        <v>312</v>
      </c>
      <c r="G853" s="43" t="s">
        <v>234</v>
      </c>
      <c r="H853" s="43" t="s">
        <v>207</v>
      </c>
      <c r="I853" s="44">
        <v>45591</v>
      </c>
      <c r="J853" s="44">
        <v>45643</v>
      </c>
      <c r="K853" s="45">
        <v>32</v>
      </c>
      <c r="L853" s="45">
        <v>2565.5084999999999</v>
      </c>
      <c r="M853" s="45">
        <v>6877.18</v>
      </c>
      <c r="N853" s="45">
        <v>3</v>
      </c>
      <c r="O853" s="45">
        <v>246.1446</v>
      </c>
      <c r="P853" s="62">
        <f t="shared" si="14"/>
        <v>35</v>
      </c>
    </row>
    <row r="854" spans="1:16" x14ac:dyDescent="0.25">
      <c r="A854" s="43" t="s">
        <v>200</v>
      </c>
      <c r="B854" s="43" t="s">
        <v>291</v>
      </c>
      <c r="C854" s="43" t="s">
        <v>265</v>
      </c>
      <c r="D854" s="43" t="s">
        <v>293</v>
      </c>
      <c r="E854" s="43" t="s">
        <v>500</v>
      </c>
      <c r="F854" s="43" t="s">
        <v>312</v>
      </c>
      <c r="G854" s="43" t="s">
        <v>296</v>
      </c>
      <c r="H854" s="43" t="s">
        <v>207</v>
      </c>
      <c r="I854" s="44">
        <v>45591</v>
      </c>
      <c r="J854" s="44">
        <v>45611</v>
      </c>
      <c r="K854" s="45">
        <v>8</v>
      </c>
      <c r="L854" s="45">
        <v>624.08240000000001</v>
      </c>
      <c r="M854" s="45">
        <v>1600.72</v>
      </c>
      <c r="N854" s="45">
        <v>0</v>
      </c>
      <c r="O854" s="45">
        <v>0</v>
      </c>
      <c r="P854" s="62">
        <f t="shared" si="14"/>
        <v>8</v>
      </c>
    </row>
    <row r="855" spans="1:16" x14ac:dyDescent="0.25">
      <c r="A855" s="43" t="s">
        <v>200</v>
      </c>
      <c r="B855" s="43" t="s">
        <v>291</v>
      </c>
      <c r="C855" s="43" t="s">
        <v>265</v>
      </c>
      <c r="D855" s="43" t="s">
        <v>293</v>
      </c>
      <c r="E855" s="43" t="s">
        <v>501</v>
      </c>
      <c r="F855" s="43" t="s">
        <v>312</v>
      </c>
      <c r="G855" s="43" t="s">
        <v>232</v>
      </c>
      <c r="H855" s="43" t="s">
        <v>207</v>
      </c>
      <c r="I855" s="44">
        <v>45638</v>
      </c>
      <c r="J855" s="44">
        <v>45638</v>
      </c>
      <c r="K855" s="45">
        <v>0</v>
      </c>
      <c r="L855" s="45">
        <v>0</v>
      </c>
      <c r="M855" s="45">
        <v>0</v>
      </c>
      <c r="N855" s="45">
        <v>5</v>
      </c>
      <c r="O855" s="45">
        <v>410.33350000000002</v>
      </c>
      <c r="P855" s="62">
        <f t="shared" si="14"/>
        <v>5</v>
      </c>
    </row>
    <row r="856" spans="1:16" x14ac:dyDescent="0.25">
      <c r="A856" s="43" t="s">
        <v>200</v>
      </c>
      <c r="B856" s="43" t="s">
        <v>291</v>
      </c>
      <c r="C856" s="43" t="s">
        <v>265</v>
      </c>
      <c r="D856" s="43" t="s">
        <v>293</v>
      </c>
      <c r="E856" s="43" t="s">
        <v>501</v>
      </c>
      <c r="F856" s="43" t="s">
        <v>312</v>
      </c>
      <c r="G856" s="43" t="s">
        <v>233</v>
      </c>
      <c r="H856" s="43" t="s">
        <v>207</v>
      </c>
      <c r="I856" s="44">
        <v>45638</v>
      </c>
      <c r="J856" s="44">
        <v>45645</v>
      </c>
      <c r="K856" s="45">
        <v>0</v>
      </c>
      <c r="L856" s="45">
        <v>0</v>
      </c>
      <c r="M856" s="45">
        <v>0</v>
      </c>
      <c r="N856" s="45">
        <v>5</v>
      </c>
      <c r="O856" s="45">
        <v>410.334</v>
      </c>
      <c r="P856" s="62">
        <f t="shared" si="14"/>
        <v>5</v>
      </c>
    </row>
    <row r="857" spans="1:16" x14ac:dyDescent="0.25">
      <c r="A857" s="43" t="s">
        <v>200</v>
      </c>
      <c r="B857" s="43" t="s">
        <v>291</v>
      </c>
      <c r="C857" s="43" t="s">
        <v>265</v>
      </c>
      <c r="D857" s="43" t="s">
        <v>293</v>
      </c>
      <c r="E857" s="43" t="s">
        <v>501</v>
      </c>
      <c r="F857" s="43" t="s">
        <v>312</v>
      </c>
      <c r="G857" s="43" t="s">
        <v>234</v>
      </c>
      <c r="H857" s="43" t="s">
        <v>207</v>
      </c>
      <c r="I857" s="44">
        <v>45638</v>
      </c>
      <c r="J857" s="44">
        <v>45645</v>
      </c>
      <c r="K857" s="45">
        <v>0</v>
      </c>
      <c r="L857" s="45">
        <v>0</v>
      </c>
      <c r="M857" s="45">
        <v>0</v>
      </c>
      <c r="N857" s="45">
        <v>4</v>
      </c>
      <c r="O857" s="45">
        <v>328.2672</v>
      </c>
      <c r="P857" s="62">
        <f t="shared" si="14"/>
        <v>4</v>
      </c>
    </row>
    <row r="858" spans="1:16" x14ac:dyDescent="0.25">
      <c r="A858" s="43" t="s">
        <v>200</v>
      </c>
      <c r="B858" s="43" t="s">
        <v>291</v>
      </c>
      <c r="C858" s="43" t="s">
        <v>265</v>
      </c>
      <c r="D858" s="43" t="s">
        <v>293</v>
      </c>
      <c r="E858" s="43" t="s">
        <v>501</v>
      </c>
      <c r="F858" s="43" t="s">
        <v>312</v>
      </c>
      <c r="G858" s="43" t="s">
        <v>296</v>
      </c>
      <c r="H858" s="43" t="s">
        <v>207</v>
      </c>
      <c r="I858" s="44">
        <v>45638</v>
      </c>
      <c r="J858" s="44">
        <v>45645</v>
      </c>
      <c r="K858" s="45">
        <v>0</v>
      </c>
      <c r="L858" s="45">
        <v>0</v>
      </c>
      <c r="M858" s="45">
        <v>0</v>
      </c>
      <c r="N858" s="45">
        <v>3</v>
      </c>
      <c r="O858" s="45">
        <v>246.2004</v>
      </c>
      <c r="P858" s="62">
        <f t="shared" si="14"/>
        <v>3</v>
      </c>
    </row>
    <row r="859" spans="1:16" x14ac:dyDescent="0.25">
      <c r="A859" s="43" t="s">
        <v>200</v>
      </c>
      <c r="B859" s="43" t="s">
        <v>291</v>
      </c>
      <c r="C859" s="43" t="s">
        <v>265</v>
      </c>
      <c r="D859" s="43" t="s">
        <v>293</v>
      </c>
      <c r="E859" s="43" t="s">
        <v>502</v>
      </c>
      <c r="F859" s="43" t="s">
        <v>312</v>
      </c>
      <c r="G859" s="43" t="s">
        <v>232</v>
      </c>
      <c r="H859" s="43" t="s">
        <v>207</v>
      </c>
      <c r="I859" s="44">
        <v>45591</v>
      </c>
      <c r="J859" s="44">
        <v>45610</v>
      </c>
      <c r="K859" s="45">
        <v>5</v>
      </c>
      <c r="L859" s="45">
        <v>390.05099999999999</v>
      </c>
      <c r="M859" s="45">
        <v>1067.1500000000001</v>
      </c>
      <c r="N859" s="45">
        <v>0</v>
      </c>
      <c r="O859" s="45">
        <v>0</v>
      </c>
      <c r="P859" s="62">
        <f t="shared" si="14"/>
        <v>5</v>
      </c>
    </row>
    <row r="860" spans="1:16" x14ac:dyDescent="0.25">
      <c r="A860" s="43" t="s">
        <v>200</v>
      </c>
      <c r="B860" s="43" t="s">
        <v>291</v>
      </c>
      <c r="C860" s="43" t="s">
        <v>265</v>
      </c>
      <c r="D860" s="43" t="s">
        <v>293</v>
      </c>
      <c r="E860" s="43" t="s">
        <v>502</v>
      </c>
      <c r="F860" s="43" t="s">
        <v>312</v>
      </c>
      <c r="G860" s="43" t="s">
        <v>233</v>
      </c>
      <c r="H860" s="43" t="s">
        <v>207</v>
      </c>
      <c r="I860" s="44">
        <v>45591</v>
      </c>
      <c r="J860" s="44">
        <v>45632</v>
      </c>
      <c r="K860" s="45">
        <v>9</v>
      </c>
      <c r="L860" s="45">
        <v>703.10680000000002</v>
      </c>
      <c r="M860" s="45">
        <v>1920.84</v>
      </c>
      <c r="N860" s="45">
        <v>4</v>
      </c>
      <c r="O860" s="45">
        <v>319.14</v>
      </c>
      <c r="P860" s="62">
        <f t="shared" si="14"/>
        <v>13</v>
      </c>
    </row>
    <row r="861" spans="1:16" x14ac:dyDescent="0.25">
      <c r="A861" s="43" t="s">
        <v>200</v>
      </c>
      <c r="B861" s="43" t="s">
        <v>291</v>
      </c>
      <c r="C861" s="43" t="s">
        <v>265</v>
      </c>
      <c r="D861" s="43" t="s">
        <v>293</v>
      </c>
      <c r="E861" s="43" t="s">
        <v>502</v>
      </c>
      <c r="F861" s="43" t="s">
        <v>312</v>
      </c>
      <c r="G861" s="43" t="s">
        <v>234</v>
      </c>
      <c r="H861" s="43" t="s">
        <v>207</v>
      </c>
      <c r="I861" s="44">
        <v>45591</v>
      </c>
      <c r="J861" s="44">
        <v>45622</v>
      </c>
      <c r="K861" s="45">
        <v>16</v>
      </c>
      <c r="L861" s="45">
        <v>1264.3892000000001</v>
      </c>
      <c r="M861" s="45">
        <v>3367.45</v>
      </c>
      <c r="N861" s="45">
        <v>0</v>
      </c>
      <c r="O861" s="45">
        <v>0</v>
      </c>
      <c r="P861" s="62">
        <f t="shared" si="14"/>
        <v>16</v>
      </c>
    </row>
    <row r="862" spans="1:16" x14ac:dyDescent="0.25">
      <c r="A862" s="43" t="s">
        <v>200</v>
      </c>
      <c r="B862" s="43" t="s">
        <v>291</v>
      </c>
      <c r="C862" s="43" t="s">
        <v>265</v>
      </c>
      <c r="D862" s="43" t="s">
        <v>293</v>
      </c>
      <c r="E862" s="43" t="s">
        <v>502</v>
      </c>
      <c r="F862" s="43" t="s">
        <v>312</v>
      </c>
      <c r="G862" s="43" t="s">
        <v>296</v>
      </c>
      <c r="H862" s="43" t="s">
        <v>207</v>
      </c>
      <c r="I862" s="44">
        <v>45591</v>
      </c>
      <c r="J862" s="44">
        <v>45608</v>
      </c>
      <c r="K862" s="45">
        <v>3</v>
      </c>
      <c r="L862" s="45">
        <v>234.03059999999999</v>
      </c>
      <c r="M862" s="45">
        <v>640.29</v>
      </c>
      <c r="N862" s="45">
        <v>0</v>
      </c>
      <c r="O862" s="45">
        <v>0</v>
      </c>
      <c r="P862" s="62">
        <f t="shared" si="14"/>
        <v>3</v>
      </c>
    </row>
    <row r="863" spans="1:16" x14ac:dyDescent="0.25">
      <c r="A863" s="43" t="s">
        <v>200</v>
      </c>
      <c r="B863" s="43" t="s">
        <v>291</v>
      </c>
      <c r="C863" s="43" t="s">
        <v>265</v>
      </c>
      <c r="D863" s="43" t="s">
        <v>293</v>
      </c>
      <c r="E863" s="43" t="s">
        <v>503</v>
      </c>
      <c r="F863" s="43" t="s">
        <v>312</v>
      </c>
      <c r="G863" s="43" t="s">
        <v>234</v>
      </c>
      <c r="H863" s="43" t="s">
        <v>207</v>
      </c>
      <c r="I863" s="44">
        <v>45603</v>
      </c>
      <c r="J863" s="44">
        <v>45603</v>
      </c>
      <c r="K863" s="45">
        <v>0</v>
      </c>
      <c r="L863" s="45">
        <v>0</v>
      </c>
      <c r="M863" s="45">
        <v>0</v>
      </c>
      <c r="N863" s="45">
        <v>1</v>
      </c>
      <c r="O863" s="45">
        <v>86.221900000000005</v>
      </c>
      <c r="P863" s="62">
        <f t="shared" si="14"/>
        <v>1</v>
      </c>
    </row>
    <row r="864" spans="1:16" x14ac:dyDescent="0.25">
      <c r="A864" s="43" t="s">
        <v>200</v>
      </c>
      <c r="B864" s="43" t="s">
        <v>291</v>
      </c>
      <c r="C864" s="43" t="s">
        <v>265</v>
      </c>
      <c r="D864" s="43" t="s">
        <v>293</v>
      </c>
      <c r="E864" s="43" t="s">
        <v>504</v>
      </c>
      <c r="F864" s="43" t="s">
        <v>312</v>
      </c>
      <c r="G864" s="43" t="s">
        <v>234</v>
      </c>
      <c r="H864" s="43" t="s">
        <v>207</v>
      </c>
      <c r="I864" s="44">
        <v>45432</v>
      </c>
      <c r="J864" s="44">
        <v>45603</v>
      </c>
      <c r="K864" s="45">
        <v>0</v>
      </c>
      <c r="L864" s="45">
        <v>0</v>
      </c>
      <c r="M864" s="45">
        <v>0</v>
      </c>
      <c r="N864" s="45">
        <v>1</v>
      </c>
      <c r="O864" s="45">
        <v>65.692899999999995</v>
      </c>
      <c r="P864" s="62">
        <f t="shared" si="14"/>
        <v>1</v>
      </c>
    </row>
    <row r="865" spans="1:16" x14ac:dyDescent="0.25">
      <c r="A865" s="43" t="s">
        <v>200</v>
      </c>
      <c r="B865" s="43" t="s">
        <v>291</v>
      </c>
      <c r="C865" s="43" t="s">
        <v>265</v>
      </c>
      <c r="D865" s="43" t="s">
        <v>293</v>
      </c>
      <c r="E865" s="43" t="s">
        <v>505</v>
      </c>
      <c r="F865" s="43" t="s">
        <v>312</v>
      </c>
      <c r="G865" s="43" t="s">
        <v>232</v>
      </c>
      <c r="H865" s="43" t="s">
        <v>207</v>
      </c>
      <c r="I865" s="44">
        <v>45590</v>
      </c>
      <c r="J865" s="44">
        <v>45625</v>
      </c>
      <c r="K865" s="45">
        <v>9</v>
      </c>
      <c r="L865" s="45">
        <v>599.81709999999998</v>
      </c>
      <c r="M865" s="45">
        <v>1573.04</v>
      </c>
      <c r="N865" s="45">
        <v>0</v>
      </c>
      <c r="O865" s="45">
        <v>0</v>
      </c>
      <c r="P865" s="62">
        <f t="shared" si="14"/>
        <v>9</v>
      </c>
    </row>
    <row r="866" spans="1:16" x14ac:dyDescent="0.25">
      <c r="A866" s="43" t="s">
        <v>200</v>
      </c>
      <c r="B866" s="43" t="s">
        <v>291</v>
      </c>
      <c r="C866" s="43" t="s">
        <v>265</v>
      </c>
      <c r="D866" s="43" t="s">
        <v>293</v>
      </c>
      <c r="E866" s="43" t="s">
        <v>505</v>
      </c>
      <c r="F866" s="43" t="s">
        <v>312</v>
      </c>
      <c r="G866" s="43" t="s">
        <v>233</v>
      </c>
      <c r="H866" s="43" t="s">
        <v>207</v>
      </c>
      <c r="I866" s="44">
        <v>45591</v>
      </c>
      <c r="J866" s="44">
        <v>45645</v>
      </c>
      <c r="K866" s="45">
        <v>11</v>
      </c>
      <c r="L866" s="45">
        <v>732.92020000000002</v>
      </c>
      <c r="M866" s="45">
        <v>1895.23</v>
      </c>
      <c r="N866" s="45">
        <v>8</v>
      </c>
      <c r="O866" s="45">
        <v>547.72239999999999</v>
      </c>
      <c r="P866" s="62">
        <f t="shared" si="14"/>
        <v>19</v>
      </c>
    </row>
    <row r="867" spans="1:16" x14ac:dyDescent="0.25">
      <c r="A867" s="43" t="s">
        <v>200</v>
      </c>
      <c r="B867" s="43" t="s">
        <v>291</v>
      </c>
      <c r="C867" s="43" t="s">
        <v>265</v>
      </c>
      <c r="D867" s="43" t="s">
        <v>293</v>
      </c>
      <c r="E867" s="43" t="s">
        <v>505</v>
      </c>
      <c r="F867" s="43" t="s">
        <v>312</v>
      </c>
      <c r="G867" s="43" t="s">
        <v>234</v>
      </c>
      <c r="H867" s="43" t="s">
        <v>207</v>
      </c>
      <c r="I867" s="44">
        <v>45590</v>
      </c>
      <c r="J867" s="44">
        <v>45645</v>
      </c>
      <c r="K867" s="45">
        <v>15</v>
      </c>
      <c r="L867" s="45">
        <v>1001.5285</v>
      </c>
      <c r="M867" s="45">
        <v>2577.52</v>
      </c>
      <c r="N867" s="45">
        <v>6</v>
      </c>
      <c r="O867" s="45">
        <v>413.00580000000002</v>
      </c>
      <c r="P867" s="62">
        <f t="shared" si="14"/>
        <v>21</v>
      </c>
    </row>
    <row r="868" spans="1:16" x14ac:dyDescent="0.25">
      <c r="A868" s="43" t="s">
        <v>200</v>
      </c>
      <c r="B868" s="43" t="s">
        <v>291</v>
      </c>
      <c r="C868" s="43" t="s">
        <v>265</v>
      </c>
      <c r="D868" s="43" t="s">
        <v>293</v>
      </c>
      <c r="E868" s="43" t="s">
        <v>505</v>
      </c>
      <c r="F868" s="43" t="s">
        <v>312</v>
      </c>
      <c r="G868" s="43" t="s">
        <v>259</v>
      </c>
      <c r="H868" s="43" t="s">
        <v>207</v>
      </c>
      <c r="I868" s="44">
        <v>45591</v>
      </c>
      <c r="J868" s="44">
        <v>45591</v>
      </c>
      <c r="K868" s="45">
        <v>3</v>
      </c>
      <c r="L868" s="45">
        <v>197.0787</v>
      </c>
      <c r="M868" s="45">
        <v>511.72</v>
      </c>
      <c r="N868" s="45">
        <v>0</v>
      </c>
      <c r="O868" s="45">
        <v>0</v>
      </c>
      <c r="P868" s="62">
        <f t="shared" si="14"/>
        <v>3</v>
      </c>
    </row>
    <row r="869" spans="1:16" x14ac:dyDescent="0.25">
      <c r="A869" s="43" t="s">
        <v>200</v>
      </c>
      <c r="B869" s="43" t="s">
        <v>291</v>
      </c>
      <c r="C869" s="43" t="s">
        <v>265</v>
      </c>
      <c r="D869" s="43" t="s">
        <v>293</v>
      </c>
      <c r="E869" s="43" t="s">
        <v>505</v>
      </c>
      <c r="F869" s="43" t="s">
        <v>312</v>
      </c>
      <c r="G869" s="43" t="s">
        <v>296</v>
      </c>
      <c r="H869" s="43" t="s">
        <v>207</v>
      </c>
      <c r="I869" s="44">
        <v>45590</v>
      </c>
      <c r="J869" s="44">
        <v>45625</v>
      </c>
      <c r="K869" s="45">
        <v>4</v>
      </c>
      <c r="L869" s="45">
        <v>261.63290000000001</v>
      </c>
      <c r="M869" s="45">
        <v>701.23</v>
      </c>
      <c r="N869" s="45">
        <v>4</v>
      </c>
      <c r="O869" s="45">
        <v>267.32639999999998</v>
      </c>
      <c r="P869" s="62">
        <f t="shared" si="14"/>
        <v>8</v>
      </c>
    </row>
    <row r="870" spans="1:16" x14ac:dyDescent="0.25">
      <c r="A870" s="43" t="s">
        <v>200</v>
      </c>
      <c r="B870" s="43" t="s">
        <v>291</v>
      </c>
      <c r="C870" s="43" t="s">
        <v>265</v>
      </c>
      <c r="D870" s="43" t="s">
        <v>293</v>
      </c>
      <c r="E870" s="43" t="s">
        <v>506</v>
      </c>
      <c r="F870" s="43" t="s">
        <v>312</v>
      </c>
      <c r="G870" s="43" t="s">
        <v>232</v>
      </c>
      <c r="H870" s="43" t="s">
        <v>207</v>
      </c>
      <c r="I870" s="44">
        <v>45590</v>
      </c>
      <c r="J870" s="44">
        <v>45636</v>
      </c>
      <c r="K870" s="45">
        <v>6</v>
      </c>
      <c r="L870" s="45">
        <v>399.75420000000003</v>
      </c>
      <c r="M870" s="45">
        <v>1023.43</v>
      </c>
      <c r="N870" s="45">
        <v>5</v>
      </c>
      <c r="O870" s="45">
        <v>339.94749999999999</v>
      </c>
      <c r="P870" s="62">
        <f t="shared" si="14"/>
        <v>11</v>
      </c>
    </row>
    <row r="871" spans="1:16" x14ac:dyDescent="0.25">
      <c r="A871" s="43" t="s">
        <v>200</v>
      </c>
      <c r="B871" s="43" t="s">
        <v>291</v>
      </c>
      <c r="C871" s="43" t="s">
        <v>265</v>
      </c>
      <c r="D871" s="43" t="s">
        <v>293</v>
      </c>
      <c r="E871" s="43" t="s">
        <v>506</v>
      </c>
      <c r="F871" s="43" t="s">
        <v>312</v>
      </c>
      <c r="G871" s="43" t="s">
        <v>233</v>
      </c>
      <c r="H871" s="43" t="s">
        <v>207</v>
      </c>
      <c r="I871" s="44">
        <v>45590</v>
      </c>
      <c r="J871" s="44">
        <v>45644</v>
      </c>
      <c r="K871" s="45">
        <v>3</v>
      </c>
      <c r="L871" s="45">
        <v>197.0787</v>
      </c>
      <c r="M871" s="45">
        <v>511.71</v>
      </c>
      <c r="N871" s="45">
        <v>5</v>
      </c>
      <c r="O871" s="45">
        <v>331.88049999999998</v>
      </c>
      <c r="P871" s="62">
        <f t="shared" si="14"/>
        <v>8</v>
      </c>
    </row>
    <row r="872" spans="1:16" x14ac:dyDescent="0.25">
      <c r="A872" s="43" t="s">
        <v>200</v>
      </c>
      <c r="B872" s="43" t="s">
        <v>291</v>
      </c>
      <c r="C872" s="43" t="s">
        <v>265</v>
      </c>
      <c r="D872" s="43" t="s">
        <v>293</v>
      </c>
      <c r="E872" s="43" t="s">
        <v>506</v>
      </c>
      <c r="F872" s="43" t="s">
        <v>312</v>
      </c>
      <c r="G872" s="43" t="s">
        <v>234</v>
      </c>
      <c r="H872" s="43" t="s">
        <v>207</v>
      </c>
      <c r="I872" s="44">
        <v>45590</v>
      </c>
      <c r="J872" s="44">
        <v>45643</v>
      </c>
      <c r="K872" s="45">
        <v>10</v>
      </c>
      <c r="L872" s="45">
        <v>666.19299999999998</v>
      </c>
      <c r="M872" s="45">
        <v>1686.76</v>
      </c>
      <c r="N872" s="45">
        <v>3</v>
      </c>
      <c r="O872" s="45">
        <v>204.89490000000001</v>
      </c>
      <c r="P872" s="62">
        <f t="shared" si="14"/>
        <v>13</v>
      </c>
    </row>
    <row r="873" spans="1:16" x14ac:dyDescent="0.25">
      <c r="A873" s="43" t="s">
        <v>200</v>
      </c>
      <c r="B873" s="43" t="s">
        <v>291</v>
      </c>
      <c r="C873" s="43" t="s">
        <v>265</v>
      </c>
      <c r="D873" s="43" t="s">
        <v>293</v>
      </c>
      <c r="E873" s="43" t="s">
        <v>506</v>
      </c>
      <c r="F873" s="43" t="s">
        <v>312</v>
      </c>
      <c r="G873" s="43" t="s">
        <v>259</v>
      </c>
      <c r="H873" s="43" t="s">
        <v>207</v>
      </c>
      <c r="I873" s="44">
        <v>45590</v>
      </c>
      <c r="J873" s="44">
        <v>45590</v>
      </c>
      <c r="K873" s="45">
        <v>3</v>
      </c>
      <c r="L873" s="45">
        <v>197.0787</v>
      </c>
      <c r="M873" s="45">
        <v>511.71</v>
      </c>
      <c r="N873" s="45">
        <v>0</v>
      </c>
      <c r="O873" s="45">
        <v>0</v>
      </c>
      <c r="P873" s="62">
        <f t="shared" si="14"/>
        <v>3</v>
      </c>
    </row>
    <row r="874" spans="1:16" x14ac:dyDescent="0.25">
      <c r="A874" s="43" t="s">
        <v>200</v>
      </c>
      <c r="B874" s="43" t="s">
        <v>291</v>
      </c>
      <c r="C874" s="43" t="s">
        <v>265</v>
      </c>
      <c r="D874" s="43" t="s">
        <v>293</v>
      </c>
      <c r="E874" s="43" t="s">
        <v>506</v>
      </c>
      <c r="F874" s="43" t="s">
        <v>312</v>
      </c>
      <c r="G874" s="43" t="s">
        <v>296</v>
      </c>
      <c r="H874" s="43" t="s">
        <v>207</v>
      </c>
      <c r="I874" s="44">
        <v>45590</v>
      </c>
      <c r="J874" s="44">
        <v>45631</v>
      </c>
      <c r="K874" s="45">
        <v>6</v>
      </c>
      <c r="L874" s="45">
        <v>397.57350000000002</v>
      </c>
      <c r="M874" s="45">
        <v>1061.32</v>
      </c>
      <c r="N874" s="45">
        <v>3</v>
      </c>
      <c r="O874" s="45">
        <v>205.04939999999999</v>
      </c>
      <c r="P874" s="62">
        <f t="shared" si="14"/>
        <v>9</v>
      </c>
    </row>
    <row r="875" spans="1:16" x14ac:dyDescent="0.25">
      <c r="A875" s="43" t="s">
        <v>200</v>
      </c>
      <c r="B875" s="43" t="s">
        <v>291</v>
      </c>
      <c r="C875" s="43" t="s">
        <v>265</v>
      </c>
      <c r="D875" s="43" t="s">
        <v>293</v>
      </c>
      <c r="E875" s="43" t="s">
        <v>507</v>
      </c>
      <c r="F875" s="43" t="s">
        <v>508</v>
      </c>
      <c r="G875" s="43" t="s">
        <v>232</v>
      </c>
      <c r="H875" s="43" t="s">
        <v>207</v>
      </c>
      <c r="I875" s="44">
        <v>45633</v>
      </c>
      <c r="J875" s="44">
        <v>45647</v>
      </c>
      <c r="K875" s="45">
        <v>0</v>
      </c>
      <c r="L875" s="45">
        <v>0</v>
      </c>
      <c r="M875" s="45">
        <v>0</v>
      </c>
      <c r="N875" s="45">
        <v>5</v>
      </c>
      <c r="O875" s="45">
        <v>225.10550000000001</v>
      </c>
      <c r="P875" s="62">
        <f t="shared" si="14"/>
        <v>5</v>
      </c>
    </row>
    <row r="876" spans="1:16" x14ac:dyDescent="0.25">
      <c r="A876" s="43" t="s">
        <v>200</v>
      </c>
      <c r="B876" s="43" t="s">
        <v>291</v>
      </c>
      <c r="C876" s="43" t="s">
        <v>265</v>
      </c>
      <c r="D876" s="43" t="s">
        <v>293</v>
      </c>
      <c r="E876" s="43" t="s">
        <v>507</v>
      </c>
      <c r="F876" s="43" t="s">
        <v>508</v>
      </c>
      <c r="G876" s="43" t="s">
        <v>233</v>
      </c>
      <c r="H876" s="43" t="s">
        <v>207</v>
      </c>
      <c r="I876" s="44">
        <v>45633</v>
      </c>
      <c r="J876" s="44">
        <v>45647</v>
      </c>
      <c r="K876" s="45">
        <v>5</v>
      </c>
      <c r="L876" s="45">
        <v>222.63399999999999</v>
      </c>
      <c r="M876" s="45">
        <v>622.17999999999995</v>
      </c>
      <c r="N876" s="45">
        <v>4</v>
      </c>
      <c r="O876" s="45">
        <v>178.10720000000001</v>
      </c>
      <c r="P876" s="62">
        <f t="shared" si="14"/>
        <v>9</v>
      </c>
    </row>
    <row r="877" spans="1:16" x14ac:dyDescent="0.25">
      <c r="A877" s="43" t="s">
        <v>200</v>
      </c>
      <c r="B877" s="43" t="s">
        <v>291</v>
      </c>
      <c r="C877" s="43" t="s">
        <v>265</v>
      </c>
      <c r="D877" s="43" t="s">
        <v>293</v>
      </c>
      <c r="E877" s="43" t="s">
        <v>507</v>
      </c>
      <c r="F877" s="43" t="s">
        <v>508</v>
      </c>
      <c r="G877" s="43" t="s">
        <v>234</v>
      </c>
      <c r="H877" s="43" t="s">
        <v>207</v>
      </c>
      <c r="I877" s="44">
        <v>45633</v>
      </c>
      <c r="J877" s="44">
        <v>45644</v>
      </c>
      <c r="K877" s="45">
        <v>6</v>
      </c>
      <c r="L877" s="45">
        <v>267.50639999999999</v>
      </c>
      <c r="M877" s="45">
        <v>714.85</v>
      </c>
      <c r="N877" s="45">
        <v>3</v>
      </c>
      <c r="O877" s="45">
        <v>133.75319999999999</v>
      </c>
      <c r="P877" s="62">
        <f t="shared" si="14"/>
        <v>9</v>
      </c>
    </row>
    <row r="878" spans="1:16" x14ac:dyDescent="0.25">
      <c r="A878" s="43" t="s">
        <v>200</v>
      </c>
      <c r="B878" s="43" t="s">
        <v>291</v>
      </c>
      <c r="C878" s="43" t="s">
        <v>265</v>
      </c>
      <c r="D878" s="43" t="s">
        <v>293</v>
      </c>
      <c r="E878" s="43" t="s">
        <v>507</v>
      </c>
      <c r="F878" s="43" t="s">
        <v>508</v>
      </c>
      <c r="G878" s="43" t="s">
        <v>259</v>
      </c>
      <c r="H878" s="43" t="s">
        <v>207</v>
      </c>
      <c r="I878" s="44">
        <v>45633</v>
      </c>
      <c r="J878" s="44">
        <v>45646</v>
      </c>
      <c r="K878" s="45">
        <v>0</v>
      </c>
      <c r="L878" s="45">
        <v>0</v>
      </c>
      <c r="M878" s="45">
        <v>0</v>
      </c>
      <c r="N878" s="45">
        <v>3</v>
      </c>
      <c r="O878" s="45">
        <v>112.57380000000001</v>
      </c>
      <c r="P878" s="62">
        <f t="shared" si="14"/>
        <v>3</v>
      </c>
    </row>
    <row r="879" spans="1:16" x14ac:dyDescent="0.25">
      <c r="A879" s="43" t="s">
        <v>200</v>
      </c>
      <c r="B879" s="43" t="s">
        <v>291</v>
      </c>
      <c r="C879" s="43" t="s">
        <v>265</v>
      </c>
      <c r="D879" s="43" t="s">
        <v>293</v>
      </c>
      <c r="E879" s="43" t="s">
        <v>507</v>
      </c>
      <c r="F879" s="43" t="s">
        <v>508</v>
      </c>
      <c r="G879" s="43" t="s">
        <v>296</v>
      </c>
      <c r="H879" s="43" t="s">
        <v>207</v>
      </c>
      <c r="I879" s="44">
        <v>45633</v>
      </c>
      <c r="J879" s="44">
        <v>45647</v>
      </c>
      <c r="K879" s="45">
        <v>5</v>
      </c>
      <c r="L879" s="45">
        <v>201.43199999999999</v>
      </c>
      <c r="M879" s="45">
        <v>622.17999999999995</v>
      </c>
      <c r="N879" s="45">
        <v>2</v>
      </c>
      <c r="O879" s="45">
        <v>80.572800000000001</v>
      </c>
      <c r="P879" s="62">
        <f t="shared" si="14"/>
        <v>7</v>
      </c>
    </row>
    <row r="880" spans="1:16" x14ac:dyDescent="0.25">
      <c r="A880" s="43" t="s">
        <v>200</v>
      </c>
      <c r="B880" s="43" t="s">
        <v>291</v>
      </c>
      <c r="C880" s="43" t="s">
        <v>265</v>
      </c>
      <c r="D880" s="43" t="s">
        <v>293</v>
      </c>
      <c r="E880" s="43" t="s">
        <v>509</v>
      </c>
      <c r="F880" s="43" t="s">
        <v>510</v>
      </c>
      <c r="G880" s="43" t="s">
        <v>232</v>
      </c>
      <c r="H880" s="43" t="s">
        <v>207</v>
      </c>
      <c r="I880" s="44">
        <v>45590</v>
      </c>
      <c r="J880" s="44">
        <v>45605</v>
      </c>
      <c r="K880" s="45">
        <v>4</v>
      </c>
      <c r="L880" s="45">
        <v>150.654</v>
      </c>
      <c r="M880" s="45">
        <v>408</v>
      </c>
      <c r="N880" s="45">
        <v>1</v>
      </c>
      <c r="O880" s="45">
        <v>37.663499999999999</v>
      </c>
      <c r="P880" s="62">
        <f t="shared" si="14"/>
        <v>5</v>
      </c>
    </row>
    <row r="881" spans="1:16" x14ac:dyDescent="0.25">
      <c r="A881" s="43" t="s">
        <v>200</v>
      </c>
      <c r="B881" s="43" t="s">
        <v>291</v>
      </c>
      <c r="C881" s="43" t="s">
        <v>265</v>
      </c>
      <c r="D881" s="43" t="s">
        <v>293</v>
      </c>
      <c r="E881" s="43" t="s">
        <v>509</v>
      </c>
      <c r="F881" s="43" t="s">
        <v>510</v>
      </c>
      <c r="G881" s="43" t="s">
        <v>233</v>
      </c>
      <c r="H881" s="43" t="s">
        <v>207</v>
      </c>
      <c r="I881" s="44">
        <v>45591</v>
      </c>
      <c r="J881" s="44">
        <v>45610</v>
      </c>
      <c r="K881" s="45">
        <v>5</v>
      </c>
      <c r="L881" s="45">
        <v>188.3175</v>
      </c>
      <c r="M881" s="45">
        <v>487.33</v>
      </c>
      <c r="N881" s="45">
        <v>0</v>
      </c>
      <c r="O881" s="45">
        <v>0</v>
      </c>
      <c r="P881" s="62">
        <f t="shared" si="14"/>
        <v>5</v>
      </c>
    </row>
    <row r="882" spans="1:16" x14ac:dyDescent="0.25">
      <c r="A882" s="43" t="s">
        <v>200</v>
      </c>
      <c r="B882" s="43" t="s">
        <v>291</v>
      </c>
      <c r="C882" s="43" t="s">
        <v>265</v>
      </c>
      <c r="D882" s="43" t="s">
        <v>293</v>
      </c>
      <c r="E882" s="43" t="s">
        <v>509</v>
      </c>
      <c r="F882" s="43" t="s">
        <v>510</v>
      </c>
      <c r="G882" s="43" t="s">
        <v>234</v>
      </c>
      <c r="H882" s="43" t="s">
        <v>207</v>
      </c>
      <c r="I882" s="44">
        <v>45591</v>
      </c>
      <c r="J882" s="44">
        <v>45605</v>
      </c>
      <c r="K882" s="45">
        <v>6</v>
      </c>
      <c r="L882" s="45">
        <v>225.98099999999999</v>
      </c>
      <c r="M882" s="45">
        <v>612</v>
      </c>
      <c r="N882" s="45">
        <v>0</v>
      </c>
      <c r="O882" s="45">
        <v>0</v>
      </c>
      <c r="P882" s="62">
        <f t="shared" si="14"/>
        <v>6</v>
      </c>
    </row>
    <row r="883" spans="1:16" x14ac:dyDescent="0.25">
      <c r="A883" s="43" t="s">
        <v>200</v>
      </c>
      <c r="B883" s="43" t="s">
        <v>291</v>
      </c>
      <c r="C883" s="43" t="s">
        <v>265</v>
      </c>
      <c r="D883" s="43" t="s">
        <v>293</v>
      </c>
      <c r="E883" s="43" t="s">
        <v>509</v>
      </c>
      <c r="F883" s="43" t="s">
        <v>510</v>
      </c>
      <c r="G883" s="43" t="s">
        <v>259</v>
      </c>
      <c r="H883" s="43" t="s">
        <v>207</v>
      </c>
      <c r="I883" s="44">
        <v>45591</v>
      </c>
      <c r="J883" s="44">
        <v>45591</v>
      </c>
      <c r="K883" s="45">
        <v>1</v>
      </c>
      <c r="L883" s="45">
        <v>37.663499999999999</v>
      </c>
      <c r="M883" s="45">
        <v>79.33</v>
      </c>
      <c r="N883" s="45">
        <v>0</v>
      </c>
      <c r="O883" s="45">
        <v>0</v>
      </c>
      <c r="P883" s="62">
        <f t="shared" si="14"/>
        <v>1</v>
      </c>
    </row>
    <row r="884" spans="1:16" x14ac:dyDescent="0.25">
      <c r="A884" s="43" t="s">
        <v>200</v>
      </c>
      <c r="B884" s="43" t="s">
        <v>291</v>
      </c>
      <c r="C884" s="43" t="s">
        <v>265</v>
      </c>
      <c r="D884" s="43" t="s">
        <v>293</v>
      </c>
      <c r="E884" s="43" t="s">
        <v>509</v>
      </c>
      <c r="F884" s="43" t="s">
        <v>510</v>
      </c>
      <c r="G884" s="43" t="s">
        <v>296</v>
      </c>
      <c r="H884" s="43" t="s">
        <v>207</v>
      </c>
      <c r="I884" s="44">
        <v>45591</v>
      </c>
      <c r="J884" s="44">
        <v>45605</v>
      </c>
      <c r="K884" s="45">
        <v>4</v>
      </c>
      <c r="L884" s="45">
        <v>150.654</v>
      </c>
      <c r="M884" s="45">
        <v>408</v>
      </c>
      <c r="N884" s="45">
        <v>0</v>
      </c>
      <c r="O884" s="45">
        <v>0</v>
      </c>
      <c r="P884" s="62">
        <f t="shared" si="14"/>
        <v>4</v>
      </c>
    </row>
    <row r="885" spans="1:16" x14ac:dyDescent="0.25">
      <c r="A885" s="43" t="s">
        <v>200</v>
      </c>
      <c r="B885" s="43" t="s">
        <v>291</v>
      </c>
      <c r="C885" s="43" t="s">
        <v>265</v>
      </c>
      <c r="D885" s="43" t="s">
        <v>293</v>
      </c>
      <c r="E885" s="43" t="s">
        <v>511</v>
      </c>
      <c r="F885" s="43" t="s">
        <v>510</v>
      </c>
      <c r="G885" s="43" t="s">
        <v>232</v>
      </c>
      <c r="H885" s="43" t="s">
        <v>207</v>
      </c>
      <c r="I885" s="44">
        <v>45591</v>
      </c>
      <c r="J885" s="44">
        <v>45608</v>
      </c>
      <c r="K885" s="45">
        <v>1</v>
      </c>
      <c r="L885" s="45">
        <v>37.663499999999999</v>
      </c>
      <c r="M885" s="45">
        <v>102</v>
      </c>
      <c r="N885" s="45">
        <v>0</v>
      </c>
      <c r="O885" s="45">
        <v>0</v>
      </c>
      <c r="P885" s="62">
        <f t="shared" si="14"/>
        <v>1</v>
      </c>
    </row>
    <row r="886" spans="1:16" x14ac:dyDescent="0.25">
      <c r="A886" s="43" t="s">
        <v>200</v>
      </c>
      <c r="B886" s="43" t="s">
        <v>291</v>
      </c>
      <c r="C886" s="43" t="s">
        <v>265</v>
      </c>
      <c r="D886" s="43" t="s">
        <v>293</v>
      </c>
      <c r="E886" s="43" t="s">
        <v>511</v>
      </c>
      <c r="F886" s="43" t="s">
        <v>510</v>
      </c>
      <c r="G886" s="43" t="s">
        <v>233</v>
      </c>
      <c r="H886" s="43" t="s">
        <v>207</v>
      </c>
      <c r="I886" s="44">
        <v>45591</v>
      </c>
      <c r="J886" s="44">
        <v>45608</v>
      </c>
      <c r="K886" s="45">
        <v>4</v>
      </c>
      <c r="L886" s="45">
        <v>150.654</v>
      </c>
      <c r="M886" s="45">
        <v>385.34</v>
      </c>
      <c r="N886" s="45">
        <v>1</v>
      </c>
      <c r="O886" s="45">
        <v>37.663499999999999</v>
      </c>
      <c r="P886" s="62">
        <f t="shared" si="14"/>
        <v>5</v>
      </c>
    </row>
    <row r="887" spans="1:16" x14ac:dyDescent="0.25">
      <c r="A887" s="43" t="s">
        <v>200</v>
      </c>
      <c r="B887" s="43" t="s">
        <v>291</v>
      </c>
      <c r="C887" s="43" t="s">
        <v>265</v>
      </c>
      <c r="D887" s="43" t="s">
        <v>293</v>
      </c>
      <c r="E887" s="43" t="s">
        <v>511</v>
      </c>
      <c r="F887" s="43" t="s">
        <v>510</v>
      </c>
      <c r="G887" s="43" t="s">
        <v>234</v>
      </c>
      <c r="H887" s="43" t="s">
        <v>207</v>
      </c>
      <c r="I887" s="44">
        <v>45590</v>
      </c>
      <c r="J887" s="44">
        <v>45605</v>
      </c>
      <c r="K887" s="45">
        <v>3</v>
      </c>
      <c r="L887" s="45">
        <v>112.9905</v>
      </c>
      <c r="M887" s="45">
        <v>306</v>
      </c>
      <c r="N887" s="45">
        <v>0</v>
      </c>
      <c r="O887" s="45">
        <v>0</v>
      </c>
      <c r="P887" s="62">
        <f t="shared" si="14"/>
        <v>3</v>
      </c>
    </row>
    <row r="888" spans="1:16" x14ac:dyDescent="0.25">
      <c r="A888" s="43" t="s">
        <v>200</v>
      </c>
      <c r="B888" s="43" t="s">
        <v>291</v>
      </c>
      <c r="C888" s="43" t="s">
        <v>265</v>
      </c>
      <c r="D888" s="43" t="s">
        <v>293</v>
      </c>
      <c r="E888" s="43" t="s">
        <v>511</v>
      </c>
      <c r="F888" s="43" t="s">
        <v>510</v>
      </c>
      <c r="G888" s="43" t="s">
        <v>296</v>
      </c>
      <c r="H888" s="43" t="s">
        <v>207</v>
      </c>
      <c r="I888" s="44">
        <v>45591</v>
      </c>
      <c r="J888" s="44">
        <v>45608</v>
      </c>
      <c r="K888" s="45">
        <v>2</v>
      </c>
      <c r="L888" s="45">
        <v>75.326999999999998</v>
      </c>
      <c r="M888" s="45">
        <v>215.34</v>
      </c>
      <c r="N888" s="45">
        <v>3</v>
      </c>
      <c r="O888" s="45">
        <v>112.9905</v>
      </c>
      <c r="P888" s="62">
        <f t="shared" si="14"/>
        <v>5</v>
      </c>
    </row>
    <row r="889" spans="1:16" x14ac:dyDescent="0.25">
      <c r="A889" s="43" t="s">
        <v>200</v>
      </c>
      <c r="B889" s="43" t="s">
        <v>291</v>
      </c>
      <c r="C889" s="43" t="s">
        <v>265</v>
      </c>
      <c r="D889" s="43" t="s">
        <v>293</v>
      </c>
      <c r="E889" s="43" t="s">
        <v>512</v>
      </c>
      <c r="F889" s="43" t="s">
        <v>510</v>
      </c>
      <c r="G889" s="43" t="s">
        <v>233</v>
      </c>
      <c r="H889" s="43" t="s">
        <v>218</v>
      </c>
      <c r="I889" s="44">
        <v>45591</v>
      </c>
      <c r="J889" s="44">
        <v>45608</v>
      </c>
      <c r="K889" s="45">
        <v>3</v>
      </c>
      <c r="L889" s="45">
        <v>112.9905</v>
      </c>
      <c r="M889" s="45">
        <v>306</v>
      </c>
      <c r="N889" s="45">
        <v>1</v>
      </c>
      <c r="O889" s="45">
        <v>37.663499999999999</v>
      </c>
      <c r="P889" s="62">
        <f t="shared" si="14"/>
        <v>4</v>
      </c>
    </row>
    <row r="890" spans="1:16" x14ac:dyDescent="0.25">
      <c r="A890" s="43" t="s">
        <v>200</v>
      </c>
      <c r="B890" s="43" t="s">
        <v>291</v>
      </c>
      <c r="C890" s="43" t="s">
        <v>265</v>
      </c>
      <c r="D890" s="43" t="s">
        <v>293</v>
      </c>
      <c r="E890" s="43" t="s">
        <v>512</v>
      </c>
      <c r="F890" s="43" t="s">
        <v>510</v>
      </c>
      <c r="G890" s="43" t="s">
        <v>234</v>
      </c>
      <c r="H890" s="43" t="s">
        <v>218</v>
      </c>
      <c r="I890" s="44">
        <v>45590</v>
      </c>
      <c r="J890" s="44">
        <v>45610</v>
      </c>
      <c r="K890" s="45">
        <v>5</v>
      </c>
      <c r="L890" s="45">
        <v>188.3175</v>
      </c>
      <c r="M890" s="45">
        <v>521.34</v>
      </c>
      <c r="N890" s="45">
        <v>1</v>
      </c>
      <c r="O890" s="45">
        <v>37.663499999999999</v>
      </c>
      <c r="P890" s="62">
        <f t="shared" si="14"/>
        <v>6</v>
      </c>
    </row>
    <row r="891" spans="1:16" x14ac:dyDescent="0.25">
      <c r="A891" s="43" t="s">
        <v>200</v>
      </c>
      <c r="B891" s="43" t="s">
        <v>291</v>
      </c>
      <c r="C891" s="43" t="s">
        <v>265</v>
      </c>
      <c r="D891" s="43" t="s">
        <v>293</v>
      </c>
      <c r="E891" s="43" t="s">
        <v>513</v>
      </c>
      <c r="F891" s="43" t="s">
        <v>510</v>
      </c>
      <c r="G891" s="43" t="s">
        <v>232</v>
      </c>
      <c r="H891" s="43" t="s">
        <v>207</v>
      </c>
      <c r="I891" s="44">
        <v>45591</v>
      </c>
      <c r="J891" s="44">
        <v>45605</v>
      </c>
      <c r="K891" s="45">
        <v>1</v>
      </c>
      <c r="L891" s="45">
        <v>37.663499999999999</v>
      </c>
      <c r="M891" s="45">
        <v>102</v>
      </c>
      <c r="N891" s="45">
        <v>0</v>
      </c>
      <c r="O891" s="45">
        <v>0</v>
      </c>
      <c r="P891" s="62">
        <f t="shared" si="14"/>
        <v>1</v>
      </c>
    </row>
    <row r="892" spans="1:16" x14ac:dyDescent="0.25">
      <c r="A892" s="43" t="s">
        <v>200</v>
      </c>
      <c r="B892" s="43" t="s">
        <v>291</v>
      </c>
      <c r="C892" s="43" t="s">
        <v>265</v>
      </c>
      <c r="D892" s="43" t="s">
        <v>293</v>
      </c>
      <c r="E892" s="43" t="s">
        <v>513</v>
      </c>
      <c r="F892" s="43" t="s">
        <v>510</v>
      </c>
      <c r="G892" s="43" t="s">
        <v>233</v>
      </c>
      <c r="H892" s="43" t="s">
        <v>207</v>
      </c>
      <c r="I892" s="44">
        <v>45591</v>
      </c>
      <c r="J892" s="44">
        <v>45605</v>
      </c>
      <c r="K892" s="45">
        <v>1</v>
      </c>
      <c r="L892" s="45">
        <v>37.663499999999999</v>
      </c>
      <c r="M892" s="45">
        <v>79.33</v>
      </c>
      <c r="N892" s="45">
        <v>0</v>
      </c>
      <c r="O892" s="45">
        <v>0</v>
      </c>
      <c r="P892" s="62">
        <f t="shared" si="14"/>
        <v>1</v>
      </c>
    </row>
    <row r="893" spans="1:16" x14ac:dyDescent="0.25">
      <c r="A893" s="43" t="s">
        <v>200</v>
      </c>
      <c r="B893" s="43" t="s">
        <v>291</v>
      </c>
      <c r="C893" s="43" t="s">
        <v>265</v>
      </c>
      <c r="D893" s="43" t="s">
        <v>293</v>
      </c>
      <c r="E893" s="43" t="s">
        <v>513</v>
      </c>
      <c r="F893" s="43" t="s">
        <v>510</v>
      </c>
      <c r="G893" s="43" t="s">
        <v>234</v>
      </c>
      <c r="H893" s="43" t="s">
        <v>207</v>
      </c>
      <c r="I893" s="44">
        <v>45590</v>
      </c>
      <c r="J893" s="44">
        <v>45611</v>
      </c>
      <c r="K893" s="45">
        <v>5</v>
      </c>
      <c r="L893" s="45">
        <v>187.10550000000001</v>
      </c>
      <c r="M893" s="45">
        <v>510</v>
      </c>
      <c r="N893" s="45">
        <v>0</v>
      </c>
      <c r="O893" s="45">
        <v>0</v>
      </c>
      <c r="P893" s="62">
        <f t="shared" si="14"/>
        <v>5</v>
      </c>
    </row>
    <row r="894" spans="1:16" x14ac:dyDescent="0.25">
      <c r="A894" s="43" t="s">
        <v>200</v>
      </c>
      <c r="B894" s="43" t="s">
        <v>291</v>
      </c>
      <c r="C894" s="43" t="s">
        <v>265</v>
      </c>
      <c r="D894" s="43" t="s">
        <v>293</v>
      </c>
      <c r="E894" s="43" t="s">
        <v>513</v>
      </c>
      <c r="F894" s="43" t="s">
        <v>510</v>
      </c>
      <c r="G894" s="43" t="s">
        <v>259</v>
      </c>
      <c r="H894" s="43" t="s">
        <v>207</v>
      </c>
      <c r="I894" s="44">
        <v>45590</v>
      </c>
      <c r="J894" s="44">
        <v>45590</v>
      </c>
      <c r="K894" s="45">
        <v>0</v>
      </c>
      <c r="L894" s="45">
        <v>0</v>
      </c>
      <c r="M894" s="45">
        <v>0</v>
      </c>
      <c r="N894" s="45">
        <v>1</v>
      </c>
      <c r="O894" s="45">
        <v>37.663499999999999</v>
      </c>
      <c r="P894" s="62">
        <f t="shared" si="14"/>
        <v>1</v>
      </c>
    </row>
    <row r="895" spans="1:16" x14ac:dyDescent="0.25">
      <c r="A895" s="43" t="s">
        <v>200</v>
      </c>
      <c r="B895" s="43" t="s">
        <v>291</v>
      </c>
      <c r="C895" s="43" t="s">
        <v>265</v>
      </c>
      <c r="D895" s="43" t="s">
        <v>293</v>
      </c>
      <c r="E895" s="43" t="s">
        <v>513</v>
      </c>
      <c r="F895" s="43" t="s">
        <v>510</v>
      </c>
      <c r="G895" s="43" t="s">
        <v>296</v>
      </c>
      <c r="H895" s="43" t="s">
        <v>207</v>
      </c>
      <c r="I895" s="44">
        <v>45591</v>
      </c>
      <c r="J895" s="44">
        <v>45611</v>
      </c>
      <c r="K895" s="45">
        <v>4</v>
      </c>
      <c r="L895" s="45">
        <v>150.654</v>
      </c>
      <c r="M895" s="45">
        <v>419.33</v>
      </c>
      <c r="N895" s="45">
        <v>0</v>
      </c>
      <c r="O895" s="45">
        <v>0</v>
      </c>
      <c r="P895" s="62">
        <f t="shared" si="14"/>
        <v>4</v>
      </c>
    </row>
    <row r="896" spans="1:16" x14ac:dyDescent="0.25">
      <c r="A896" s="43" t="s">
        <v>200</v>
      </c>
      <c r="B896" s="43" t="s">
        <v>291</v>
      </c>
      <c r="C896" s="43" t="s">
        <v>265</v>
      </c>
      <c r="D896" s="43" t="s">
        <v>293</v>
      </c>
      <c r="E896" s="43" t="s">
        <v>514</v>
      </c>
      <c r="F896" s="43" t="s">
        <v>228</v>
      </c>
      <c r="G896" s="43" t="s">
        <v>232</v>
      </c>
      <c r="H896" s="43" t="s">
        <v>207</v>
      </c>
      <c r="I896" s="44">
        <v>45593</v>
      </c>
      <c r="J896" s="44">
        <v>45593</v>
      </c>
      <c r="K896" s="45">
        <v>4</v>
      </c>
      <c r="L896" s="45">
        <v>191.87360000000001</v>
      </c>
      <c r="M896" s="45">
        <v>510.85</v>
      </c>
      <c r="N896" s="45">
        <v>1</v>
      </c>
      <c r="O896" s="45">
        <v>47.968400000000003</v>
      </c>
      <c r="P896" s="62">
        <f t="shared" si="14"/>
        <v>5</v>
      </c>
    </row>
    <row r="897" spans="1:16" x14ac:dyDescent="0.25">
      <c r="A897" s="43" t="s">
        <v>200</v>
      </c>
      <c r="B897" s="43" t="s">
        <v>291</v>
      </c>
      <c r="C897" s="43" t="s">
        <v>265</v>
      </c>
      <c r="D897" s="43" t="s">
        <v>293</v>
      </c>
      <c r="E897" s="43" t="s">
        <v>514</v>
      </c>
      <c r="F897" s="43" t="s">
        <v>228</v>
      </c>
      <c r="G897" s="43" t="s">
        <v>233</v>
      </c>
      <c r="H897" s="43" t="s">
        <v>207</v>
      </c>
      <c r="I897" s="44">
        <v>45593</v>
      </c>
      <c r="J897" s="44">
        <v>45647</v>
      </c>
      <c r="K897" s="45">
        <v>6</v>
      </c>
      <c r="L897" s="45">
        <v>293.17849999999999</v>
      </c>
      <c r="M897" s="45">
        <v>780.47</v>
      </c>
      <c r="N897" s="45">
        <v>5</v>
      </c>
      <c r="O897" s="45">
        <v>249.44049999999999</v>
      </c>
      <c r="P897" s="62">
        <f t="shared" si="14"/>
        <v>11</v>
      </c>
    </row>
    <row r="898" spans="1:16" x14ac:dyDescent="0.25">
      <c r="A898" s="43" t="s">
        <v>200</v>
      </c>
      <c r="B898" s="43" t="s">
        <v>291</v>
      </c>
      <c r="C898" s="43" t="s">
        <v>265</v>
      </c>
      <c r="D898" s="43" t="s">
        <v>293</v>
      </c>
      <c r="E898" s="43" t="s">
        <v>514</v>
      </c>
      <c r="F898" s="43" t="s">
        <v>228</v>
      </c>
      <c r="G898" s="43" t="s">
        <v>234</v>
      </c>
      <c r="H898" s="43" t="s">
        <v>207</v>
      </c>
      <c r="I898" s="44">
        <v>45593</v>
      </c>
      <c r="J898" s="44">
        <v>45643</v>
      </c>
      <c r="K898" s="45">
        <v>10</v>
      </c>
      <c r="L898" s="45">
        <v>494.65039999999999</v>
      </c>
      <c r="M898" s="45">
        <v>1291.31</v>
      </c>
      <c r="N898" s="45">
        <v>3</v>
      </c>
      <c r="O898" s="45">
        <v>151.38839999999999</v>
      </c>
      <c r="P898" s="62">
        <f t="shared" si="14"/>
        <v>13</v>
      </c>
    </row>
    <row r="899" spans="1:16" x14ac:dyDescent="0.25">
      <c r="A899" s="43" t="s">
        <v>200</v>
      </c>
      <c r="B899" s="43" t="s">
        <v>291</v>
      </c>
      <c r="C899" s="43" t="s">
        <v>265</v>
      </c>
      <c r="D899" s="43" t="s">
        <v>293</v>
      </c>
      <c r="E899" s="43" t="s">
        <v>514</v>
      </c>
      <c r="F899" s="43" t="s">
        <v>228</v>
      </c>
      <c r="G899" s="43" t="s">
        <v>296</v>
      </c>
      <c r="H899" s="43" t="s">
        <v>207</v>
      </c>
      <c r="I899" s="44">
        <v>45593</v>
      </c>
      <c r="J899" s="44">
        <v>45630</v>
      </c>
      <c r="K899" s="45">
        <v>6</v>
      </c>
      <c r="L899" s="45">
        <v>295.78640000000001</v>
      </c>
      <c r="M899" s="45">
        <v>766.28</v>
      </c>
      <c r="N899" s="45">
        <v>1</v>
      </c>
      <c r="O899" s="45">
        <v>49.970100000000002</v>
      </c>
      <c r="P899" s="62">
        <f t="shared" si="14"/>
        <v>7</v>
      </c>
    </row>
    <row r="900" spans="1:16" x14ac:dyDescent="0.25">
      <c r="A900" s="43" t="s">
        <v>200</v>
      </c>
      <c r="B900" s="43" t="s">
        <v>291</v>
      </c>
      <c r="C900" s="43" t="s">
        <v>265</v>
      </c>
      <c r="D900" s="43" t="s">
        <v>293</v>
      </c>
      <c r="E900" s="43" t="s">
        <v>515</v>
      </c>
      <c r="F900" s="43" t="s">
        <v>516</v>
      </c>
      <c r="G900" s="43" t="s">
        <v>232</v>
      </c>
      <c r="H900" s="43" t="s">
        <v>207</v>
      </c>
      <c r="I900" s="44">
        <v>45590</v>
      </c>
      <c r="J900" s="44">
        <v>45635</v>
      </c>
      <c r="K900" s="45">
        <v>11</v>
      </c>
      <c r="L900" s="45">
        <v>529.05420000000004</v>
      </c>
      <c r="M900" s="45">
        <v>1404.81</v>
      </c>
      <c r="N900" s="45">
        <v>8</v>
      </c>
      <c r="O900" s="45">
        <v>391.54719999999998</v>
      </c>
      <c r="P900" s="62">
        <f t="shared" si="14"/>
        <v>19</v>
      </c>
    </row>
    <row r="901" spans="1:16" x14ac:dyDescent="0.25">
      <c r="A901" s="43" t="s">
        <v>200</v>
      </c>
      <c r="B901" s="43" t="s">
        <v>291</v>
      </c>
      <c r="C901" s="43" t="s">
        <v>265</v>
      </c>
      <c r="D901" s="43" t="s">
        <v>293</v>
      </c>
      <c r="E901" s="43" t="s">
        <v>515</v>
      </c>
      <c r="F901" s="43" t="s">
        <v>516</v>
      </c>
      <c r="G901" s="43" t="s">
        <v>233</v>
      </c>
      <c r="H901" s="43" t="s">
        <v>207</v>
      </c>
      <c r="I901" s="44">
        <v>45590</v>
      </c>
      <c r="J901" s="44">
        <v>45629</v>
      </c>
      <c r="K901" s="45">
        <v>38</v>
      </c>
      <c r="L901" s="45">
        <v>1848.7909999999999</v>
      </c>
      <c r="M901" s="45">
        <v>4782.13</v>
      </c>
      <c r="N901" s="45">
        <v>0</v>
      </c>
      <c r="O901" s="45">
        <v>0</v>
      </c>
      <c r="P901" s="62">
        <f t="shared" si="14"/>
        <v>38</v>
      </c>
    </row>
    <row r="902" spans="1:16" x14ac:dyDescent="0.25">
      <c r="A902" s="43" t="s">
        <v>200</v>
      </c>
      <c r="B902" s="43" t="s">
        <v>291</v>
      </c>
      <c r="C902" s="43" t="s">
        <v>265</v>
      </c>
      <c r="D902" s="43" t="s">
        <v>293</v>
      </c>
      <c r="E902" s="43" t="s">
        <v>515</v>
      </c>
      <c r="F902" s="43" t="s">
        <v>516</v>
      </c>
      <c r="G902" s="43" t="s">
        <v>234</v>
      </c>
      <c r="H902" s="43" t="s">
        <v>207</v>
      </c>
      <c r="I902" s="44">
        <v>45590</v>
      </c>
      <c r="J902" s="44">
        <v>45639</v>
      </c>
      <c r="K902" s="45">
        <v>30</v>
      </c>
      <c r="L902" s="45">
        <v>1458.7002</v>
      </c>
      <c r="M902" s="45">
        <v>3845.59</v>
      </c>
      <c r="N902" s="45">
        <v>3</v>
      </c>
      <c r="O902" s="45">
        <v>150.47640000000001</v>
      </c>
      <c r="P902" s="62">
        <f t="shared" si="14"/>
        <v>33</v>
      </c>
    </row>
    <row r="903" spans="1:16" x14ac:dyDescent="0.25">
      <c r="A903" s="43" t="s">
        <v>200</v>
      </c>
      <c r="B903" s="43" t="s">
        <v>291</v>
      </c>
      <c r="C903" s="43" t="s">
        <v>265</v>
      </c>
      <c r="D903" s="43" t="s">
        <v>293</v>
      </c>
      <c r="E903" s="43" t="s">
        <v>515</v>
      </c>
      <c r="F903" s="43" t="s">
        <v>516</v>
      </c>
      <c r="G903" s="43" t="s">
        <v>296</v>
      </c>
      <c r="H903" s="43" t="s">
        <v>207</v>
      </c>
      <c r="I903" s="44">
        <v>45590</v>
      </c>
      <c r="J903" s="44">
        <v>45622</v>
      </c>
      <c r="K903" s="45">
        <v>16</v>
      </c>
      <c r="L903" s="45">
        <v>769.34040000000005</v>
      </c>
      <c r="M903" s="45">
        <v>2043.42</v>
      </c>
      <c r="N903" s="45">
        <v>0</v>
      </c>
      <c r="O903" s="45">
        <v>0</v>
      </c>
      <c r="P903" s="62">
        <f t="shared" si="14"/>
        <v>16</v>
      </c>
    </row>
    <row r="904" spans="1:16" x14ac:dyDescent="0.25">
      <c r="A904" s="43" t="s">
        <v>200</v>
      </c>
      <c r="B904" s="43" t="s">
        <v>291</v>
      </c>
      <c r="C904" s="43" t="s">
        <v>265</v>
      </c>
      <c r="D904" s="43" t="s">
        <v>293</v>
      </c>
      <c r="E904" s="43" t="s">
        <v>517</v>
      </c>
      <c r="F904" s="43" t="s">
        <v>516</v>
      </c>
      <c r="G904" s="43" t="s">
        <v>232</v>
      </c>
      <c r="H904" s="43" t="s">
        <v>207</v>
      </c>
      <c r="I904" s="44">
        <v>45590</v>
      </c>
      <c r="J904" s="44">
        <v>45590</v>
      </c>
      <c r="K904" s="45">
        <v>3</v>
      </c>
      <c r="L904" s="45">
        <v>143.78399999999999</v>
      </c>
      <c r="M904" s="45">
        <v>397.33</v>
      </c>
      <c r="N904" s="45">
        <v>2</v>
      </c>
      <c r="O904" s="45">
        <v>95.855999999999995</v>
      </c>
      <c r="P904" s="62">
        <f t="shared" ref="P904:P967" si="15">K904+N904</f>
        <v>5</v>
      </c>
    </row>
    <row r="905" spans="1:16" x14ac:dyDescent="0.25">
      <c r="A905" s="43" t="s">
        <v>200</v>
      </c>
      <c r="B905" s="43" t="s">
        <v>291</v>
      </c>
      <c r="C905" s="43" t="s">
        <v>265</v>
      </c>
      <c r="D905" s="43" t="s">
        <v>293</v>
      </c>
      <c r="E905" s="43" t="s">
        <v>517</v>
      </c>
      <c r="F905" s="43" t="s">
        <v>516</v>
      </c>
      <c r="G905" s="43" t="s">
        <v>233</v>
      </c>
      <c r="H905" s="43" t="s">
        <v>207</v>
      </c>
      <c r="I905" s="44">
        <v>45591</v>
      </c>
      <c r="J905" s="44">
        <v>45617</v>
      </c>
      <c r="K905" s="45">
        <v>7</v>
      </c>
      <c r="L905" s="45">
        <v>335.49599999999998</v>
      </c>
      <c r="M905" s="45">
        <v>865.62</v>
      </c>
      <c r="N905" s="45">
        <v>5</v>
      </c>
      <c r="O905" s="45">
        <v>244.62450000000001</v>
      </c>
      <c r="P905" s="62">
        <f t="shared" si="15"/>
        <v>12</v>
      </c>
    </row>
    <row r="906" spans="1:16" x14ac:dyDescent="0.25">
      <c r="A906" s="43" t="s">
        <v>200</v>
      </c>
      <c r="B906" s="43" t="s">
        <v>291</v>
      </c>
      <c r="C906" s="43" t="s">
        <v>265</v>
      </c>
      <c r="D906" s="43" t="s">
        <v>293</v>
      </c>
      <c r="E906" s="43" t="s">
        <v>517</v>
      </c>
      <c r="F906" s="43" t="s">
        <v>516</v>
      </c>
      <c r="G906" s="43" t="s">
        <v>234</v>
      </c>
      <c r="H906" s="43" t="s">
        <v>207</v>
      </c>
      <c r="I906" s="44">
        <v>45590</v>
      </c>
      <c r="J906" s="44">
        <v>45643</v>
      </c>
      <c r="K906" s="45">
        <v>6</v>
      </c>
      <c r="L906" s="45">
        <v>290.72239999999999</v>
      </c>
      <c r="M906" s="45">
        <v>780.45</v>
      </c>
      <c r="N906" s="45">
        <v>3</v>
      </c>
      <c r="O906" s="45">
        <v>148.10669999999999</v>
      </c>
      <c r="P906" s="62">
        <f t="shared" si="15"/>
        <v>9</v>
      </c>
    </row>
    <row r="907" spans="1:16" x14ac:dyDescent="0.25">
      <c r="A907" s="43" t="s">
        <v>200</v>
      </c>
      <c r="B907" s="43" t="s">
        <v>291</v>
      </c>
      <c r="C907" s="43" t="s">
        <v>265</v>
      </c>
      <c r="D907" s="43" t="s">
        <v>293</v>
      </c>
      <c r="E907" s="43" t="s">
        <v>517</v>
      </c>
      <c r="F907" s="43" t="s">
        <v>516</v>
      </c>
      <c r="G907" s="43" t="s">
        <v>296</v>
      </c>
      <c r="H907" s="43" t="s">
        <v>207</v>
      </c>
      <c r="I907" s="44">
        <v>45590</v>
      </c>
      <c r="J907" s="44">
        <v>45590</v>
      </c>
      <c r="K907" s="45">
        <v>3</v>
      </c>
      <c r="L907" s="45">
        <v>143.78399999999999</v>
      </c>
      <c r="M907" s="45">
        <v>397.34</v>
      </c>
      <c r="N907" s="45">
        <v>0</v>
      </c>
      <c r="O907" s="45">
        <v>0</v>
      </c>
      <c r="P907" s="62">
        <f t="shared" si="15"/>
        <v>3</v>
      </c>
    </row>
    <row r="908" spans="1:16" x14ac:dyDescent="0.25">
      <c r="A908" s="43" t="s">
        <v>200</v>
      </c>
      <c r="B908" s="43" t="s">
        <v>291</v>
      </c>
      <c r="C908" s="43" t="s">
        <v>265</v>
      </c>
      <c r="D908" s="43" t="s">
        <v>293</v>
      </c>
      <c r="E908" s="43" t="s">
        <v>518</v>
      </c>
      <c r="F908" s="43" t="s">
        <v>356</v>
      </c>
      <c r="G908" s="43" t="s">
        <v>232</v>
      </c>
      <c r="H908" s="43" t="s">
        <v>218</v>
      </c>
      <c r="I908" s="44">
        <v>45593</v>
      </c>
      <c r="J908" s="44">
        <v>45593</v>
      </c>
      <c r="K908" s="45">
        <v>1</v>
      </c>
      <c r="L908" s="45">
        <v>59.889800000000001</v>
      </c>
      <c r="M908" s="45">
        <v>162</v>
      </c>
      <c r="N908" s="45">
        <v>3</v>
      </c>
      <c r="O908" s="45">
        <v>179.6694</v>
      </c>
      <c r="P908" s="62">
        <f t="shared" si="15"/>
        <v>4</v>
      </c>
    </row>
    <row r="909" spans="1:16" x14ac:dyDescent="0.25">
      <c r="A909" s="43" t="s">
        <v>200</v>
      </c>
      <c r="B909" s="43" t="s">
        <v>291</v>
      </c>
      <c r="C909" s="43" t="s">
        <v>265</v>
      </c>
      <c r="D909" s="43" t="s">
        <v>293</v>
      </c>
      <c r="E909" s="43" t="s">
        <v>518</v>
      </c>
      <c r="F909" s="43" t="s">
        <v>356</v>
      </c>
      <c r="G909" s="43" t="s">
        <v>233</v>
      </c>
      <c r="H909" s="43" t="s">
        <v>218</v>
      </c>
      <c r="I909" s="44">
        <v>45593</v>
      </c>
      <c r="J909" s="44">
        <v>45643</v>
      </c>
      <c r="K909" s="45">
        <v>2</v>
      </c>
      <c r="L909" s="45">
        <v>120.4025</v>
      </c>
      <c r="M909" s="45">
        <v>324</v>
      </c>
      <c r="N909" s="45">
        <v>5</v>
      </c>
      <c r="O909" s="45">
        <v>305.05500000000001</v>
      </c>
      <c r="P909" s="62">
        <f t="shared" si="15"/>
        <v>7</v>
      </c>
    </row>
    <row r="910" spans="1:16" x14ac:dyDescent="0.25">
      <c r="A910" s="43" t="s">
        <v>200</v>
      </c>
      <c r="B910" s="43" t="s">
        <v>291</v>
      </c>
      <c r="C910" s="43" t="s">
        <v>265</v>
      </c>
      <c r="D910" s="43" t="s">
        <v>293</v>
      </c>
      <c r="E910" s="43" t="s">
        <v>518</v>
      </c>
      <c r="F910" s="43" t="s">
        <v>356</v>
      </c>
      <c r="G910" s="43" t="s">
        <v>234</v>
      </c>
      <c r="H910" s="43" t="s">
        <v>218</v>
      </c>
      <c r="I910" s="44">
        <v>45593</v>
      </c>
      <c r="J910" s="44">
        <v>45647</v>
      </c>
      <c r="K910" s="45">
        <v>3</v>
      </c>
      <c r="L910" s="45">
        <v>182.2647</v>
      </c>
      <c r="M910" s="45">
        <v>486</v>
      </c>
      <c r="N910" s="45">
        <v>3</v>
      </c>
      <c r="O910" s="45">
        <v>184.34100000000001</v>
      </c>
      <c r="P910" s="62">
        <f t="shared" si="15"/>
        <v>6</v>
      </c>
    </row>
    <row r="911" spans="1:16" x14ac:dyDescent="0.25">
      <c r="A911" s="43" t="s">
        <v>200</v>
      </c>
      <c r="B911" s="43" t="s">
        <v>291</v>
      </c>
      <c r="C911" s="43" t="s">
        <v>265</v>
      </c>
      <c r="D911" s="43" t="s">
        <v>293</v>
      </c>
      <c r="E911" s="43" t="s">
        <v>518</v>
      </c>
      <c r="F911" s="43" t="s">
        <v>356</v>
      </c>
      <c r="G911" s="43" t="s">
        <v>296</v>
      </c>
      <c r="H911" s="43" t="s">
        <v>218</v>
      </c>
      <c r="I911" s="44">
        <v>45593</v>
      </c>
      <c r="J911" s="44">
        <v>45593</v>
      </c>
      <c r="K911" s="45">
        <v>2</v>
      </c>
      <c r="L911" s="45">
        <v>119.7796</v>
      </c>
      <c r="M911" s="45">
        <v>324</v>
      </c>
      <c r="N911" s="45">
        <v>1</v>
      </c>
      <c r="O911" s="45">
        <v>59.889800000000001</v>
      </c>
      <c r="P911" s="62">
        <f t="shared" si="15"/>
        <v>3</v>
      </c>
    </row>
    <row r="912" spans="1:16" x14ac:dyDescent="0.25">
      <c r="A912" s="43" t="s">
        <v>200</v>
      </c>
      <c r="B912" s="43" t="s">
        <v>291</v>
      </c>
      <c r="C912" s="43" t="s">
        <v>265</v>
      </c>
      <c r="D912" s="43" t="s">
        <v>362</v>
      </c>
      <c r="E912" s="43" t="s">
        <v>519</v>
      </c>
      <c r="F912" s="43" t="s">
        <v>352</v>
      </c>
      <c r="G912" s="43" t="s">
        <v>232</v>
      </c>
      <c r="H912" s="43" t="s">
        <v>207</v>
      </c>
      <c r="I912" s="44">
        <v>45432</v>
      </c>
      <c r="J912" s="44">
        <v>45591</v>
      </c>
      <c r="K912" s="45">
        <v>1</v>
      </c>
      <c r="L912" s="45">
        <v>54.797899999999998</v>
      </c>
      <c r="M912" s="45">
        <v>144.86000000000001</v>
      </c>
      <c r="N912" s="45">
        <v>0</v>
      </c>
      <c r="O912" s="45">
        <v>0</v>
      </c>
      <c r="P912" s="62">
        <f t="shared" si="15"/>
        <v>1</v>
      </c>
    </row>
    <row r="913" spans="1:16" x14ac:dyDescent="0.25">
      <c r="A913" s="43" t="s">
        <v>200</v>
      </c>
      <c r="B913" s="43" t="s">
        <v>291</v>
      </c>
      <c r="C913" s="43" t="s">
        <v>265</v>
      </c>
      <c r="D913" s="43" t="s">
        <v>362</v>
      </c>
      <c r="E913" s="43" t="s">
        <v>519</v>
      </c>
      <c r="F913" s="43" t="s">
        <v>352</v>
      </c>
      <c r="G913" s="43" t="s">
        <v>233</v>
      </c>
      <c r="H913" s="43" t="s">
        <v>207</v>
      </c>
      <c r="I913" s="44">
        <v>45432</v>
      </c>
      <c r="J913" s="44">
        <v>45615</v>
      </c>
      <c r="K913" s="45">
        <v>17</v>
      </c>
      <c r="L913" s="45">
        <v>931.01520000000005</v>
      </c>
      <c r="M913" s="45">
        <v>2478.69</v>
      </c>
      <c r="N913" s="45">
        <v>2</v>
      </c>
      <c r="O913" s="45">
        <v>109.5312</v>
      </c>
      <c r="P913" s="62">
        <f t="shared" si="15"/>
        <v>19</v>
      </c>
    </row>
    <row r="914" spans="1:16" x14ac:dyDescent="0.25">
      <c r="A914" s="43" t="s">
        <v>200</v>
      </c>
      <c r="B914" s="43" t="s">
        <v>291</v>
      </c>
      <c r="C914" s="43" t="s">
        <v>265</v>
      </c>
      <c r="D914" s="43" t="s">
        <v>362</v>
      </c>
      <c r="E914" s="43" t="s">
        <v>519</v>
      </c>
      <c r="F914" s="43" t="s">
        <v>352</v>
      </c>
      <c r="G914" s="43" t="s">
        <v>234</v>
      </c>
      <c r="H914" s="43" t="s">
        <v>207</v>
      </c>
      <c r="I914" s="44">
        <v>45432</v>
      </c>
      <c r="J914" s="44">
        <v>45635</v>
      </c>
      <c r="K914" s="45">
        <v>22</v>
      </c>
      <c r="L914" s="45">
        <v>1222.0592999999999</v>
      </c>
      <c r="M914" s="45">
        <v>3202.97</v>
      </c>
      <c r="N914" s="45">
        <v>0</v>
      </c>
      <c r="O914" s="45">
        <v>0</v>
      </c>
      <c r="P914" s="62">
        <f t="shared" si="15"/>
        <v>22</v>
      </c>
    </row>
    <row r="915" spans="1:16" x14ac:dyDescent="0.25">
      <c r="A915" s="43" t="s">
        <v>200</v>
      </c>
      <c r="B915" s="43" t="s">
        <v>291</v>
      </c>
      <c r="C915" s="43" t="s">
        <v>265</v>
      </c>
      <c r="D915" s="43" t="s">
        <v>362</v>
      </c>
      <c r="E915" s="43" t="s">
        <v>519</v>
      </c>
      <c r="F915" s="43" t="s">
        <v>352</v>
      </c>
      <c r="G915" s="43" t="s">
        <v>296</v>
      </c>
      <c r="H915" s="43" t="s">
        <v>207</v>
      </c>
      <c r="I915" s="44">
        <v>45432</v>
      </c>
      <c r="J915" s="44">
        <v>45622</v>
      </c>
      <c r="K915" s="45">
        <v>10</v>
      </c>
      <c r="L915" s="45">
        <v>555.28859999999997</v>
      </c>
      <c r="M915" s="45">
        <v>1448.56</v>
      </c>
      <c r="N915" s="45">
        <v>3</v>
      </c>
      <c r="O915" s="45">
        <v>171.07980000000001</v>
      </c>
      <c r="P915" s="62">
        <f t="shared" si="15"/>
        <v>13</v>
      </c>
    </row>
    <row r="916" spans="1:16" x14ac:dyDescent="0.25">
      <c r="A916" s="43" t="s">
        <v>200</v>
      </c>
      <c r="B916" s="43" t="s">
        <v>291</v>
      </c>
      <c r="C916" s="43" t="s">
        <v>265</v>
      </c>
      <c r="D916" s="43" t="s">
        <v>362</v>
      </c>
      <c r="E916" s="43" t="s">
        <v>520</v>
      </c>
      <c r="F916" s="43" t="s">
        <v>352</v>
      </c>
      <c r="G916" s="43" t="s">
        <v>232</v>
      </c>
      <c r="H916" s="43" t="s">
        <v>218</v>
      </c>
      <c r="I916" s="44">
        <v>45591</v>
      </c>
      <c r="J916" s="44">
        <v>45617</v>
      </c>
      <c r="K916" s="45">
        <v>3</v>
      </c>
      <c r="L916" s="45">
        <v>165.8674</v>
      </c>
      <c r="M916" s="45">
        <v>450.67</v>
      </c>
      <c r="N916" s="45">
        <v>0</v>
      </c>
      <c r="O916" s="45">
        <v>0</v>
      </c>
      <c r="P916" s="62">
        <f t="shared" si="15"/>
        <v>3</v>
      </c>
    </row>
    <row r="917" spans="1:16" x14ac:dyDescent="0.25">
      <c r="A917" s="43" t="s">
        <v>200</v>
      </c>
      <c r="B917" s="43" t="s">
        <v>291</v>
      </c>
      <c r="C917" s="43" t="s">
        <v>265</v>
      </c>
      <c r="D917" s="43" t="s">
        <v>362</v>
      </c>
      <c r="E917" s="43" t="s">
        <v>520</v>
      </c>
      <c r="F917" s="43" t="s">
        <v>352</v>
      </c>
      <c r="G917" s="43" t="s">
        <v>233</v>
      </c>
      <c r="H917" s="43" t="s">
        <v>218</v>
      </c>
      <c r="I917" s="44">
        <v>45591</v>
      </c>
      <c r="J917" s="44">
        <v>45622</v>
      </c>
      <c r="K917" s="45">
        <v>1</v>
      </c>
      <c r="L917" s="45">
        <v>54.757599999999996</v>
      </c>
      <c r="M917" s="45">
        <v>144.85</v>
      </c>
      <c r="N917" s="45">
        <v>0</v>
      </c>
      <c r="O917" s="45">
        <v>0</v>
      </c>
      <c r="P917" s="62">
        <f t="shared" si="15"/>
        <v>1</v>
      </c>
    </row>
    <row r="918" spans="1:16" x14ac:dyDescent="0.25">
      <c r="A918" s="43" t="s">
        <v>200</v>
      </c>
      <c r="B918" s="43" t="s">
        <v>291</v>
      </c>
      <c r="C918" s="43" t="s">
        <v>265</v>
      </c>
      <c r="D918" s="43" t="s">
        <v>362</v>
      </c>
      <c r="E918" s="43" t="s">
        <v>521</v>
      </c>
      <c r="F918" s="43" t="s">
        <v>522</v>
      </c>
      <c r="G918" s="43" t="s">
        <v>232</v>
      </c>
      <c r="H918" s="43" t="s">
        <v>218</v>
      </c>
      <c r="I918" s="44">
        <v>45633</v>
      </c>
      <c r="J918" s="44">
        <v>45633</v>
      </c>
      <c r="K918" s="45">
        <v>0</v>
      </c>
      <c r="L918" s="45">
        <v>0</v>
      </c>
      <c r="M918" s="45">
        <v>0</v>
      </c>
      <c r="N918" s="45">
        <v>5</v>
      </c>
      <c r="O918" s="45">
        <v>360.08449999999999</v>
      </c>
      <c r="P918" s="62">
        <f t="shared" si="15"/>
        <v>5</v>
      </c>
    </row>
    <row r="919" spans="1:16" x14ac:dyDescent="0.25">
      <c r="A919" s="43" t="s">
        <v>200</v>
      </c>
      <c r="B919" s="43" t="s">
        <v>291</v>
      </c>
      <c r="C919" s="43" t="s">
        <v>265</v>
      </c>
      <c r="D919" s="43" t="s">
        <v>362</v>
      </c>
      <c r="E919" s="43" t="s">
        <v>521</v>
      </c>
      <c r="F919" s="43" t="s">
        <v>522</v>
      </c>
      <c r="G919" s="43" t="s">
        <v>233</v>
      </c>
      <c r="H919" s="43" t="s">
        <v>218</v>
      </c>
      <c r="I919" s="44">
        <v>45633</v>
      </c>
      <c r="J919" s="44">
        <v>45633</v>
      </c>
      <c r="K919" s="45">
        <v>0</v>
      </c>
      <c r="L919" s="45">
        <v>0</v>
      </c>
      <c r="M919" s="45">
        <v>0</v>
      </c>
      <c r="N919" s="45">
        <v>5</v>
      </c>
      <c r="O919" s="45">
        <v>363.53</v>
      </c>
      <c r="P919" s="62">
        <f t="shared" si="15"/>
        <v>5</v>
      </c>
    </row>
    <row r="920" spans="1:16" x14ac:dyDescent="0.25">
      <c r="A920" s="43" t="s">
        <v>200</v>
      </c>
      <c r="B920" s="43" t="s">
        <v>291</v>
      </c>
      <c r="C920" s="43" t="s">
        <v>265</v>
      </c>
      <c r="D920" s="43" t="s">
        <v>362</v>
      </c>
      <c r="E920" s="43" t="s">
        <v>521</v>
      </c>
      <c r="F920" s="43" t="s">
        <v>522</v>
      </c>
      <c r="G920" s="43" t="s">
        <v>234</v>
      </c>
      <c r="H920" s="43" t="s">
        <v>218</v>
      </c>
      <c r="I920" s="44">
        <v>45633</v>
      </c>
      <c r="J920" s="44">
        <v>45643</v>
      </c>
      <c r="K920" s="45">
        <v>0</v>
      </c>
      <c r="L920" s="45">
        <v>0</v>
      </c>
      <c r="M920" s="45">
        <v>0</v>
      </c>
      <c r="N920" s="45">
        <v>4</v>
      </c>
      <c r="O920" s="45">
        <v>288.06760000000003</v>
      </c>
      <c r="P920" s="62">
        <f t="shared" si="15"/>
        <v>4</v>
      </c>
    </row>
    <row r="921" spans="1:16" x14ac:dyDescent="0.25">
      <c r="A921" s="43" t="s">
        <v>200</v>
      </c>
      <c r="B921" s="43" t="s">
        <v>291</v>
      </c>
      <c r="C921" s="43" t="s">
        <v>265</v>
      </c>
      <c r="D921" s="43" t="s">
        <v>362</v>
      </c>
      <c r="E921" s="43" t="s">
        <v>521</v>
      </c>
      <c r="F921" s="43" t="s">
        <v>522</v>
      </c>
      <c r="G921" s="43" t="s">
        <v>259</v>
      </c>
      <c r="H921" s="43" t="s">
        <v>218</v>
      </c>
      <c r="I921" s="44">
        <v>45633</v>
      </c>
      <c r="J921" s="44">
        <v>45642</v>
      </c>
      <c r="K921" s="45">
        <v>1</v>
      </c>
      <c r="L921" s="45">
        <v>72.016900000000007</v>
      </c>
      <c r="M921" s="45">
        <v>187.71</v>
      </c>
      <c r="N921" s="45">
        <v>3</v>
      </c>
      <c r="O921" s="45">
        <v>216.05070000000001</v>
      </c>
      <c r="P921" s="62">
        <f t="shared" si="15"/>
        <v>4</v>
      </c>
    </row>
    <row r="922" spans="1:16" x14ac:dyDescent="0.25">
      <c r="A922" s="43" t="s">
        <v>200</v>
      </c>
      <c r="B922" s="43" t="s">
        <v>291</v>
      </c>
      <c r="C922" s="43" t="s">
        <v>265</v>
      </c>
      <c r="D922" s="43" t="s">
        <v>362</v>
      </c>
      <c r="E922" s="43" t="s">
        <v>521</v>
      </c>
      <c r="F922" s="43" t="s">
        <v>522</v>
      </c>
      <c r="G922" s="43" t="s">
        <v>296</v>
      </c>
      <c r="H922" s="43" t="s">
        <v>218</v>
      </c>
      <c r="I922" s="44">
        <v>45633</v>
      </c>
      <c r="J922" s="44">
        <v>45633</v>
      </c>
      <c r="K922" s="45">
        <v>0</v>
      </c>
      <c r="L922" s="45">
        <v>0</v>
      </c>
      <c r="M922" s="45">
        <v>0</v>
      </c>
      <c r="N922" s="45">
        <v>3</v>
      </c>
      <c r="O922" s="45">
        <v>216.05070000000001</v>
      </c>
      <c r="P922" s="62">
        <f t="shared" si="15"/>
        <v>3</v>
      </c>
    </row>
    <row r="923" spans="1:16" x14ac:dyDescent="0.25">
      <c r="A923" s="43" t="s">
        <v>200</v>
      </c>
      <c r="B923" s="43" t="s">
        <v>291</v>
      </c>
      <c r="C923" s="43" t="s">
        <v>265</v>
      </c>
      <c r="D923" s="43" t="s">
        <v>362</v>
      </c>
      <c r="E923" s="43" t="s">
        <v>523</v>
      </c>
      <c r="F923" s="43" t="s">
        <v>522</v>
      </c>
      <c r="G923" s="43" t="s">
        <v>232</v>
      </c>
      <c r="H923" s="43" t="s">
        <v>226</v>
      </c>
      <c r="I923" s="44">
        <v>45633</v>
      </c>
      <c r="J923" s="44">
        <v>45633</v>
      </c>
      <c r="K923" s="45">
        <v>0</v>
      </c>
      <c r="L923" s="45">
        <v>0</v>
      </c>
      <c r="M923" s="45">
        <v>0</v>
      </c>
      <c r="N923" s="45">
        <v>5</v>
      </c>
      <c r="O923" s="45">
        <v>360.08449999999999</v>
      </c>
      <c r="P923" s="62">
        <f t="shared" si="15"/>
        <v>5</v>
      </c>
    </row>
    <row r="924" spans="1:16" x14ac:dyDescent="0.25">
      <c r="A924" s="43" t="s">
        <v>200</v>
      </c>
      <c r="B924" s="43" t="s">
        <v>291</v>
      </c>
      <c r="C924" s="43" t="s">
        <v>265</v>
      </c>
      <c r="D924" s="43" t="s">
        <v>362</v>
      </c>
      <c r="E924" s="43" t="s">
        <v>523</v>
      </c>
      <c r="F924" s="43" t="s">
        <v>522</v>
      </c>
      <c r="G924" s="43" t="s">
        <v>233</v>
      </c>
      <c r="H924" s="43" t="s">
        <v>226</v>
      </c>
      <c r="I924" s="44">
        <v>45633</v>
      </c>
      <c r="J924" s="44">
        <v>45633</v>
      </c>
      <c r="K924" s="45">
        <v>0</v>
      </c>
      <c r="L924" s="45">
        <v>0</v>
      </c>
      <c r="M924" s="45">
        <v>0</v>
      </c>
      <c r="N924" s="45">
        <v>5</v>
      </c>
      <c r="O924" s="45">
        <v>360.08449999999999</v>
      </c>
      <c r="P924" s="62">
        <f t="shared" si="15"/>
        <v>5</v>
      </c>
    </row>
    <row r="925" spans="1:16" x14ac:dyDescent="0.25">
      <c r="A925" s="43" t="s">
        <v>200</v>
      </c>
      <c r="B925" s="43" t="s">
        <v>291</v>
      </c>
      <c r="C925" s="43" t="s">
        <v>265</v>
      </c>
      <c r="D925" s="43" t="s">
        <v>362</v>
      </c>
      <c r="E925" s="43" t="s">
        <v>523</v>
      </c>
      <c r="F925" s="43" t="s">
        <v>522</v>
      </c>
      <c r="G925" s="43" t="s">
        <v>234</v>
      </c>
      <c r="H925" s="43" t="s">
        <v>226</v>
      </c>
      <c r="I925" s="44">
        <v>45633</v>
      </c>
      <c r="J925" s="44">
        <v>45643</v>
      </c>
      <c r="K925" s="45">
        <v>1</v>
      </c>
      <c r="L925" s="45">
        <v>72.016900000000007</v>
      </c>
      <c r="M925" s="45">
        <v>187.71</v>
      </c>
      <c r="N925" s="45">
        <v>3</v>
      </c>
      <c r="O925" s="45">
        <v>216.05070000000001</v>
      </c>
      <c r="P925" s="62">
        <f t="shared" si="15"/>
        <v>4</v>
      </c>
    </row>
    <row r="926" spans="1:16" x14ac:dyDescent="0.25">
      <c r="A926" s="43" t="s">
        <v>200</v>
      </c>
      <c r="B926" s="43" t="s">
        <v>291</v>
      </c>
      <c r="C926" s="43" t="s">
        <v>265</v>
      </c>
      <c r="D926" s="43" t="s">
        <v>362</v>
      </c>
      <c r="E926" s="43" t="s">
        <v>523</v>
      </c>
      <c r="F926" s="43" t="s">
        <v>522</v>
      </c>
      <c r="G926" s="43" t="s">
        <v>259</v>
      </c>
      <c r="H926" s="43" t="s">
        <v>226</v>
      </c>
      <c r="I926" s="44">
        <v>45633</v>
      </c>
      <c r="J926" s="44">
        <v>45633</v>
      </c>
      <c r="K926" s="45">
        <v>0</v>
      </c>
      <c r="L926" s="45">
        <v>0</v>
      </c>
      <c r="M926" s="45">
        <v>0</v>
      </c>
      <c r="N926" s="45">
        <v>3</v>
      </c>
      <c r="O926" s="45">
        <v>216.05070000000001</v>
      </c>
      <c r="P926" s="62">
        <f t="shared" si="15"/>
        <v>3</v>
      </c>
    </row>
    <row r="927" spans="1:16" x14ac:dyDescent="0.25">
      <c r="A927" s="43" t="s">
        <v>200</v>
      </c>
      <c r="B927" s="43" t="s">
        <v>291</v>
      </c>
      <c r="C927" s="43" t="s">
        <v>265</v>
      </c>
      <c r="D927" s="43" t="s">
        <v>362</v>
      </c>
      <c r="E927" s="43" t="s">
        <v>523</v>
      </c>
      <c r="F927" s="43" t="s">
        <v>522</v>
      </c>
      <c r="G927" s="43" t="s">
        <v>296</v>
      </c>
      <c r="H927" s="43" t="s">
        <v>226</v>
      </c>
      <c r="I927" s="44">
        <v>45633</v>
      </c>
      <c r="J927" s="44">
        <v>45633</v>
      </c>
      <c r="K927" s="45">
        <v>0</v>
      </c>
      <c r="L927" s="45">
        <v>0</v>
      </c>
      <c r="M927" s="45">
        <v>0</v>
      </c>
      <c r="N927" s="45">
        <v>3</v>
      </c>
      <c r="O927" s="45">
        <v>216.05070000000001</v>
      </c>
      <c r="P927" s="62">
        <f t="shared" si="15"/>
        <v>3</v>
      </c>
    </row>
    <row r="928" spans="1:16" x14ac:dyDescent="0.25">
      <c r="A928" s="43" t="s">
        <v>200</v>
      </c>
      <c r="B928" s="43" t="s">
        <v>291</v>
      </c>
      <c r="C928" s="43" t="s">
        <v>265</v>
      </c>
      <c r="D928" s="43" t="s">
        <v>362</v>
      </c>
      <c r="E928" s="43" t="s">
        <v>524</v>
      </c>
      <c r="F928" s="43" t="s">
        <v>516</v>
      </c>
      <c r="G928" s="43" t="s">
        <v>232</v>
      </c>
      <c r="H928" s="43" t="s">
        <v>207</v>
      </c>
      <c r="I928" s="44">
        <v>45591</v>
      </c>
      <c r="J928" s="44">
        <v>45643</v>
      </c>
      <c r="K928" s="45">
        <v>7</v>
      </c>
      <c r="L928" s="45">
        <v>335.8759</v>
      </c>
      <c r="M928" s="45">
        <v>908.18</v>
      </c>
      <c r="N928" s="45">
        <v>6</v>
      </c>
      <c r="O928" s="45">
        <v>289.72500000000002</v>
      </c>
      <c r="P928" s="62">
        <f t="shared" si="15"/>
        <v>13</v>
      </c>
    </row>
    <row r="929" spans="1:16" x14ac:dyDescent="0.25">
      <c r="A929" s="43" t="s">
        <v>200</v>
      </c>
      <c r="B929" s="43" t="s">
        <v>291</v>
      </c>
      <c r="C929" s="43" t="s">
        <v>265</v>
      </c>
      <c r="D929" s="43" t="s">
        <v>362</v>
      </c>
      <c r="E929" s="43" t="s">
        <v>524</v>
      </c>
      <c r="F929" s="43" t="s">
        <v>516</v>
      </c>
      <c r="G929" s="43" t="s">
        <v>233</v>
      </c>
      <c r="H929" s="43" t="s">
        <v>207</v>
      </c>
      <c r="I929" s="44">
        <v>45591</v>
      </c>
      <c r="J929" s="44">
        <v>45644</v>
      </c>
      <c r="K929" s="45">
        <v>15</v>
      </c>
      <c r="L929" s="45">
        <v>728.89030000000002</v>
      </c>
      <c r="M929" s="45">
        <v>1915.66</v>
      </c>
      <c r="N929" s="45">
        <v>6</v>
      </c>
      <c r="O929" s="45">
        <v>297.73680000000002</v>
      </c>
      <c r="P929" s="62">
        <f t="shared" si="15"/>
        <v>21</v>
      </c>
    </row>
    <row r="930" spans="1:16" x14ac:dyDescent="0.25">
      <c r="A930" s="43" t="s">
        <v>200</v>
      </c>
      <c r="B930" s="43" t="s">
        <v>291</v>
      </c>
      <c r="C930" s="43" t="s">
        <v>265</v>
      </c>
      <c r="D930" s="43" t="s">
        <v>362</v>
      </c>
      <c r="E930" s="43" t="s">
        <v>524</v>
      </c>
      <c r="F930" s="43" t="s">
        <v>516</v>
      </c>
      <c r="G930" s="43" t="s">
        <v>234</v>
      </c>
      <c r="H930" s="43" t="s">
        <v>207</v>
      </c>
      <c r="I930" s="44">
        <v>45590</v>
      </c>
      <c r="J930" s="44">
        <v>45644</v>
      </c>
      <c r="K930" s="45">
        <v>18</v>
      </c>
      <c r="L930" s="45">
        <v>870.35469999999998</v>
      </c>
      <c r="M930" s="45">
        <v>2312.98</v>
      </c>
      <c r="N930" s="45">
        <v>4</v>
      </c>
      <c r="O930" s="45">
        <v>199.2808</v>
      </c>
      <c r="P930" s="62">
        <f t="shared" si="15"/>
        <v>22</v>
      </c>
    </row>
    <row r="931" spans="1:16" x14ac:dyDescent="0.25">
      <c r="A931" s="43" t="s">
        <v>200</v>
      </c>
      <c r="B931" s="43" t="s">
        <v>291</v>
      </c>
      <c r="C931" s="43" t="s">
        <v>265</v>
      </c>
      <c r="D931" s="43" t="s">
        <v>362</v>
      </c>
      <c r="E931" s="43" t="s">
        <v>524</v>
      </c>
      <c r="F931" s="43" t="s">
        <v>516</v>
      </c>
      <c r="G931" s="43" t="s">
        <v>296</v>
      </c>
      <c r="H931" s="43" t="s">
        <v>207</v>
      </c>
      <c r="I931" s="44">
        <v>45591</v>
      </c>
      <c r="J931" s="44">
        <v>45639</v>
      </c>
      <c r="K931" s="45">
        <v>9</v>
      </c>
      <c r="L931" s="45">
        <v>436.89359999999999</v>
      </c>
      <c r="M931" s="45">
        <v>1163.6199999999999</v>
      </c>
      <c r="N931" s="45">
        <v>3</v>
      </c>
      <c r="O931" s="45">
        <v>149.70779999999999</v>
      </c>
      <c r="P931" s="62">
        <f t="shared" si="15"/>
        <v>12</v>
      </c>
    </row>
    <row r="932" spans="1:16" x14ac:dyDescent="0.25">
      <c r="A932" s="43" t="s">
        <v>200</v>
      </c>
      <c r="B932" s="43" t="s">
        <v>291</v>
      </c>
      <c r="C932" s="43" t="s">
        <v>265</v>
      </c>
      <c r="D932" s="43" t="s">
        <v>362</v>
      </c>
      <c r="E932" s="43" t="s">
        <v>525</v>
      </c>
      <c r="F932" s="43" t="s">
        <v>516</v>
      </c>
      <c r="G932" s="43" t="s">
        <v>232</v>
      </c>
      <c r="H932" s="43" t="s">
        <v>218</v>
      </c>
      <c r="I932" s="44">
        <v>45593</v>
      </c>
      <c r="J932" s="44">
        <v>45593</v>
      </c>
      <c r="K932" s="45">
        <v>2</v>
      </c>
      <c r="L932" s="45">
        <v>95.855999999999995</v>
      </c>
      <c r="M932" s="45">
        <v>255.43</v>
      </c>
      <c r="N932" s="45">
        <v>3</v>
      </c>
      <c r="O932" s="45">
        <v>143.78399999999999</v>
      </c>
      <c r="P932" s="62">
        <f t="shared" si="15"/>
        <v>5</v>
      </c>
    </row>
    <row r="933" spans="1:16" x14ac:dyDescent="0.25">
      <c r="A933" s="43" t="s">
        <v>200</v>
      </c>
      <c r="B933" s="43" t="s">
        <v>291</v>
      </c>
      <c r="C933" s="43" t="s">
        <v>265</v>
      </c>
      <c r="D933" s="43" t="s">
        <v>362</v>
      </c>
      <c r="E933" s="43" t="s">
        <v>525</v>
      </c>
      <c r="F933" s="43" t="s">
        <v>516</v>
      </c>
      <c r="G933" s="43" t="s">
        <v>233</v>
      </c>
      <c r="H933" s="43" t="s">
        <v>218</v>
      </c>
      <c r="I933" s="44">
        <v>45593</v>
      </c>
      <c r="J933" s="44">
        <v>45646</v>
      </c>
      <c r="K933" s="45">
        <v>3</v>
      </c>
      <c r="L933" s="45">
        <v>144.7809</v>
      </c>
      <c r="M933" s="45">
        <v>383.14</v>
      </c>
      <c r="N933" s="45">
        <v>5</v>
      </c>
      <c r="O933" s="45">
        <v>246.12</v>
      </c>
      <c r="P933" s="62">
        <f t="shared" si="15"/>
        <v>8</v>
      </c>
    </row>
    <row r="934" spans="1:16" x14ac:dyDescent="0.25">
      <c r="A934" s="43" t="s">
        <v>200</v>
      </c>
      <c r="B934" s="43" t="s">
        <v>291</v>
      </c>
      <c r="C934" s="43" t="s">
        <v>265</v>
      </c>
      <c r="D934" s="43" t="s">
        <v>362</v>
      </c>
      <c r="E934" s="43" t="s">
        <v>525</v>
      </c>
      <c r="F934" s="43" t="s">
        <v>516</v>
      </c>
      <c r="G934" s="43" t="s">
        <v>234</v>
      </c>
      <c r="H934" s="43" t="s">
        <v>218</v>
      </c>
      <c r="I934" s="44">
        <v>45593</v>
      </c>
      <c r="J934" s="44">
        <v>45644</v>
      </c>
      <c r="K934" s="45">
        <v>5</v>
      </c>
      <c r="L934" s="45">
        <v>244.2353</v>
      </c>
      <c r="M934" s="45">
        <v>638.55999999999995</v>
      </c>
      <c r="N934" s="45">
        <v>4</v>
      </c>
      <c r="O934" s="45">
        <v>199.57839999999999</v>
      </c>
      <c r="P934" s="62">
        <f t="shared" si="15"/>
        <v>9</v>
      </c>
    </row>
    <row r="935" spans="1:16" x14ac:dyDescent="0.25">
      <c r="A935" s="43" t="s">
        <v>200</v>
      </c>
      <c r="B935" s="43" t="s">
        <v>291</v>
      </c>
      <c r="C935" s="43" t="s">
        <v>265</v>
      </c>
      <c r="D935" s="43" t="s">
        <v>362</v>
      </c>
      <c r="E935" s="43" t="s">
        <v>525</v>
      </c>
      <c r="F935" s="43" t="s">
        <v>516</v>
      </c>
      <c r="G935" s="43" t="s">
        <v>296</v>
      </c>
      <c r="H935" s="43" t="s">
        <v>218</v>
      </c>
      <c r="I935" s="44">
        <v>45593</v>
      </c>
      <c r="J935" s="44">
        <v>45623</v>
      </c>
      <c r="K935" s="45">
        <v>3</v>
      </c>
      <c r="L935" s="45">
        <v>145.44560000000001</v>
      </c>
      <c r="M935" s="45">
        <v>383.13</v>
      </c>
      <c r="N935" s="45">
        <v>1</v>
      </c>
      <c r="O935" s="45">
        <v>48.758800000000001</v>
      </c>
      <c r="P935" s="62">
        <f t="shared" si="15"/>
        <v>4</v>
      </c>
    </row>
    <row r="936" spans="1:16" x14ac:dyDescent="0.25">
      <c r="A936" s="43" t="s">
        <v>200</v>
      </c>
      <c r="B936" s="43" t="s">
        <v>291</v>
      </c>
      <c r="C936" s="43" t="s">
        <v>265</v>
      </c>
      <c r="D936" s="43" t="s">
        <v>362</v>
      </c>
      <c r="E936" s="43" t="s">
        <v>526</v>
      </c>
      <c r="F936" s="43" t="s">
        <v>516</v>
      </c>
      <c r="G936" s="43" t="s">
        <v>232</v>
      </c>
      <c r="H936" s="43" t="s">
        <v>207</v>
      </c>
      <c r="I936" s="44">
        <v>45591</v>
      </c>
      <c r="J936" s="44">
        <v>45608</v>
      </c>
      <c r="K936" s="45">
        <v>3</v>
      </c>
      <c r="L936" s="45">
        <v>143.78399999999999</v>
      </c>
      <c r="M936" s="45">
        <v>383.13</v>
      </c>
      <c r="N936" s="45">
        <v>3</v>
      </c>
      <c r="O936" s="45">
        <v>143.78399999999999</v>
      </c>
      <c r="P936" s="62">
        <f t="shared" si="15"/>
        <v>6</v>
      </c>
    </row>
    <row r="937" spans="1:16" x14ac:dyDescent="0.25">
      <c r="A937" s="43" t="s">
        <v>200</v>
      </c>
      <c r="B937" s="43" t="s">
        <v>291</v>
      </c>
      <c r="C937" s="43" t="s">
        <v>265</v>
      </c>
      <c r="D937" s="43" t="s">
        <v>362</v>
      </c>
      <c r="E937" s="43" t="s">
        <v>526</v>
      </c>
      <c r="F937" s="43" t="s">
        <v>516</v>
      </c>
      <c r="G937" s="43" t="s">
        <v>233</v>
      </c>
      <c r="H937" s="43" t="s">
        <v>207</v>
      </c>
      <c r="I937" s="44">
        <v>45591</v>
      </c>
      <c r="J937" s="44">
        <v>45638</v>
      </c>
      <c r="K937" s="45">
        <v>10</v>
      </c>
      <c r="L937" s="45">
        <v>480.27690000000001</v>
      </c>
      <c r="M937" s="45">
        <v>1291.33</v>
      </c>
      <c r="N937" s="45">
        <v>5</v>
      </c>
      <c r="O937" s="45">
        <v>246.12</v>
      </c>
      <c r="P937" s="62">
        <f t="shared" si="15"/>
        <v>15</v>
      </c>
    </row>
    <row r="938" spans="1:16" x14ac:dyDescent="0.25">
      <c r="A938" s="43" t="s">
        <v>200</v>
      </c>
      <c r="B938" s="43" t="s">
        <v>291</v>
      </c>
      <c r="C938" s="43" t="s">
        <v>265</v>
      </c>
      <c r="D938" s="43" t="s">
        <v>362</v>
      </c>
      <c r="E938" s="43" t="s">
        <v>526</v>
      </c>
      <c r="F938" s="43" t="s">
        <v>516</v>
      </c>
      <c r="G938" s="43" t="s">
        <v>234</v>
      </c>
      <c r="H938" s="43" t="s">
        <v>207</v>
      </c>
      <c r="I938" s="44">
        <v>45590</v>
      </c>
      <c r="J938" s="44">
        <v>45642</v>
      </c>
      <c r="K938" s="45">
        <v>5</v>
      </c>
      <c r="L938" s="45">
        <v>240.26310000000001</v>
      </c>
      <c r="M938" s="45">
        <v>638.55999999999995</v>
      </c>
      <c r="N938" s="45">
        <v>4</v>
      </c>
      <c r="O938" s="45">
        <v>196.0736</v>
      </c>
      <c r="P938" s="62">
        <f t="shared" si="15"/>
        <v>9</v>
      </c>
    </row>
    <row r="939" spans="1:16" x14ac:dyDescent="0.25">
      <c r="A939" s="43" t="s">
        <v>200</v>
      </c>
      <c r="B939" s="43" t="s">
        <v>291</v>
      </c>
      <c r="C939" s="43" t="s">
        <v>265</v>
      </c>
      <c r="D939" s="43" t="s">
        <v>362</v>
      </c>
      <c r="E939" s="43" t="s">
        <v>526</v>
      </c>
      <c r="F939" s="43" t="s">
        <v>516</v>
      </c>
      <c r="G939" s="43" t="s">
        <v>296</v>
      </c>
      <c r="H939" s="43" t="s">
        <v>207</v>
      </c>
      <c r="I939" s="44">
        <v>45590</v>
      </c>
      <c r="J939" s="44">
        <v>45608</v>
      </c>
      <c r="K939" s="45">
        <v>3</v>
      </c>
      <c r="L939" s="45">
        <v>143.78399999999999</v>
      </c>
      <c r="M939" s="45">
        <v>383.14</v>
      </c>
      <c r="N939" s="45">
        <v>1</v>
      </c>
      <c r="O939" s="45">
        <v>47.927999999999997</v>
      </c>
      <c r="P939" s="62">
        <f t="shared" si="15"/>
        <v>4</v>
      </c>
    </row>
    <row r="940" spans="1:16" x14ac:dyDescent="0.25">
      <c r="A940" s="43" t="s">
        <v>200</v>
      </c>
      <c r="B940" s="43" t="s">
        <v>291</v>
      </c>
      <c r="C940" s="43" t="s">
        <v>265</v>
      </c>
      <c r="D940" s="43" t="s">
        <v>362</v>
      </c>
      <c r="E940" s="43" t="s">
        <v>527</v>
      </c>
      <c r="F940" s="43" t="s">
        <v>516</v>
      </c>
      <c r="G940" s="43" t="s">
        <v>232</v>
      </c>
      <c r="H940" s="43" t="s">
        <v>207</v>
      </c>
      <c r="I940" s="44">
        <v>45591</v>
      </c>
      <c r="J940" s="44">
        <v>45591</v>
      </c>
      <c r="K940" s="45">
        <v>0</v>
      </c>
      <c r="L940" s="45">
        <v>0</v>
      </c>
      <c r="M940" s="45">
        <v>0</v>
      </c>
      <c r="N940" s="45">
        <v>2</v>
      </c>
      <c r="O940" s="45">
        <v>95.936800000000005</v>
      </c>
      <c r="P940" s="62">
        <f t="shared" si="15"/>
        <v>2</v>
      </c>
    </row>
    <row r="941" spans="1:16" x14ac:dyDescent="0.25">
      <c r="A941" s="43" t="s">
        <v>200</v>
      </c>
      <c r="B941" s="43" t="s">
        <v>291</v>
      </c>
      <c r="C941" s="43" t="s">
        <v>265</v>
      </c>
      <c r="D941" s="43" t="s">
        <v>362</v>
      </c>
      <c r="E941" s="43" t="s">
        <v>527</v>
      </c>
      <c r="F941" s="43" t="s">
        <v>516</v>
      </c>
      <c r="G941" s="43" t="s">
        <v>233</v>
      </c>
      <c r="H941" s="43" t="s">
        <v>207</v>
      </c>
      <c r="I941" s="44">
        <v>45591</v>
      </c>
      <c r="J941" s="44">
        <v>45591</v>
      </c>
      <c r="K941" s="45">
        <v>0</v>
      </c>
      <c r="L941" s="45">
        <v>0</v>
      </c>
      <c r="M941" s="45">
        <v>0</v>
      </c>
      <c r="N941" s="45">
        <v>5</v>
      </c>
      <c r="O941" s="45">
        <v>239.84200000000001</v>
      </c>
      <c r="P941" s="62">
        <f t="shared" si="15"/>
        <v>5</v>
      </c>
    </row>
    <row r="942" spans="1:16" x14ac:dyDescent="0.25">
      <c r="A942" s="43" t="s">
        <v>200</v>
      </c>
      <c r="B942" s="43" t="s">
        <v>291</v>
      </c>
      <c r="C942" s="43" t="s">
        <v>265</v>
      </c>
      <c r="D942" s="43" t="s">
        <v>362</v>
      </c>
      <c r="E942" s="43" t="s">
        <v>527</v>
      </c>
      <c r="F942" s="43" t="s">
        <v>516</v>
      </c>
      <c r="G942" s="43" t="s">
        <v>234</v>
      </c>
      <c r="H942" s="43" t="s">
        <v>207</v>
      </c>
      <c r="I942" s="44">
        <v>45591</v>
      </c>
      <c r="J942" s="44">
        <v>45591</v>
      </c>
      <c r="K942" s="45">
        <v>0</v>
      </c>
      <c r="L942" s="45">
        <v>0</v>
      </c>
      <c r="M942" s="45">
        <v>0</v>
      </c>
      <c r="N942" s="45">
        <v>4</v>
      </c>
      <c r="O942" s="45">
        <v>191.87360000000001</v>
      </c>
      <c r="P942" s="62">
        <f t="shared" si="15"/>
        <v>4</v>
      </c>
    </row>
    <row r="943" spans="1:16" x14ac:dyDescent="0.25">
      <c r="A943" s="43" t="s">
        <v>200</v>
      </c>
      <c r="B943" s="43" t="s">
        <v>291</v>
      </c>
      <c r="C943" s="43" t="s">
        <v>265</v>
      </c>
      <c r="D943" s="43" t="s">
        <v>362</v>
      </c>
      <c r="E943" s="43" t="s">
        <v>527</v>
      </c>
      <c r="F943" s="43" t="s">
        <v>516</v>
      </c>
      <c r="G943" s="43" t="s">
        <v>296</v>
      </c>
      <c r="H943" s="43" t="s">
        <v>207</v>
      </c>
      <c r="I943" s="44">
        <v>45591</v>
      </c>
      <c r="J943" s="44">
        <v>45591</v>
      </c>
      <c r="K943" s="45">
        <v>0</v>
      </c>
      <c r="L943" s="45">
        <v>0</v>
      </c>
      <c r="M943" s="45">
        <v>0</v>
      </c>
      <c r="N943" s="45">
        <v>3</v>
      </c>
      <c r="O943" s="45">
        <v>143.90520000000001</v>
      </c>
      <c r="P943" s="62">
        <f t="shared" si="15"/>
        <v>3</v>
      </c>
    </row>
    <row r="944" spans="1:16" x14ac:dyDescent="0.25">
      <c r="A944" s="43" t="s">
        <v>200</v>
      </c>
      <c r="B944" s="43" t="s">
        <v>291</v>
      </c>
      <c r="C944" s="43" t="s">
        <v>265</v>
      </c>
      <c r="D944" s="43" t="s">
        <v>362</v>
      </c>
      <c r="E944" s="43" t="s">
        <v>528</v>
      </c>
      <c r="F944" s="43" t="s">
        <v>529</v>
      </c>
      <c r="G944" s="43" t="s">
        <v>232</v>
      </c>
      <c r="H944" s="43" t="s">
        <v>218</v>
      </c>
      <c r="I944" s="44">
        <v>45593</v>
      </c>
      <c r="J944" s="44">
        <v>45593</v>
      </c>
      <c r="K944" s="45">
        <v>0</v>
      </c>
      <c r="L944" s="45">
        <v>0</v>
      </c>
      <c r="M944" s="45">
        <v>0</v>
      </c>
      <c r="N944" s="45">
        <v>3</v>
      </c>
      <c r="O944" s="45">
        <v>205.37129999999999</v>
      </c>
      <c r="P944" s="62">
        <f t="shared" si="15"/>
        <v>3</v>
      </c>
    </row>
    <row r="945" spans="1:16" x14ac:dyDescent="0.25">
      <c r="A945" s="43" t="s">
        <v>200</v>
      </c>
      <c r="B945" s="43" t="s">
        <v>291</v>
      </c>
      <c r="C945" s="43" t="s">
        <v>265</v>
      </c>
      <c r="D945" s="43" t="s">
        <v>362</v>
      </c>
      <c r="E945" s="43" t="s">
        <v>528</v>
      </c>
      <c r="F945" s="43" t="s">
        <v>529</v>
      </c>
      <c r="G945" s="43" t="s">
        <v>233</v>
      </c>
      <c r="H945" s="43" t="s">
        <v>218</v>
      </c>
      <c r="I945" s="44">
        <v>45593</v>
      </c>
      <c r="J945" s="44">
        <v>45605</v>
      </c>
      <c r="K945" s="45">
        <v>0</v>
      </c>
      <c r="L945" s="45">
        <v>0</v>
      </c>
      <c r="M945" s="45">
        <v>0</v>
      </c>
      <c r="N945" s="45">
        <v>6</v>
      </c>
      <c r="O945" s="45">
        <v>410.74259999999998</v>
      </c>
      <c r="P945" s="62">
        <f t="shared" si="15"/>
        <v>6</v>
      </c>
    </row>
    <row r="946" spans="1:16" x14ac:dyDescent="0.25">
      <c r="A946" s="43" t="s">
        <v>200</v>
      </c>
      <c r="B946" s="43" t="s">
        <v>291</v>
      </c>
      <c r="C946" s="43" t="s">
        <v>265</v>
      </c>
      <c r="D946" s="43" t="s">
        <v>362</v>
      </c>
      <c r="E946" s="43" t="s">
        <v>528</v>
      </c>
      <c r="F946" s="43" t="s">
        <v>529</v>
      </c>
      <c r="G946" s="43" t="s">
        <v>234</v>
      </c>
      <c r="H946" s="43" t="s">
        <v>218</v>
      </c>
      <c r="I946" s="44">
        <v>45593</v>
      </c>
      <c r="J946" s="44">
        <v>45605</v>
      </c>
      <c r="K946" s="45">
        <v>0</v>
      </c>
      <c r="L946" s="45">
        <v>0</v>
      </c>
      <c r="M946" s="45">
        <v>0</v>
      </c>
      <c r="N946" s="45">
        <v>5</v>
      </c>
      <c r="O946" s="45">
        <v>342.28550000000001</v>
      </c>
      <c r="P946" s="62">
        <f t="shared" si="15"/>
        <v>5</v>
      </c>
    </row>
    <row r="947" spans="1:16" x14ac:dyDescent="0.25">
      <c r="A947" s="43" t="s">
        <v>200</v>
      </c>
      <c r="B947" s="43" t="s">
        <v>291</v>
      </c>
      <c r="C947" s="43" t="s">
        <v>265</v>
      </c>
      <c r="D947" s="43" t="s">
        <v>362</v>
      </c>
      <c r="E947" s="43" t="s">
        <v>528</v>
      </c>
      <c r="F947" s="43" t="s">
        <v>529</v>
      </c>
      <c r="G947" s="43" t="s">
        <v>296</v>
      </c>
      <c r="H947" s="43" t="s">
        <v>218</v>
      </c>
      <c r="I947" s="44">
        <v>45593</v>
      </c>
      <c r="J947" s="44">
        <v>45593</v>
      </c>
      <c r="K947" s="45">
        <v>0</v>
      </c>
      <c r="L947" s="45">
        <v>0</v>
      </c>
      <c r="M947" s="45">
        <v>0</v>
      </c>
      <c r="N947" s="45">
        <v>3</v>
      </c>
      <c r="O947" s="45">
        <v>205.37129999999999</v>
      </c>
      <c r="P947" s="62">
        <f t="shared" si="15"/>
        <v>3</v>
      </c>
    </row>
    <row r="948" spans="1:16" x14ac:dyDescent="0.25">
      <c r="A948" s="43" t="s">
        <v>200</v>
      </c>
      <c r="B948" s="43" t="s">
        <v>291</v>
      </c>
      <c r="C948" s="43" t="s">
        <v>265</v>
      </c>
      <c r="D948" s="43" t="s">
        <v>362</v>
      </c>
      <c r="E948" s="43" t="s">
        <v>530</v>
      </c>
      <c r="F948" s="43" t="s">
        <v>529</v>
      </c>
      <c r="G948" s="43" t="s">
        <v>232</v>
      </c>
      <c r="H948" s="43" t="s">
        <v>218</v>
      </c>
      <c r="I948" s="44">
        <v>45593</v>
      </c>
      <c r="J948" s="44">
        <v>45608</v>
      </c>
      <c r="K948" s="45">
        <v>0</v>
      </c>
      <c r="L948" s="45">
        <v>0</v>
      </c>
      <c r="M948" s="45">
        <v>0</v>
      </c>
      <c r="N948" s="45">
        <v>3</v>
      </c>
      <c r="O948" s="45">
        <v>205.37129999999999</v>
      </c>
      <c r="P948" s="62">
        <f t="shared" si="15"/>
        <v>3</v>
      </c>
    </row>
    <row r="949" spans="1:16" x14ac:dyDescent="0.25">
      <c r="A949" s="43" t="s">
        <v>200</v>
      </c>
      <c r="B949" s="43" t="s">
        <v>291</v>
      </c>
      <c r="C949" s="43" t="s">
        <v>265</v>
      </c>
      <c r="D949" s="43" t="s">
        <v>362</v>
      </c>
      <c r="E949" s="43" t="s">
        <v>530</v>
      </c>
      <c r="F949" s="43" t="s">
        <v>529</v>
      </c>
      <c r="G949" s="43" t="s">
        <v>233</v>
      </c>
      <c r="H949" s="43" t="s">
        <v>218</v>
      </c>
      <c r="I949" s="44">
        <v>45593</v>
      </c>
      <c r="J949" s="44">
        <v>45605</v>
      </c>
      <c r="K949" s="45">
        <v>0</v>
      </c>
      <c r="L949" s="45">
        <v>0</v>
      </c>
      <c r="M949" s="45">
        <v>0</v>
      </c>
      <c r="N949" s="45">
        <v>6</v>
      </c>
      <c r="O949" s="45">
        <v>410.74259999999998</v>
      </c>
      <c r="P949" s="62">
        <f t="shared" si="15"/>
        <v>6</v>
      </c>
    </row>
    <row r="950" spans="1:16" x14ac:dyDescent="0.25">
      <c r="A950" s="43" t="s">
        <v>200</v>
      </c>
      <c r="B950" s="43" t="s">
        <v>291</v>
      </c>
      <c r="C950" s="43" t="s">
        <v>265</v>
      </c>
      <c r="D950" s="43" t="s">
        <v>362</v>
      </c>
      <c r="E950" s="43" t="s">
        <v>530</v>
      </c>
      <c r="F950" s="43" t="s">
        <v>529</v>
      </c>
      <c r="G950" s="43" t="s">
        <v>234</v>
      </c>
      <c r="H950" s="43" t="s">
        <v>218</v>
      </c>
      <c r="I950" s="44">
        <v>45593</v>
      </c>
      <c r="J950" s="44">
        <v>45605</v>
      </c>
      <c r="K950" s="45">
        <v>0</v>
      </c>
      <c r="L950" s="45">
        <v>0</v>
      </c>
      <c r="M950" s="45">
        <v>0</v>
      </c>
      <c r="N950" s="45">
        <v>5</v>
      </c>
      <c r="O950" s="45">
        <v>342.28550000000001</v>
      </c>
      <c r="P950" s="62">
        <f t="shared" si="15"/>
        <v>5</v>
      </c>
    </row>
    <row r="951" spans="1:16" x14ac:dyDescent="0.25">
      <c r="A951" s="43" t="s">
        <v>200</v>
      </c>
      <c r="B951" s="43" t="s">
        <v>291</v>
      </c>
      <c r="C951" s="43" t="s">
        <v>265</v>
      </c>
      <c r="D951" s="43" t="s">
        <v>362</v>
      </c>
      <c r="E951" s="43" t="s">
        <v>530</v>
      </c>
      <c r="F951" s="43" t="s">
        <v>529</v>
      </c>
      <c r="G951" s="43" t="s">
        <v>296</v>
      </c>
      <c r="H951" s="43" t="s">
        <v>218</v>
      </c>
      <c r="I951" s="44">
        <v>45593</v>
      </c>
      <c r="J951" s="44">
        <v>45593</v>
      </c>
      <c r="K951" s="45">
        <v>0</v>
      </c>
      <c r="L951" s="45">
        <v>0</v>
      </c>
      <c r="M951" s="45">
        <v>0</v>
      </c>
      <c r="N951" s="45">
        <v>2</v>
      </c>
      <c r="O951" s="45">
        <v>136.91419999999999</v>
      </c>
      <c r="P951" s="62">
        <f t="shared" si="15"/>
        <v>2</v>
      </c>
    </row>
    <row r="952" spans="1:16" x14ac:dyDescent="0.25">
      <c r="A952" s="43" t="s">
        <v>200</v>
      </c>
      <c r="B952" s="43" t="s">
        <v>291</v>
      </c>
      <c r="C952" s="43" t="s">
        <v>265</v>
      </c>
      <c r="D952" s="43" t="s">
        <v>362</v>
      </c>
      <c r="E952" s="43" t="s">
        <v>531</v>
      </c>
      <c r="F952" s="43" t="s">
        <v>356</v>
      </c>
      <c r="G952" s="43" t="s">
        <v>232</v>
      </c>
      <c r="H952" s="43" t="s">
        <v>218</v>
      </c>
      <c r="I952" s="44">
        <v>45593</v>
      </c>
      <c r="J952" s="44">
        <v>45593</v>
      </c>
      <c r="K952" s="45">
        <v>1</v>
      </c>
      <c r="L952" s="45">
        <v>71.851600000000005</v>
      </c>
      <c r="M952" s="45">
        <v>196.29</v>
      </c>
      <c r="N952" s="45">
        <v>4</v>
      </c>
      <c r="O952" s="45">
        <v>287.40640000000002</v>
      </c>
      <c r="P952" s="62">
        <f t="shared" si="15"/>
        <v>5</v>
      </c>
    </row>
    <row r="953" spans="1:16" x14ac:dyDescent="0.25">
      <c r="A953" s="43" t="s">
        <v>200</v>
      </c>
      <c r="B953" s="43" t="s">
        <v>291</v>
      </c>
      <c r="C953" s="43" t="s">
        <v>265</v>
      </c>
      <c r="D953" s="43" t="s">
        <v>362</v>
      </c>
      <c r="E953" s="43" t="s">
        <v>531</v>
      </c>
      <c r="F953" s="43" t="s">
        <v>356</v>
      </c>
      <c r="G953" s="43" t="s">
        <v>233</v>
      </c>
      <c r="H953" s="43" t="s">
        <v>218</v>
      </c>
      <c r="I953" s="44">
        <v>45593</v>
      </c>
      <c r="J953" s="44">
        <v>45632</v>
      </c>
      <c r="K953" s="45">
        <v>2</v>
      </c>
      <c r="L953" s="45">
        <v>144.45050000000001</v>
      </c>
      <c r="M953" s="45">
        <v>392.58</v>
      </c>
      <c r="N953" s="45">
        <v>5</v>
      </c>
      <c r="O953" s="45">
        <v>365.98349999999999</v>
      </c>
      <c r="P953" s="62">
        <f t="shared" si="15"/>
        <v>7</v>
      </c>
    </row>
    <row r="954" spans="1:16" x14ac:dyDescent="0.25">
      <c r="A954" s="43" t="s">
        <v>200</v>
      </c>
      <c r="B954" s="43" t="s">
        <v>291</v>
      </c>
      <c r="C954" s="43" t="s">
        <v>265</v>
      </c>
      <c r="D954" s="43" t="s">
        <v>362</v>
      </c>
      <c r="E954" s="43" t="s">
        <v>531</v>
      </c>
      <c r="F954" s="43" t="s">
        <v>356</v>
      </c>
      <c r="G954" s="43" t="s">
        <v>234</v>
      </c>
      <c r="H954" s="43" t="s">
        <v>218</v>
      </c>
      <c r="I954" s="44">
        <v>45593</v>
      </c>
      <c r="J954" s="44">
        <v>45593</v>
      </c>
      <c r="K954" s="45">
        <v>0</v>
      </c>
      <c r="L954" s="45">
        <v>0</v>
      </c>
      <c r="M954" s="45">
        <v>0</v>
      </c>
      <c r="N954" s="45">
        <v>4</v>
      </c>
      <c r="O954" s="45">
        <v>287.40640000000002</v>
      </c>
      <c r="P954" s="62">
        <f t="shared" si="15"/>
        <v>4</v>
      </c>
    </row>
    <row r="955" spans="1:16" x14ac:dyDescent="0.25">
      <c r="A955" s="43" t="s">
        <v>200</v>
      </c>
      <c r="B955" s="43" t="s">
        <v>291</v>
      </c>
      <c r="C955" s="43" t="s">
        <v>265</v>
      </c>
      <c r="D955" s="43" t="s">
        <v>362</v>
      </c>
      <c r="E955" s="43" t="s">
        <v>531</v>
      </c>
      <c r="F955" s="43" t="s">
        <v>356</v>
      </c>
      <c r="G955" s="43" t="s">
        <v>296</v>
      </c>
      <c r="H955" s="43" t="s">
        <v>218</v>
      </c>
      <c r="I955" s="44">
        <v>45593</v>
      </c>
      <c r="J955" s="44">
        <v>45593</v>
      </c>
      <c r="K955" s="45">
        <v>0</v>
      </c>
      <c r="L955" s="45">
        <v>0</v>
      </c>
      <c r="M955" s="45">
        <v>0</v>
      </c>
      <c r="N955" s="45">
        <v>3</v>
      </c>
      <c r="O955" s="45">
        <v>215.5548</v>
      </c>
      <c r="P955" s="62">
        <f t="shared" si="15"/>
        <v>3</v>
      </c>
    </row>
    <row r="956" spans="1:16" x14ac:dyDescent="0.25">
      <c r="A956" s="43" t="s">
        <v>200</v>
      </c>
      <c r="B956" s="43" t="s">
        <v>291</v>
      </c>
      <c r="C956" s="43" t="s">
        <v>265</v>
      </c>
      <c r="D956" s="43" t="s">
        <v>532</v>
      </c>
      <c r="E956" s="43" t="s">
        <v>533</v>
      </c>
      <c r="F956" s="43" t="s">
        <v>352</v>
      </c>
      <c r="G956" s="43" t="s">
        <v>232</v>
      </c>
      <c r="H956" s="43" t="s">
        <v>207</v>
      </c>
      <c r="I956" s="44">
        <v>45590</v>
      </c>
      <c r="J956" s="44">
        <v>45647</v>
      </c>
      <c r="K956" s="45">
        <v>16</v>
      </c>
      <c r="L956" s="45">
        <v>1237.2166</v>
      </c>
      <c r="M956" s="45">
        <v>3323.24</v>
      </c>
      <c r="N956" s="45">
        <v>11</v>
      </c>
      <c r="O956" s="45">
        <v>868.57539999999995</v>
      </c>
      <c r="P956" s="62">
        <f t="shared" si="15"/>
        <v>27</v>
      </c>
    </row>
    <row r="957" spans="1:16" x14ac:dyDescent="0.25">
      <c r="A957" s="43" t="s">
        <v>200</v>
      </c>
      <c r="B957" s="43" t="s">
        <v>291</v>
      </c>
      <c r="C957" s="43" t="s">
        <v>265</v>
      </c>
      <c r="D957" s="43" t="s">
        <v>532</v>
      </c>
      <c r="E957" s="43" t="s">
        <v>533</v>
      </c>
      <c r="F957" s="43" t="s">
        <v>352</v>
      </c>
      <c r="G957" s="43" t="s">
        <v>233</v>
      </c>
      <c r="H957" s="43" t="s">
        <v>207</v>
      </c>
      <c r="I957" s="44">
        <v>45590</v>
      </c>
      <c r="J957" s="44">
        <v>45647</v>
      </c>
      <c r="K957" s="45">
        <v>49</v>
      </c>
      <c r="L957" s="45">
        <v>3788.5776999999998</v>
      </c>
      <c r="M957" s="45">
        <v>9969.76</v>
      </c>
      <c r="N957" s="45">
        <v>17</v>
      </c>
      <c r="O957" s="45">
        <v>1347.0868</v>
      </c>
      <c r="P957" s="62">
        <f t="shared" si="15"/>
        <v>66</v>
      </c>
    </row>
    <row r="958" spans="1:16" x14ac:dyDescent="0.25">
      <c r="A958" s="43" t="s">
        <v>200</v>
      </c>
      <c r="B958" s="43" t="s">
        <v>291</v>
      </c>
      <c r="C958" s="43" t="s">
        <v>265</v>
      </c>
      <c r="D958" s="43" t="s">
        <v>532</v>
      </c>
      <c r="E958" s="43" t="s">
        <v>533</v>
      </c>
      <c r="F958" s="43" t="s">
        <v>352</v>
      </c>
      <c r="G958" s="43" t="s">
        <v>234</v>
      </c>
      <c r="H958" s="43" t="s">
        <v>207</v>
      </c>
      <c r="I958" s="44">
        <v>45590</v>
      </c>
      <c r="J958" s="44">
        <v>45647</v>
      </c>
      <c r="K958" s="45">
        <v>51</v>
      </c>
      <c r="L958" s="45">
        <v>3980.8849</v>
      </c>
      <c r="M958" s="45">
        <v>10459.049999999999</v>
      </c>
      <c r="N958" s="45">
        <v>11</v>
      </c>
      <c r="O958" s="45">
        <v>876.13239999999996</v>
      </c>
      <c r="P958" s="62">
        <f t="shared" si="15"/>
        <v>62</v>
      </c>
    </row>
    <row r="959" spans="1:16" x14ac:dyDescent="0.25">
      <c r="A959" s="43" t="s">
        <v>200</v>
      </c>
      <c r="B959" s="43" t="s">
        <v>291</v>
      </c>
      <c r="C959" s="43" t="s">
        <v>265</v>
      </c>
      <c r="D959" s="43" t="s">
        <v>532</v>
      </c>
      <c r="E959" s="43" t="s">
        <v>533</v>
      </c>
      <c r="F959" s="43" t="s">
        <v>352</v>
      </c>
      <c r="G959" s="43" t="s">
        <v>259</v>
      </c>
      <c r="H959" s="43" t="s">
        <v>207</v>
      </c>
      <c r="I959" s="44">
        <v>45590</v>
      </c>
      <c r="J959" s="44">
        <v>45643</v>
      </c>
      <c r="K959" s="45">
        <v>3</v>
      </c>
      <c r="L959" s="45">
        <v>230.95140000000001</v>
      </c>
      <c r="M959" s="45">
        <v>614.58000000000004</v>
      </c>
      <c r="N959" s="45">
        <v>5</v>
      </c>
      <c r="O959" s="45">
        <v>384.91899999999998</v>
      </c>
      <c r="P959" s="62">
        <f t="shared" si="15"/>
        <v>8</v>
      </c>
    </row>
    <row r="960" spans="1:16" x14ac:dyDescent="0.25">
      <c r="A960" s="43" t="s">
        <v>200</v>
      </c>
      <c r="B960" s="43" t="s">
        <v>291</v>
      </c>
      <c r="C960" s="43" t="s">
        <v>265</v>
      </c>
      <c r="D960" s="43" t="s">
        <v>532</v>
      </c>
      <c r="E960" s="43" t="s">
        <v>533</v>
      </c>
      <c r="F960" s="43" t="s">
        <v>352</v>
      </c>
      <c r="G960" s="43" t="s">
        <v>296</v>
      </c>
      <c r="H960" s="43" t="s">
        <v>207</v>
      </c>
      <c r="I960" s="44">
        <v>45590</v>
      </c>
      <c r="J960" s="44">
        <v>45647</v>
      </c>
      <c r="K960" s="45">
        <v>27</v>
      </c>
      <c r="L960" s="45">
        <v>2120.8780999999999</v>
      </c>
      <c r="M960" s="45">
        <v>5576.7</v>
      </c>
      <c r="N960" s="45">
        <v>5</v>
      </c>
      <c r="O960" s="45">
        <v>400.709</v>
      </c>
      <c r="P960" s="62">
        <f t="shared" si="15"/>
        <v>32</v>
      </c>
    </row>
    <row r="961" spans="1:16" x14ac:dyDescent="0.25">
      <c r="A961" s="43" t="s">
        <v>200</v>
      </c>
      <c r="B961" s="43" t="s">
        <v>291</v>
      </c>
      <c r="C961" s="43" t="s">
        <v>265</v>
      </c>
      <c r="D961" s="43" t="s">
        <v>532</v>
      </c>
      <c r="E961" s="43" t="s">
        <v>534</v>
      </c>
      <c r="F961" s="43" t="s">
        <v>352</v>
      </c>
      <c r="G961" s="43" t="s">
        <v>232</v>
      </c>
      <c r="H961" s="43" t="s">
        <v>207</v>
      </c>
      <c r="I961" s="44">
        <v>45590</v>
      </c>
      <c r="J961" s="44">
        <v>45630</v>
      </c>
      <c r="K961" s="45">
        <v>8</v>
      </c>
      <c r="L961" s="45">
        <v>616.66549999999995</v>
      </c>
      <c r="M961" s="45">
        <v>1638.87</v>
      </c>
      <c r="N961" s="45">
        <v>9</v>
      </c>
      <c r="O961" s="45">
        <v>703.57410000000004</v>
      </c>
      <c r="P961" s="62">
        <f t="shared" si="15"/>
        <v>17</v>
      </c>
    </row>
    <row r="962" spans="1:16" x14ac:dyDescent="0.25">
      <c r="A962" s="43" t="s">
        <v>200</v>
      </c>
      <c r="B962" s="43" t="s">
        <v>291</v>
      </c>
      <c r="C962" s="43" t="s">
        <v>265</v>
      </c>
      <c r="D962" s="43" t="s">
        <v>532</v>
      </c>
      <c r="E962" s="43" t="s">
        <v>534</v>
      </c>
      <c r="F962" s="43" t="s">
        <v>352</v>
      </c>
      <c r="G962" s="43" t="s">
        <v>233</v>
      </c>
      <c r="H962" s="43" t="s">
        <v>207</v>
      </c>
      <c r="I962" s="44">
        <v>45590</v>
      </c>
      <c r="J962" s="44">
        <v>45647</v>
      </c>
      <c r="K962" s="45">
        <v>25</v>
      </c>
      <c r="L962" s="45">
        <v>1916.4928</v>
      </c>
      <c r="M962" s="45">
        <v>5144.24</v>
      </c>
      <c r="N962" s="45">
        <v>10</v>
      </c>
      <c r="O962" s="45">
        <v>784.84</v>
      </c>
      <c r="P962" s="62">
        <f t="shared" si="15"/>
        <v>35</v>
      </c>
    </row>
    <row r="963" spans="1:16" x14ac:dyDescent="0.25">
      <c r="A963" s="43" t="s">
        <v>200</v>
      </c>
      <c r="B963" s="43" t="s">
        <v>291</v>
      </c>
      <c r="C963" s="43" t="s">
        <v>265</v>
      </c>
      <c r="D963" s="43" t="s">
        <v>532</v>
      </c>
      <c r="E963" s="43" t="s">
        <v>534</v>
      </c>
      <c r="F963" s="43" t="s">
        <v>352</v>
      </c>
      <c r="G963" s="43" t="s">
        <v>234</v>
      </c>
      <c r="H963" s="43" t="s">
        <v>207</v>
      </c>
      <c r="I963" s="44">
        <v>45590</v>
      </c>
      <c r="J963" s="44">
        <v>45646</v>
      </c>
      <c r="K963" s="45">
        <v>29</v>
      </c>
      <c r="L963" s="45">
        <v>2224.1363999999999</v>
      </c>
      <c r="M963" s="45">
        <v>5918.09</v>
      </c>
      <c r="N963" s="45">
        <v>8</v>
      </c>
      <c r="O963" s="45">
        <v>632.84159999999997</v>
      </c>
      <c r="P963" s="62">
        <f t="shared" si="15"/>
        <v>37</v>
      </c>
    </row>
    <row r="964" spans="1:16" x14ac:dyDescent="0.25">
      <c r="A964" s="43" t="s">
        <v>200</v>
      </c>
      <c r="B964" s="43" t="s">
        <v>291</v>
      </c>
      <c r="C964" s="43" t="s">
        <v>265</v>
      </c>
      <c r="D964" s="43" t="s">
        <v>532</v>
      </c>
      <c r="E964" s="43" t="s">
        <v>534</v>
      </c>
      <c r="F964" s="43" t="s">
        <v>352</v>
      </c>
      <c r="G964" s="43" t="s">
        <v>259</v>
      </c>
      <c r="H964" s="43" t="s">
        <v>207</v>
      </c>
      <c r="I964" s="44">
        <v>45590</v>
      </c>
      <c r="J964" s="44">
        <v>45633</v>
      </c>
      <c r="K964" s="45">
        <v>1</v>
      </c>
      <c r="L964" s="45">
        <v>76.983800000000002</v>
      </c>
      <c r="M964" s="45">
        <v>204.86</v>
      </c>
      <c r="N964" s="45">
        <v>5</v>
      </c>
      <c r="O964" s="45">
        <v>396.92849999999999</v>
      </c>
      <c r="P964" s="62">
        <f t="shared" si="15"/>
        <v>6</v>
      </c>
    </row>
    <row r="965" spans="1:16" x14ac:dyDescent="0.25">
      <c r="A965" s="43" t="s">
        <v>200</v>
      </c>
      <c r="B965" s="43" t="s">
        <v>291</v>
      </c>
      <c r="C965" s="43" t="s">
        <v>265</v>
      </c>
      <c r="D965" s="43" t="s">
        <v>532</v>
      </c>
      <c r="E965" s="43" t="s">
        <v>534</v>
      </c>
      <c r="F965" s="43" t="s">
        <v>352</v>
      </c>
      <c r="G965" s="43" t="s">
        <v>296</v>
      </c>
      <c r="H965" s="43" t="s">
        <v>207</v>
      </c>
      <c r="I965" s="44">
        <v>45590</v>
      </c>
      <c r="J965" s="44">
        <v>45647</v>
      </c>
      <c r="K965" s="45">
        <v>11</v>
      </c>
      <c r="L965" s="45">
        <v>848.11810000000003</v>
      </c>
      <c r="M965" s="45">
        <v>2253.46</v>
      </c>
      <c r="N965" s="45">
        <v>5</v>
      </c>
      <c r="O965" s="45">
        <v>394.9425</v>
      </c>
      <c r="P965" s="62">
        <f t="shared" si="15"/>
        <v>16</v>
      </c>
    </row>
    <row r="966" spans="1:16" x14ac:dyDescent="0.25">
      <c r="A966" s="43" t="s">
        <v>200</v>
      </c>
      <c r="B966" s="43" t="s">
        <v>291</v>
      </c>
      <c r="C966" s="43" t="s">
        <v>265</v>
      </c>
      <c r="D966" s="43" t="s">
        <v>532</v>
      </c>
      <c r="E966" s="43" t="s">
        <v>535</v>
      </c>
      <c r="F966" s="43" t="s">
        <v>352</v>
      </c>
      <c r="G966" s="43" t="s">
        <v>232</v>
      </c>
      <c r="H966" s="43" t="s">
        <v>226</v>
      </c>
      <c r="I966" s="44">
        <v>45590</v>
      </c>
      <c r="J966" s="44">
        <v>45629</v>
      </c>
      <c r="K966" s="45">
        <v>0</v>
      </c>
      <c r="L966" s="45">
        <v>0</v>
      </c>
      <c r="M966" s="45">
        <v>0</v>
      </c>
      <c r="N966" s="45">
        <v>9</v>
      </c>
      <c r="O966" s="45">
        <v>701.8614</v>
      </c>
      <c r="P966" s="62">
        <f t="shared" si="15"/>
        <v>9</v>
      </c>
    </row>
    <row r="967" spans="1:16" x14ac:dyDescent="0.25">
      <c r="A967" s="43" t="s">
        <v>200</v>
      </c>
      <c r="B967" s="43" t="s">
        <v>291</v>
      </c>
      <c r="C967" s="43" t="s">
        <v>265</v>
      </c>
      <c r="D967" s="43" t="s">
        <v>532</v>
      </c>
      <c r="E967" s="43" t="s">
        <v>535</v>
      </c>
      <c r="F967" s="43" t="s">
        <v>352</v>
      </c>
      <c r="G967" s="43" t="s">
        <v>233</v>
      </c>
      <c r="H967" s="43" t="s">
        <v>226</v>
      </c>
      <c r="I967" s="44">
        <v>45590</v>
      </c>
      <c r="J967" s="44">
        <v>45637</v>
      </c>
      <c r="K967" s="45">
        <v>1</v>
      </c>
      <c r="L967" s="45">
        <v>78.885800000000003</v>
      </c>
      <c r="M967" s="45">
        <v>204.86</v>
      </c>
      <c r="N967" s="45">
        <v>10</v>
      </c>
      <c r="O967" s="45">
        <v>790.95899999999995</v>
      </c>
      <c r="P967" s="62">
        <f t="shared" si="15"/>
        <v>11</v>
      </c>
    </row>
    <row r="968" spans="1:16" x14ac:dyDescent="0.25">
      <c r="A968" s="43" t="s">
        <v>200</v>
      </c>
      <c r="B968" s="43" t="s">
        <v>291</v>
      </c>
      <c r="C968" s="43" t="s">
        <v>265</v>
      </c>
      <c r="D968" s="43" t="s">
        <v>532</v>
      </c>
      <c r="E968" s="43" t="s">
        <v>535</v>
      </c>
      <c r="F968" s="43" t="s">
        <v>352</v>
      </c>
      <c r="G968" s="43" t="s">
        <v>234</v>
      </c>
      <c r="H968" s="43" t="s">
        <v>226</v>
      </c>
      <c r="I968" s="44">
        <v>45590</v>
      </c>
      <c r="J968" s="44">
        <v>45643</v>
      </c>
      <c r="K968" s="45">
        <v>0</v>
      </c>
      <c r="L968" s="45">
        <v>0</v>
      </c>
      <c r="M968" s="45">
        <v>0</v>
      </c>
      <c r="N968" s="45">
        <v>7</v>
      </c>
      <c r="O968" s="45">
        <v>561.07730000000004</v>
      </c>
      <c r="P968" s="62">
        <f t="shared" ref="P968:P1031" si="16">K968+N968</f>
        <v>7</v>
      </c>
    </row>
    <row r="969" spans="1:16" x14ac:dyDescent="0.25">
      <c r="A969" s="43" t="s">
        <v>200</v>
      </c>
      <c r="B969" s="43" t="s">
        <v>291</v>
      </c>
      <c r="C969" s="43" t="s">
        <v>265</v>
      </c>
      <c r="D969" s="43" t="s">
        <v>532</v>
      </c>
      <c r="E969" s="43" t="s">
        <v>535</v>
      </c>
      <c r="F969" s="43" t="s">
        <v>352</v>
      </c>
      <c r="G969" s="43" t="s">
        <v>259</v>
      </c>
      <c r="H969" s="43" t="s">
        <v>226</v>
      </c>
      <c r="I969" s="44">
        <v>45590</v>
      </c>
      <c r="J969" s="44">
        <v>45633</v>
      </c>
      <c r="K969" s="45">
        <v>0</v>
      </c>
      <c r="L969" s="45">
        <v>0</v>
      </c>
      <c r="M969" s="45">
        <v>0</v>
      </c>
      <c r="N969" s="45">
        <v>2</v>
      </c>
      <c r="O969" s="45">
        <v>161.97399999999999</v>
      </c>
      <c r="P969" s="62">
        <f t="shared" si="16"/>
        <v>2</v>
      </c>
    </row>
    <row r="970" spans="1:16" x14ac:dyDescent="0.25">
      <c r="A970" s="43" t="s">
        <v>200</v>
      </c>
      <c r="B970" s="43" t="s">
        <v>291</v>
      </c>
      <c r="C970" s="43" t="s">
        <v>265</v>
      </c>
      <c r="D970" s="43" t="s">
        <v>532</v>
      </c>
      <c r="E970" s="43" t="s">
        <v>535</v>
      </c>
      <c r="F970" s="43" t="s">
        <v>352</v>
      </c>
      <c r="G970" s="43" t="s">
        <v>296</v>
      </c>
      <c r="H970" s="43" t="s">
        <v>226</v>
      </c>
      <c r="I970" s="44">
        <v>45590</v>
      </c>
      <c r="J970" s="44">
        <v>45630</v>
      </c>
      <c r="K970" s="45">
        <v>0</v>
      </c>
      <c r="L970" s="45">
        <v>0</v>
      </c>
      <c r="M970" s="45">
        <v>0</v>
      </c>
      <c r="N970" s="45">
        <v>4</v>
      </c>
      <c r="O970" s="45">
        <v>314.94080000000002</v>
      </c>
      <c r="P970" s="62">
        <f t="shared" si="16"/>
        <v>4</v>
      </c>
    </row>
    <row r="971" spans="1:16" x14ac:dyDescent="0.25">
      <c r="A971" s="43" t="s">
        <v>200</v>
      </c>
      <c r="B971" s="43" t="s">
        <v>291</v>
      </c>
      <c r="C971" s="43" t="s">
        <v>265</v>
      </c>
      <c r="D971" s="43" t="s">
        <v>532</v>
      </c>
      <c r="E971" s="43" t="s">
        <v>536</v>
      </c>
      <c r="F971" s="43" t="s">
        <v>352</v>
      </c>
      <c r="G971" s="43" t="s">
        <v>232</v>
      </c>
      <c r="H971" s="43" t="s">
        <v>218</v>
      </c>
      <c r="I971" s="44">
        <v>45593</v>
      </c>
      <c r="J971" s="44">
        <v>45611</v>
      </c>
      <c r="K971" s="45">
        <v>2</v>
      </c>
      <c r="L971" s="45">
        <v>153.9676</v>
      </c>
      <c r="M971" s="45">
        <v>409.71</v>
      </c>
      <c r="N971" s="45">
        <v>10</v>
      </c>
      <c r="O971" s="45">
        <v>769.83799999999997</v>
      </c>
      <c r="P971" s="62">
        <f t="shared" si="16"/>
        <v>12</v>
      </c>
    </row>
    <row r="972" spans="1:16" x14ac:dyDescent="0.25">
      <c r="A972" s="43" t="s">
        <v>200</v>
      </c>
      <c r="B972" s="43" t="s">
        <v>291</v>
      </c>
      <c r="C972" s="43" t="s">
        <v>265</v>
      </c>
      <c r="D972" s="43" t="s">
        <v>532</v>
      </c>
      <c r="E972" s="43" t="s">
        <v>536</v>
      </c>
      <c r="F972" s="43" t="s">
        <v>352</v>
      </c>
      <c r="G972" s="43" t="s">
        <v>233</v>
      </c>
      <c r="H972" s="43" t="s">
        <v>218</v>
      </c>
      <c r="I972" s="44">
        <v>45593</v>
      </c>
      <c r="J972" s="44">
        <v>45611</v>
      </c>
      <c r="K972" s="45">
        <v>7</v>
      </c>
      <c r="L972" s="45">
        <v>538.88660000000004</v>
      </c>
      <c r="M972" s="45">
        <v>1434.01</v>
      </c>
      <c r="N972" s="45">
        <v>7</v>
      </c>
      <c r="O972" s="45">
        <v>538.88660000000004</v>
      </c>
      <c r="P972" s="62">
        <f t="shared" si="16"/>
        <v>14</v>
      </c>
    </row>
    <row r="973" spans="1:16" x14ac:dyDescent="0.25">
      <c r="A973" s="43" t="s">
        <v>200</v>
      </c>
      <c r="B973" s="43" t="s">
        <v>291</v>
      </c>
      <c r="C973" s="43" t="s">
        <v>265</v>
      </c>
      <c r="D973" s="43" t="s">
        <v>532</v>
      </c>
      <c r="E973" s="43" t="s">
        <v>536</v>
      </c>
      <c r="F973" s="43" t="s">
        <v>352</v>
      </c>
      <c r="G973" s="43" t="s">
        <v>234</v>
      </c>
      <c r="H973" s="43" t="s">
        <v>218</v>
      </c>
      <c r="I973" s="44">
        <v>45593</v>
      </c>
      <c r="J973" s="44">
        <v>45643</v>
      </c>
      <c r="K973" s="45">
        <v>6</v>
      </c>
      <c r="L973" s="45">
        <v>461.90280000000001</v>
      </c>
      <c r="M973" s="45">
        <v>1217.75</v>
      </c>
      <c r="N973" s="45">
        <v>5</v>
      </c>
      <c r="O973" s="45">
        <v>388.92200000000003</v>
      </c>
      <c r="P973" s="62">
        <f t="shared" si="16"/>
        <v>11</v>
      </c>
    </row>
    <row r="974" spans="1:16" x14ac:dyDescent="0.25">
      <c r="A974" s="43" t="s">
        <v>200</v>
      </c>
      <c r="B974" s="43" t="s">
        <v>291</v>
      </c>
      <c r="C974" s="43" t="s">
        <v>265</v>
      </c>
      <c r="D974" s="43" t="s">
        <v>532</v>
      </c>
      <c r="E974" s="43" t="s">
        <v>536</v>
      </c>
      <c r="F974" s="43" t="s">
        <v>352</v>
      </c>
      <c r="G974" s="43" t="s">
        <v>296</v>
      </c>
      <c r="H974" s="43" t="s">
        <v>218</v>
      </c>
      <c r="I974" s="44">
        <v>45593</v>
      </c>
      <c r="J974" s="44">
        <v>45611</v>
      </c>
      <c r="K974" s="45">
        <v>3</v>
      </c>
      <c r="L974" s="45">
        <v>230.95140000000001</v>
      </c>
      <c r="M974" s="45">
        <v>637.34</v>
      </c>
      <c r="N974" s="45">
        <v>3</v>
      </c>
      <c r="O974" s="45">
        <v>230.95140000000001</v>
      </c>
      <c r="P974" s="62">
        <f t="shared" si="16"/>
        <v>6</v>
      </c>
    </row>
    <row r="975" spans="1:16" x14ac:dyDescent="0.25">
      <c r="A975" s="43" t="s">
        <v>200</v>
      </c>
      <c r="B975" s="43" t="s">
        <v>291</v>
      </c>
      <c r="C975" s="43" t="s">
        <v>265</v>
      </c>
      <c r="D975" s="43" t="s">
        <v>532</v>
      </c>
      <c r="E975" s="43" t="s">
        <v>537</v>
      </c>
      <c r="F975" s="43" t="s">
        <v>352</v>
      </c>
      <c r="G975" s="43" t="s">
        <v>233</v>
      </c>
      <c r="H975" s="43" t="s">
        <v>226</v>
      </c>
      <c r="I975" s="44">
        <v>45590</v>
      </c>
      <c r="J975" s="44">
        <v>45647</v>
      </c>
      <c r="K975" s="45">
        <v>0</v>
      </c>
      <c r="L975" s="45">
        <v>0</v>
      </c>
      <c r="M975" s="45">
        <v>0</v>
      </c>
      <c r="N975" s="45">
        <v>10</v>
      </c>
      <c r="O975" s="45">
        <v>790.76800000000003</v>
      </c>
      <c r="P975" s="62">
        <f t="shared" si="16"/>
        <v>10</v>
      </c>
    </row>
    <row r="976" spans="1:16" x14ac:dyDescent="0.25">
      <c r="A976" s="43" t="s">
        <v>200</v>
      </c>
      <c r="B976" s="43" t="s">
        <v>291</v>
      </c>
      <c r="C976" s="43" t="s">
        <v>265</v>
      </c>
      <c r="D976" s="43" t="s">
        <v>532</v>
      </c>
      <c r="E976" s="43" t="s">
        <v>537</v>
      </c>
      <c r="F976" s="43" t="s">
        <v>352</v>
      </c>
      <c r="G976" s="43" t="s">
        <v>234</v>
      </c>
      <c r="H976" s="43" t="s">
        <v>226</v>
      </c>
      <c r="I976" s="44">
        <v>45590</v>
      </c>
      <c r="J976" s="44">
        <v>45647</v>
      </c>
      <c r="K976" s="45">
        <v>2</v>
      </c>
      <c r="L976" s="45">
        <v>160.61189999999999</v>
      </c>
      <c r="M976" s="45">
        <v>409.72</v>
      </c>
      <c r="N976" s="45">
        <v>8</v>
      </c>
      <c r="O976" s="45">
        <v>644.39919999999995</v>
      </c>
      <c r="P976" s="62">
        <f t="shared" si="16"/>
        <v>10</v>
      </c>
    </row>
    <row r="977" spans="1:16" x14ac:dyDescent="0.25">
      <c r="A977" s="43" t="s">
        <v>200</v>
      </c>
      <c r="B977" s="43" t="s">
        <v>291</v>
      </c>
      <c r="C977" s="43" t="s">
        <v>265</v>
      </c>
      <c r="D977" s="43" t="s">
        <v>532</v>
      </c>
      <c r="E977" s="43" t="s">
        <v>537</v>
      </c>
      <c r="F977" s="43" t="s">
        <v>352</v>
      </c>
      <c r="G977" s="43" t="s">
        <v>296</v>
      </c>
      <c r="H977" s="43" t="s">
        <v>226</v>
      </c>
      <c r="I977" s="44">
        <v>45590</v>
      </c>
      <c r="J977" s="44">
        <v>45646</v>
      </c>
      <c r="K977" s="45">
        <v>1</v>
      </c>
      <c r="L977" s="45">
        <v>80.343599999999995</v>
      </c>
      <c r="M977" s="45">
        <v>204.86</v>
      </c>
      <c r="N977" s="45">
        <v>5</v>
      </c>
      <c r="O977" s="45">
        <v>401.71800000000002</v>
      </c>
      <c r="P977" s="62">
        <f t="shared" si="16"/>
        <v>6</v>
      </c>
    </row>
    <row r="978" spans="1:16" x14ac:dyDescent="0.25">
      <c r="A978" s="43" t="s">
        <v>200</v>
      </c>
      <c r="B978" s="43" t="s">
        <v>291</v>
      </c>
      <c r="C978" s="43" t="s">
        <v>265</v>
      </c>
      <c r="D978" s="43" t="s">
        <v>532</v>
      </c>
      <c r="E978" s="43" t="s">
        <v>538</v>
      </c>
      <c r="F978" s="43" t="s">
        <v>539</v>
      </c>
      <c r="G978" s="43" t="s">
        <v>232</v>
      </c>
      <c r="H978" s="43" t="s">
        <v>226</v>
      </c>
      <c r="I978" s="44">
        <v>45591</v>
      </c>
      <c r="J978" s="44">
        <v>45618</v>
      </c>
      <c r="K978" s="45">
        <v>0</v>
      </c>
      <c r="L978" s="45">
        <v>0</v>
      </c>
      <c r="M978" s="45">
        <v>0</v>
      </c>
      <c r="N978" s="45">
        <v>1</v>
      </c>
      <c r="O978" s="45">
        <v>83.248999999999995</v>
      </c>
      <c r="P978" s="62">
        <f t="shared" si="16"/>
        <v>1</v>
      </c>
    </row>
    <row r="979" spans="1:16" x14ac:dyDescent="0.25">
      <c r="A979" s="43" t="s">
        <v>200</v>
      </c>
      <c r="B979" s="43" t="s">
        <v>291</v>
      </c>
      <c r="C979" s="43" t="s">
        <v>265</v>
      </c>
      <c r="D979" s="43" t="s">
        <v>532</v>
      </c>
      <c r="E979" s="43" t="s">
        <v>538</v>
      </c>
      <c r="F979" s="43" t="s">
        <v>539</v>
      </c>
      <c r="G979" s="43" t="s">
        <v>233</v>
      </c>
      <c r="H979" s="43" t="s">
        <v>226</v>
      </c>
      <c r="I979" s="44">
        <v>45591</v>
      </c>
      <c r="J979" s="44">
        <v>45622</v>
      </c>
      <c r="K979" s="45">
        <v>0</v>
      </c>
      <c r="L979" s="45">
        <v>0</v>
      </c>
      <c r="M979" s="45">
        <v>0</v>
      </c>
      <c r="N979" s="45">
        <v>5</v>
      </c>
      <c r="O979" s="45">
        <v>426.67649999999998</v>
      </c>
      <c r="P979" s="62">
        <f t="shared" si="16"/>
        <v>5</v>
      </c>
    </row>
    <row r="980" spans="1:16" x14ac:dyDescent="0.25">
      <c r="A980" s="43" t="s">
        <v>200</v>
      </c>
      <c r="B980" s="43" t="s">
        <v>291</v>
      </c>
      <c r="C980" s="43" t="s">
        <v>265</v>
      </c>
      <c r="D980" s="43" t="s">
        <v>532</v>
      </c>
      <c r="E980" s="43" t="s">
        <v>538</v>
      </c>
      <c r="F980" s="43" t="s">
        <v>539</v>
      </c>
      <c r="G980" s="43" t="s">
        <v>234</v>
      </c>
      <c r="H980" s="43" t="s">
        <v>226</v>
      </c>
      <c r="I980" s="44">
        <v>45591</v>
      </c>
      <c r="J980" s="44">
        <v>45626</v>
      </c>
      <c r="K980" s="45">
        <v>0</v>
      </c>
      <c r="L980" s="45">
        <v>0</v>
      </c>
      <c r="M980" s="45">
        <v>0</v>
      </c>
      <c r="N980" s="45">
        <v>5</v>
      </c>
      <c r="O980" s="45">
        <v>436.22149999999999</v>
      </c>
      <c r="P980" s="62">
        <f t="shared" si="16"/>
        <v>5</v>
      </c>
    </row>
    <row r="981" spans="1:16" x14ac:dyDescent="0.25">
      <c r="A981" s="43" t="s">
        <v>200</v>
      </c>
      <c r="B981" s="43" t="s">
        <v>291</v>
      </c>
      <c r="C981" s="43" t="s">
        <v>265</v>
      </c>
      <c r="D981" s="43" t="s">
        <v>532</v>
      </c>
      <c r="E981" s="43" t="s">
        <v>540</v>
      </c>
      <c r="F981" s="43" t="s">
        <v>541</v>
      </c>
      <c r="G981" s="43" t="s">
        <v>232</v>
      </c>
      <c r="H981" s="43" t="s">
        <v>226</v>
      </c>
      <c r="I981" s="44">
        <v>45633</v>
      </c>
      <c r="J981" s="44">
        <v>45633</v>
      </c>
      <c r="K981" s="45">
        <v>0</v>
      </c>
      <c r="L981" s="45">
        <v>0</v>
      </c>
      <c r="M981" s="45">
        <v>0</v>
      </c>
      <c r="N981" s="45">
        <v>5</v>
      </c>
      <c r="O981" s="45">
        <v>404.935</v>
      </c>
      <c r="P981" s="62">
        <f t="shared" si="16"/>
        <v>5</v>
      </c>
    </row>
    <row r="982" spans="1:16" x14ac:dyDescent="0.25">
      <c r="A982" s="43" t="s">
        <v>200</v>
      </c>
      <c r="B982" s="43" t="s">
        <v>291</v>
      </c>
      <c r="C982" s="43" t="s">
        <v>265</v>
      </c>
      <c r="D982" s="43" t="s">
        <v>532</v>
      </c>
      <c r="E982" s="43" t="s">
        <v>540</v>
      </c>
      <c r="F982" s="43" t="s">
        <v>541</v>
      </c>
      <c r="G982" s="43" t="s">
        <v>233</v>
      </c>
      <c r="H982" s="43" t="s">
        <v>226</v>
      </c>
      <c r="I982" s="44">
        <v>45633</v>
      </c>
      <c r="J982" s="44">
        <v>45643</v>
      </c>
      <c r="K982" s="45">
        <v>2</v>
      </c>
      <c r="L982" s="45">
        <v>161.97399999999999</v>
      </c>
      <c r="M982" s="45">
        <v>432.48</v>
      </c>
      <c r="N982" s="45">
        <v>5</v>
      </c>
      <c r="O982" s="45">
        <v>404.935</v>
      </c>
      <c r="P982" s="62">
        <f t="shared" si="16"/>
        <v>7</v>
      </c>
    </row>
    <row r="983" spans="1:16" x14ac:dyDescent="0.25">
      <c r="A983" s="43" t="s">
        <v>200</v>
      </c>
      <c r="B983" s="43" t="s">
        <v>291</v>
      </c>
      <c r="C983" s="43" t="s">
        <v>265</v>
      </c>
      <c r="D983" s="43" t="s">
        <v>532</v>
      </c>
      <c r="E983" s="43" t="s">
        <v>540</v>
      </c>
      <c r="F983" s="43" t="s">
        <v>541</v>
      </c>
      <c r="G983" s="43" t="s">
        <v>234</v>
      </c>
      <c r="H983" s="43" t="s">
        <v>226</v>
      </c>
      <c r="I983" s="44">
        <v>45633</v>
      </c>
      <c r="J983" s="44">
        <v>45643</v>
      </c>
      <c r="K983" s="45">
        <v>3</v>
      </c>
      <c r="L983" s="45">
        <v>242.96100000000001</v>
      </c>
      <c r="M983" s="45">
        <v>614.57000000000005</v>
      </c>
      <c r="N983" s="45">
        <v>4</v>
      </c>
      <c r="O983" s="45">
        <v>323.94799999999998</v>
      </c>
      <c r="P983" s="62">
        <f t="shared" si="16"/>
        <v>7</v>
      </c>
    </row>
    <row r="984" spans="1:16" x14ac:dyDescent="0.25">
      <c r="A984" s="43" t="s">
        <v>200</v>
      </c>
      <c r="B984" s="43" t="s">
        <v>291</v>
      </c>
      <c r="C984" s="43" t="s">
        <v>265</v>
      </c>
      <c r="D984" s="43" t="s">
        <v>532</v>
      </c>
      <c r="E984" s="43" t="s">
        <v>540</v>
      </c>
      <c r="F984" s="43" t="s">
        <v>541</v>
      </c>
      <c r="G984" s="43" t="s">
        <v>259</v>
      </c>
      <c r="H984" s="43" t="s">
        <v>226</v>
      </c>
      <c r="I984" s="44">
        <v>45633</v>
      </c>
      <c r="J984" s="44">
        <v>45633</v>
      </c>
      <c r="K984" s="45">
        <v>0</v>
      </c>
      <c r="L984" s="45">
        <v>0</v>
      </c>
      <c r="M984" s="45">
        <v>0</v>
      </c>
      <c r="N984" s="45">
        <v>3</v>
      </c>
      <c r="O984" s="45">
        <v>242.96129999999999</v>
      </c>
      <c r="P984" s="62">
        <f t="shared" si="16"/>
        <v>3</v>
      </c>
    </row>
    <row r="985" spans="1:16" x14ac:dyDescent="0.25">
      <c r="A985" s="43" t="s">
        <v>200</v>
      </c>
      <c r="B985" s="43" t="s">
        <v>291</v>
      </c>
      <c r="C985" s="43" t="s">
        <v>265</v>
      </c>
      <c r="D985" s="43" t="s">
        <v>532</v>
      </c>
      <c r="E985" s="43" t="s">
        <v>540</v>
      </c>
      <c r="F985" s="43" t="s">
        <v>541</v>
      </c>
      <c r="G985" s="43" t="s">
        <v>296</v>
      </c>
      <c r="H985" s="43" t="s">
        <v>226</v>
      </c>
      <c r="I985" s="44">
        <v>45633</v>
      </c>
      <c r="J985" s="44">
        <v>45643</v>
      </c>
      <c r="K985" s="45">
        <v>3</v>
      </c>
      <c r="L985" s="45">
        <v>242.96100000000001</v>
      </c>
      <c r="M985" s="45">
        <v>637.34</v>
      </c>
      <c r="N985" s="45">
        <v>2</v>
      </c>
      <c r="O985" s="45">
        <v>161.97399999999999</v>
      </c>
      <c r="P985" s="62">
        <f t="shared" si="16"/>
        <v>5</v>
      </c>
    </row>
    <row r="986" spans="1:16" x14ac:dyDescent="0.25">
      <c r="A986" s="43" t="s">
        <v>200</v>
      </c>
      <c r="B986" s="43" t="s">
        <v>291</v>
      </c>
      <c r="C986" s="43" t="s">
        <v>265</v>
      </c>
      <c r="D986" s="43" t="s">
        <v>532</v>
      </c>
      <c r="E986" s="43" t="s">
        <v>542</v>
      </c>
      <c r="F986" s="43" t="s">
        <v>541</v>
      </c>
      <c r="G986" s="43" t="s">
        <v>232</v>
      </c>
      <c r="H986" s="43" t="s">
        <v>226</v>
      </c>
      <c r="I986" s="44">
        <v>45591</v>
      </c>
      <c r="J986" s="44">
        <v>45615</v>
      </c>
      <c r="K986" s="45">
        <v>0</v>
      </c>
      <c r="L986" s="45">
        <v>0</v>
      </c>
      <c r="M986" s="45">
        <v>0</v>
      </c>
      <c r="N986" s="45">
        <v>6</v>
      </c>
      <c r="O986" s="45">
        <v>492.69659999999999</v>
      </c>
      <c r="P986" s="62">
        <f t="shared" si="16"/>
        <v>6</v>
      </c>
    </row>
    <row r="987" spans="1:16" x14ac:dyDescent="0.25">
      <c r="A987" s="43" t="s">
        <v>200</v>
      </c>
      <c r="B987" s="43" t="s">
        <v>291</v>
      </c>
      <c r="C987" s="43" t="s">
        <v>265</v>
      </c>
      <c r="D987" s="43" t="s">
        <v>532</v>
      </c>
      <c r="E987" s="43" t="s">
        <v>542</v>
      </c>
      <c r="F987" s="43" t="s">
        <v>541</v>
      </c>
      <c r="G987" s="43" t="s">
        <v>233</v>
      </c>
      <c r="H987" s="43" t="s">
        <v>226</v>
      </c>
      <c r="I987" s="44">
        <v>45591</v>
      </c>
      <c r="J987" s="44">
        <v>45609</v>
      </c>
      <c r="K987" s="45">
        <v>0</v>
      </c>
      <c r="L987" s="45">
        <v>0</v>
      </c>
      <c r="M987" s="45">
        <v>0</v>
      </c>
      <c r="N987" s="45">
        <v>7</v>
      </c>
      <c r="O987" s="45">
        <v>574.81269999999995</v>
      </c>
      <c r="P987" s="62">
        <f t="shared" si="16"/>
        <v>7</v>
      </c>
    </row>
    <row r="988" spans="1:16" x14ac:dyDescent="0.25">
      <c r="A988" s="43" t="s">
        <v>200</v>
      </c>
      <c r="B988" s="43" t="s">
        <v>291</v>
      </c>
      <c r="C988" s="43" t="s">
        <v>265</v>
      </c>
      <c r="D988" s="43" t="s">
        <v>532</v>
      </c>
      <c r="E988" s="43" t="s">
        <v>542</v>
      </c>
      <c r="F988" s="43" t="s">
        <v>541</v>
      </c>
      <c r="G988" s="43" t="s">
        <v>234</v>
      </c>
      <c r="H988" s="43" t="s">
        <v>226</v>
      </c>
      <c r="I988" s="44">
        <v>45591</v>
      </c>
      <c r="J988" s="44">
        <v>45615</v>
      </c>
      <c r="K988" s="45">
        <v>0</v>
      </c>
      <c r="L988" s="45">
        <v>0</v>
      </c>
      <c r="M988" s="45">
        <v>0</v>
      </c>
      <c r="N988" s="45">
        <v>5</v>
      </c>
      <c r="O988" s="45">
        <v>410.58049999999997</v>
      </c>
      <c r="P988" s="62">
        <f t="shared" si="16"/>
        <v>5</v>
      </c>
    </row>
    <row r="989" spans="1:16" x14ac:dyDescent="0.25">
      <c r="A989" s="43" t="s">
        <v>200</v>
      </c>
      <c r="B989" s="43" t="s">
        <v>291</v>
      </c>
      <c r="C989" s="43" t="s">
        <v>265</v>
      </c>
      <c r="D989" s="43" t="s">
        <v>532</v>
      </c>
      <c r="E989" s="43" t="s">
        <v>542</v>
      </c>
      <c r="F989" s="43" t="s">
        <v>541</v>
      </c>
      <c r="G989" s="43" t="s">
        <v>259</v>
      </c>
      <c r="H989" s="43" t="s">
        <v>226</v>
      </c>
      <c r="I989" s="44">
        <v>45591</v>
      </c>
      <c r="J989" s="44">
        <v>45591</v>
      </c>
      <c r="K989" s="45">
        <v>0</v>
      </c>
      <c r="L989" s="45">
        <v>0</v>
      </c>
      <c r="M989" s="45">
        <v>0</v>
      </c>
      <c r="N989" s="45">
        <v>1</v>
      </c>
      <c r="O989" s="45">
        <v>82.116100000000003</v>
      </c>
      <c r="P989" s="62">
        <f t="shared" si="16"/>
        <v>1</v>
      </c>
    </row>
    <row r="990" spans="1:16" x14ac:dyDescent="0.25">
      <c r="A990" s="43" t="s">
        <v>200</v>
      </c>
      <c r="B990" s="43" t="s">
        <v>291</v>
      </c>
      <c r="C990" s="43" t="s">
        <v>265</v>
      </c>
      <c r="D990" s="43" t="s">
        <v>532</v>
      </c>
      <c r="E990" s="43" t="s">
        <v>542</v>
      </c>
      <c r="F990" s="43" t="s">
        <v>541</v>
      </c>
      <c r="G990" s="43" t="s">
        <v>296</v>
      </c>
      <c r="H990" s="43" t="s">
        <v>226</v>
      </c>
      <c r="I990" s="44">
        <v>45591</v>
      </c>
      <c r="J990" s="44">
        <v>45591</v>
      </c>
      <c r="K990" s="45">
        <v>0</v>
      </c>
      <c r="L990" s="45">
        <v>0</v>
      </c>
      <c r="M990" s="45">
        <v>0</v>
      </c>
      <c r="N990" s="45">
        <v>3</v>
      </c>
      <c r="O990" s="45">
        <v>246.34829999999999</v>
      </c>
      <c r="P990" s="62">
        <f t="shared" si="16"/>
        <v>3</v>
      </c>
    </row>
    <row r="991" spans="1:16" x14ac:dyDescent="0.25">
      <c r="A991" s="43" t="s">
        <v>200</v>
      </c>
      <c r="B991" s="43" t="s">
        <v>291</v>
      </c>
      <c r="C991" s="43" t="s">
        <v>265</v>
      </c>
      <c r="D991" s="43" t="s">
        <v>532</v>
      </c>
      <c r="E991" s="43" t="s">
        <v>543</v>
      </c>
      <c r="F991" s="43" t="s">
        <v>544</v>
      </c>
      <c r="G991" s="43" t="s">
        <v>232</v>
      </c>
      <c r="H991" s="43" t="s">
        <v>226</v>
      </c>
      <c r="I991" s="44">
        <v>45638</v>
      </c>
      <c r="J991" s="44">
        <v>45644</v>
      </c>
      <c r="K991" s="45">
        <v>0</v>
      </c>
      <c r="L991" s="45">
        <v>0</v>
      </c>
      <c r="M991" s="45">
        <v>0</v>
      </c>
      <c r="N991" s="45">
        <v>6</v>
      </c>
      <c r="O991" s="45">
        <v>539.99879999999996</v>
      </c>
      <c r="P991" s="62">
        <f t="shared" si="16"/>
        <v>6</v>
      </c>
    </row>
    <row r="992" spans="1:16" x14ac:dyDescent="0.25">
      <c r="A992" s="43" t="s">
        <v>200</v>
      </c>
      <c r="B992" s="43" t="s">
        <v>291</v>
      </c>
      <c r="C992" s="43" t="s">
        <v>265</v>
      </c>
      <c r="D992" s="43" t="s">
        <v>532</v>
      </c>
      <c r="E992" s="43" t="s">
        <v>543</v>
      </c>
      <c r="F992" s="43" t="s">
        <v>544</v>
      </c>
      <c r="G992" s="43" t="s">
        <v>233</v>
      </c>
      <c r="H992" s="43" t="s">
        <v>226</v>
      </c>
      <c r="I992" s="44">
        <v>45638</v>
      </c>
      <c r="J992" s="44">
        <v>45638</v>
      </c>
      <c r="K992" s="45">
        <v>0</v>
      </c>
      <c r="L992" s="45">
        <v>0</v>
      </c>
      <c r="M992" s="45">
        <v>0</v>
      </c>
      <c r="N992" s="45">
        <v>7</v>
      </c>
      <c r="O992" s="45">
        <v>629.99860000000001</v>
      </c>
      <c r="P992" s="62">
        <f t="shared" si="16"/>
        <v>7</v>
      </c>
    </row>
    <row r="993" spans="1:16" x14ac:dyDescent="0.25">
      <c r="A993" s="43" t="s">
        <v>200</v>
      </c>
      <c r="B993" s="43" t="s">
        <v>291</v>
      </c>
      <c r="C993" s="43" t="s">
        <v>265</v>
      </c>
      <c r="D993" s="43" t="s">
        <v>532</v>
      </c>
      <c r="E993" s="43" t="s">
        <v>543</v>
      </c>
      <c r="F993" s="43" t="s">
        <v>544</v>
      </c>
      <c r="G993" s="43" t="s">
        <v>234</v>
      </c>
      <c r="H993" s="43" t="s">
        <v>226</v>
      </c>
      <c r="I993" s="44">
        <v>45638</v>
      </c>
      <c r="J993" s="44">
        <v>45647</v>
      </c>
      <c r="K993" s="45">
        <v>0</v>
      </c>
      <c r="L993" s="45">
        <v>0</v>
      </c>
      <c r="M993" s="45">
        <v>0</v>
      </c>
      <c r="N993" s="45">
        <v>5</v>
      </c>
      <c r="O993" s="45">
        <v>449.99900000000002</v>
      </c>
      <c r="P993" s="62">
        <f t="shared" si="16"/>
        <v>5</v>
      </c>
    </row>
    <row r="994" spans="1:16" x14ac:dyDescent="0.25">
      <c r="A994" s="43" t="s">
        <v>200</v>
      </c>
      <c r="B994" s="43" t="s">
        <v>291</v>
      </c>
      <c r="C994" s="43" t="s">
        <v>265</v>
      </c>
      <c r="D994" s="43" t="s">
        <v>532</v>
      </c>
      <c r="E994" s="43" t="s">
        <v>543</v>
      </c>
      <c r="F994" s="43" t="s">
        <v>544</v>
      </c>
      <c r="G994" s="43" t="s">
        <v>296</v>
      </c>
      <c r="H994" s="43" t="s">
        <v>226</v>
      </c>
      <c r="I994" s="44">
        <v>45638</v>
      </c>
      <c r="J994" s="44">
        <v>45647</v>
      </c>
      <c r="K994" s="45">
        <v>0</v>
      </c>
      <c r="L994" s="45">
        <v>0</v>
      </c>
      <c r="M994" s="45">
        <v>0</v>
      </c>
      <c r="N994" s="45">
        <v>3</v>
      </c>
      <c r="O994" s="45">
        <v>269.99939999999998</v>
      </c>
      <c r="P994" s="62">
        <f t="shared" si="16"/>
        <v>3</v>
      </c>
    </row>
    <row r="995" spans="1:16" x14ac:dyDescent="0.25">
      <c r="A995" s="43" t="s">
        <v>200</v>
      </c>
      <c r="B995" s="43" t="s">
        <v>291</v>
      </c>
      <c r="C995" s="43" t="s">
        <v>265</v>
      </c>
      <c r="D995" s="43" t="s">
        <v>532</v>
      </c>
      <c r="E995" s="43" t="s">
        <v>545</v>
      </c>
      <c r="F995" s="43" t="s">
        <v>544</v>
      </c>
      <c r="G995" s="43" t="s">
        <v>232</v>
      </c>
      <c r="H995" s="43" t="s">
        <v>226</v>
      </c>
      <c r="I995" s="44">
        <v>45638</v>
      </c>
      <c r="J995" s="44">
        <v>45646</v>
      </c>
      <c r="K995" s="45">
        <v>0</v>
      </c>
      <c r="L995" s="45">
        <v>0</v>
      </c>
      <c r="M995" s="45">
        <v>0</v>
      </c>
      <c r="N995" s="45">
        <v>6</v>
      </c>
      <c r="O995" s="45">
        <v>539.99879999999996</v>
      </c>
      <c r="P995" s="62">
        <f t="shared" si="16"/>
        <v>6</v>
      </c>
    </row>
    <row r="996" spans="1:16" x14ac:dyDescent="0.25">
      <c r="A996" s="43" t="s">
        <v>200</v>
      </c>
      <c r="B996" s="43" t="s">
        <v>291</v>
      </c>
      <c r="C996" s="43" t="s">
        <v>265</v>
      </c>
      <c r="D996" s="43" t="s">
        <v>532</v>
      </c>
      <c r="E996" s="43" t="s">
        <v>545</v>
      </c>
      <c r="F996" s="43" t="s">
        <v>544</v>
      </c>
      <c r="G996" s="43" t="s">
        <v>233</v>
      </c>
      <c r="H996" s="43" t="s">
        <v>226</v>
      </c>
      <c r="I996" s="44">
        <v>45638</v>
      </c>
      <c r="J996" s="44">
        <v>45646</v>
      </c>
      <c r="K996" s="45">
        <v>0</v>
      </c>
      <c r="L996" s="45">
        <v>0</v>
      </c>
      <c r="M996" s="45">
        <v>0</v>
      </c>
      <c r="N996" s="45">
        <v>7</v>
      </c>
      <c r="O996" s="45">
        <v>629.99860000000001</v>
      </c>
      <c r="P996" s="62">
        <f t="shared" si="16"/>
        <v>7</v>
      </c>
    </row>
    <row r="997" spans="1:16" x14ac:dyDescent="0.25">
      <c r="A997" s="43" t="s">
        <v>200</v>
      </c>
      <c r="B997" s="43" t="s">
        <v>291</v>
      </c>
      <c r="C997" s="43" t="s">
        <v>265</v>
      </c>
      <c r="D997" s="43" t="s">
        <v>532</v>
      </c>
      <c r="E997" s="43" t="s">
        <v>545</v>
      </c>
      <c r="F997" s="43" t="s">
        <v>544</v>
      </c>
      <c r="G997" s="43" t="s">
        <v>234</v>
      </c>
      <c r="H997" s="43" t="s">
        <v>226</v>
      </c>
      <c r="I997" s="44">
        <v>45638</v>
      </c>
      <c r="J997" s="44">
        <v>45646</v>
      </c>
      <c r="K997" s="45">
        <v>0</v>
      </c>
      <c r="L997" s="45">
        <v>0</v>
      </c>
      <c r="M997" s="45">
        <v>0</v>
      </c>
      <c r="N997" s="45">
        <v>5</v>
      </c>
      <c r="O997" s="45">
        <v>449.99900000000002</v>
      </c>
      <c r="P997" s="62">
        <f t="shared" si="16"/>
        <v>5</v>
      </c>
    </row>
    <row r="998" spans="1:16" x14ac:dyDescent="0.25">
      <c r="A998" s="43" t="s">
        <v>200</v>
      </c>
      <c r="B998" s="43" t="s">
        <v>291</v>
      </c>
      <c r="C998" s="43" t="s">
        <v>265</v>
      </c>
      <c r="D998" s="43" t="s">
        <v>532</v>
      </c>
      <c r="E998" s="43" t="s">
        <v>545</v>
      </c>
      <c r="F998" s="43" t="s">
        <v>544</v>
      </c>
      <c r="G998" s="43" t="s">
        <v>296</v>
      </c>
      <c r="H998" s="43" t="s">
        <v>226</v>
      </c>
      <c r="I998" s="44">
        <v>45638</v>
      </c>
      <c r="J998" s="44">
        <v>45644</v>
      </c>
      <c r="K998" s="45">
        <v>0</v>
      </c>
      <c r="L998" s="45">
        <v>0</v>
      </c>
      <c r="M998" s="45">
        <v>0</v>
      </c>
      <c r="N998" s="45">
        <v>3</v>
      </c>
      <c r="O998" s="45">
        <v>269.99939999999998</v>
      </c>
      <c r="P998" s="62">
        <f t="shared" si="16"/>
        <v>3</v>
      </c>
    </row>
    <row r="999" spans="1:16" x14ac:dyDescent="0.25">
      <c r="A999" s="43" t="s">
        <v>200</v>
      </c>
      <c r="B999" s="43" t="s">
        <v>291</v>
      </c>
      <c r="C999" s="43" t="s">
        <v>265</v>
      </c>
      <c r="D999" s="43" t="s">
        <v>532</v>
      </c>
      <c r="E999" s="43" t="s">
        <v>546</v>
      </c>
      <c r="F999" s="43" t="s">
        <v>529</v>
      </c>
      <c r="G999" s="43" t="s">
        <v>232</v>
      </c>
      <c r="H999" s="43" t="s">
        <v>226</v>
      </c>
      <c r="I999" s="44">
        <v>45593</v>
      </c>
      <c r="J999" s="44">
        <v>45605</v>
      </c>
      <c r="K999" s="45">
        <v>0</v>
      </c>
      <c r="L999" s="45">
        <v>0</v>
      </c>
      <c r="M999" s="45">
        <v>0</v>
      </c>
      <c r="N999" s="45">
        <v>7</v>
      </c>
      <c r="O999" s="45">
        <v>419.51139999999998</v>
      </c>
      <c r="P999" s="62">
        <f t="shared" si="16"/>
        <v>7</v>
      </c>
    </row>
    <row r="1000" spans="1:16" x14ac:dyDescent="0.25">
      <c r="A1000" s="43" t="s">
        <v>200</v>
      </c>
      <c r="B1000" s="43" t="s">
        <v>291</v>
      </c>
      <c r="C1000" s="43" t="s">
        <v>265</v>
      </c>
      <c r="D1000" s="43" t="s">
        <v>532</v>
      </c>
      <c r="E1000" s="43" t="s">
        <v>546</v>
      </c>
      <c r="F1000" s="43" t="s">
        <v>529</v>
      </c>
      <c r="G1000" s="43" t="s">
        <v>233</v>
      </c>
      <c r="H1000" s="43" t="s">
        <v>226</v>
      </c>
      <c r="I1000" s="44">
        <v>45593</v>
      </c>
      <c r="J1000" s="44">
        <v>45605</v>
      </c>
      <c r="K1000" s="45">
        <v>0</v>
      </c>
      <c r="L1000" s="45">
        <v>0</v>
      </c>
      <c r="M1000" s="45">
        <v>0</v>
      </c>
      <c r="N1000" s="45">
        <v>8</v>
      </c>
      <c r="O1000" s="45">
        <v>479.55439999999999</v>
      </c>
      <c r="P1000" s="62">
        <f t="shared" si="16"/>
        <v>8</v>
      </c>
    </row>
    <row r="1001" spans="1:16" x14ac:dyDescent="0.25">
      <c r="A1001" s="43" t="s">
        <v>200</v>
      </c>
      <c r="B1001" s="43" t="s">
        <v>291</v>
      </c>
      <c r="C1001" s="43" t="s">
        <v>265</v>
      </c>
      <c r="D1001" s="43" t="s">
        <v>532</v>
      </c>
      <c r="E1001" s="43" t="s">
        <v>546</v>
      </c>
      <c r="F1001" s="43" t="s">
        <v>529</v>
      </c>
      <c r="G1001" s="43" t="s">
        <v>234</v>
      </c>
      <c r="H1001" s="43" t="s">
        <v>226</v>
      </c>
      <c r="I1001" s="44">
        <v>45593</v>
      </c>
      <c r="J1001" s="44">
        <v>45605</v>
      </c>
      <c r="K1001" s="45">
        <v>0</v>
      </c>
      <c r="L1001" s="45">
        <v>0</v>
      </c>
      <c r="M1001" s="45">
        <v>0</v>
      </c>
      <c r="N1001" s="45">
        <v>6</v>
      </c>
      <c r="O1001" s="45">
        <v>359.58120000000002</v>
      </c>
      <c r="P1001" s="62">
        <f t="shared" si="16"/>
        <v>6</v>
      </c>
    </row>
    <row r="1002" spans="1:16" x14ac:dyDescent="0.25">
      <c r="A1002" s="43" t="s">
        <v>200</v>
      </c>
      <c r="B1002" s="43" t="s">
        <v>291</v>
      </c>
      <c r="C1002" s="43" t="s">
        <v>265</v>
      </c>
      <c r="D1002" s="43" t="s">
        <v>532</v>
      </c>
      <c r="E1002" s="43" t="s">
        <v>546</v>
      </c>
      <c r="F1002" s="43" t="s">
        <v>529</v>
      </c>
      <c r="G1002" s="43" t="s">
        <v>296</v>
      </c>
      <c r="H1002" s="43" t="s">
        <v>226</v>
      </c>
      <c r="I1002" s="44">
        <v>45593</v>
      </c>
      <c r="J1002" s="44">
        <v>45593</v>
      </c>
      <c r="K1002" s="45">
        <v>0</v>
      </c>
      <c r="L1002" s="45">
        <v>0</v>
      </c>
      <c r="M1002" s="45">
        <v>0</v>
      </c>
      <c r="N1002" s="45">
        <v>3</v>
      </c>
      <c r="O1002" s="45">
        <v>179.79060000000001</v>
      </c>
      <c r="P1002" s="62">
        <f t="shared" si="16"/>
        <v>3</v>
      </c>
    </row>
    <row r="1003" spans="1:16" x14ac:dyDescent="0.25">
      <c r="A1003" s="43" t="s">
        <v>200</v>
      </c>
      <c r="B1003" s="43" t="s">
        <v>291</v>
      </c>
      <c r="C1003" s="43" t="s">
        <v>265</v>
      </c>
      <c r="D1003" s="43" t="s">
        <v>532</v>
      </c>
      <c r="E1003" s="43" t="s">
        <v>547</v>
      </c>
      <c r="F1003" s="43" t="s">
        <v>529</v>
      </c>
      <c r="G1003" s="43" t="s">
        <v>232</v>
      </c>
      <c r="H1003" s="43" t="s">
        <v>218</v>
      </c>
      <c r="I1003" s="44">
        <v>45593</v>
      </c>
      <c r="J1003" s="44">
        <v>45605</v>
      </c>
      <c r="K1003" s="45">
        <v>0</v>
      </c>
      <c r="L1003" s="45">
        <v>0</v>
      </c>
      <c r="M1003" s="45">
        <v>0</v>
      </c>
      <c r="N1003" s="45">
        <v>7</v>
      </c>
      <c r="O1003" s="45">
        <v>419.51139999999998</v>
      </c>
      <c r="P1003" s="62">
        <f t="shared" si="16"/>
        <v>7</v>
      </c>
    </row>
    <row r="1004" spans="1:16" x14ac:dyDescent="0.25">
      <c r="A1004" s="43" t="s">
        <v>200</v>
      </c>
      <c r="B1004" s="43" t="s">
        <v>291</v>
      </c>
      <c r="C1004" s="43" t="s">
        <v>265</v>
      </c>
      <c r="D1004" s="43" t="s">
        <v>532</v>
      </c>
      <c r="E1004" s="43" t="s">
        <v>547</v>
      </c>
      <c r="F1004" s="43" t="s">
        <v>529</v>
      </c>
      <c r="G1004" s="43" t="s">
        <v>233</v>
      </c>
      <c r="H1004" s="43" t="s">
        <v>218</v>
      </c>
      <c r="I1004" s="44">
        <v>45593</v>
      </c>
      <c r="J1004" s="44">
        <v>45605</v>
      </c>
      <c r="K1004" s="45">
        <v>0</v>
      </c>
      <c r="L1004" s="45">
        <v>0</v>
      </c>
      <c r="M1004" s="45">
        <v>0</v>
      </c>
      <c r="N1004" s="45">
        <v>8</v>
      </c>
      <c r="O1004" s="45">
        <v>479.61279999999999</v>
      </c>
      <c r="P1004" s="62">
        <f t="shared" si="16"/>
        <v>8</v>
      </c>
    </row>
    <row r="1005" spans="1:16" x14ac:dyDescent="0.25">
      <c r="A1005" s="43" t="s">
        <v>200</v>
      </c>
      <c r="B1005" s="43" t="s">
        <v>291</v>
      </c>
      <c r="C1005" s="43" t="s">
        <v>265</v>
      </c>
      <c r="D1005" s="43" t="s">
        <v>532</v>
      </c>
      <c r="E1005" s="43" t="s">
        <v>547</v>
      </c>
      <c r="F1005" s="43" t="s">
        <v>529</v>
      </c>
      <c r="G1005" s="43" t="s">
        <v>234</v>
      </c>
      <c r="H1005" s="43" t="s">
        <v>218</v>
      </c>
      <c r="I1005" s="44">
        <v>45593</v>
      </c>
      <c r="J1005" s="44">
        <v>45605</v>
      </c>
      <c r="K1005" s="45">
        <v>0</v>
      </c>
      <c r="L1005" s="45">
        <v>0</v>
      </c>
      <c r="M1005" s="45">
        <v>0</v>
      </c>
      <c r="N1005" s="45">
        <v>6</v>
      </c>
      <c r="O1005" s="45">
        <v>359.58120000000002</v>
      </c>
      <c r="P1005" s="62">
        <f t="shared" si="16"/>
        <v>6</v>
      </c>
    </row>
    <row r="1006" spans="1:16" x14ac:dyDescent="0.25">
      <c r="A1006" s="43" t="s">
        <v>200</v>
      </c>
      <c r="B1006" s="43" t="s">
        <v>291</v>
      </c>
      <c r="C1006" s="43" t="s">
        <v>265</v>
      </c>
      <c r="D1006" s="43" t="s">
        <v>532</v>
      </c>
      <c r="E1006" s="43" t="s">
        <v>547</v>
      </c>
      <c r="F1006" s="43" t="s">
        <v>529</v>
      </c>
      <c r="G1006" s="43" t="s">
        <v>296</v>
      </c>
      <c r="H1006" s="43" t="s">
        <v>218</v>
      </c>
      <c r="I1006" s="44">
        <v>45593</v>
      </c>
      <c r="J1006" s="44">
        <v>45593</v>
      </c>
      <c r="K1006" s="45">
        <v>0</v>
      </c>
      <c r="L1006" s="45">
        <v>0</v>
      </c>
      <c r="M1006" s="45">
        <v>0</v>
      </c>
      <c r="N1006" s="45">
        <v>3</v>
      </c>
      <c r="O1006" s="45">
        <v>179.79060000000001</v>
      </c>
      <c r="P1006" s="62">
        <f t="shared" si="16"/>
        <v>3</v>
      </c>
    </row>
    <row r="1007" spans="1:16" x14ac:dyDescent="0.25">
      <c r="A1007" s="43" t="s">
        <v>200</v>
      </c>
      <c r="B1007" s="43" t="s">
        <v>291</v>
      </c>
      <c r="C1007" s="43" t="s">
        <v>265</v>
      </c>
      <c r="D1007" s="43" t="s">
        <v>532</v>
      </c>
      <c r="E1007" s="43" t="s">
        <v>548</v>
      </c>
      <c r="F1007" s="43" t="s">
        <v>529</v>
      </c>
      <c r="G1007" s="43" t="s">
        <v>232</v>
      </c>
      <c r="H1007" s="43" t="s">
        <v>226</v>
      </c>
      <c r="I1007" s="44">
        <v>45593</v>
      </c>
      <c r="J1007" s="44">
        <v>45630</v>
      </c>
      <c r="K1007" s="45">
        <v>0</v>
      </c>
      <c r="L1007" s="45">
        <v>0</v>
      </c>
      <c r="M1007" s="45">
        <v>0</v>
      </c>
      <c r="N1007" s="45">
        <v>6</v>
      </c>
      <c r="O1007" s="45">
        <v>621.20820000000003</v>
      </c>
      <c r="P1007" s="62">
        <f t="shared" si="16"/>
        <v>6</v>
      </c>
    </row>
    <row r="1008" spans="1:16" x14ac:dyDescent="0.25">
      <c r="A1008" s="43" t="s">
        <v>200</v>
      </c>
      <c r="B1008" s="43" t="s">
        <v>291</v>
      </c>
      <c r="C1008" s="43" t="s">
        <v>265</v>
      </c>
      <c r="D1008" s="43" t="s">
        <v>532</v>
      </c>
      <c r="E1008" s="43" t="s">
        <v>548</v>
      </c>
      <c r="F1008" s="43" t="s">
        <v>529</v>
      </c>
      <c r="G1008" s="43" t="s">
        <v>233</v>
      </c>
      <c r="H1008" s="43" t="s">
        <v>226</v>
      </c>
      <c r="I1008" s="44">
        <v>45593</v>
      </c>
      <c r="J1008" s="44">
        <v>45636</v>
      </c>
      <c r="K1008" s="45">
        <v>0</v>
      </c>
      <c r="L1008" s="45">
        <v>0</v>
      </c>
      <c r="M1008" s="45">
        <v>0</v>
      </c>
      <c r="N1008" s="45">
        <v>7</v>
      </c>
      <c r="O1008" s="45">
        <v>733.00289999999995</v>
      </c>
      <c r="P1008" s="62">
        <f t="shared" si="16"/>
        <v>7</v>
      </c>
    </row>
    <row r="1009" spans="1:16" x14ac:dyDescent="0.25">
      <c r="A1009" s="43" t="s">
        <v>200</v>
      </c>
      <c r="B1009" s="43" t="s">
        <v>291</v>
      </c>
      <c r="C1009" s="43" t="s">
        <v>265</v>
      </c>
      <c r="D1009" s="43" t="s">
        <v>532</v>
      </c>
      <c r="E1009" s="43" t="s">
        <v>548</v>
      </c>
      <c r="F1009" s="43" t="s">
        <v>529</v>
      </c>
      <c r="G1009" s="43" t="s">
        <v>234</v>
      </c>
      <c r="H1009" s="43" t="s">
        <v>226</v>
      </c>
      <c r="I1009" s="44">
        <v>45593</v>
      </c>
      <c r="J1009" s="44">
        <v>45633</v>
      </c>
      <c r="K1009" s="45">
        <v>0</v>
      </c>
      <c r="L1009" s="45">
        <v>0</v>
      </c>
      <c r="M1009" s="45">
        <v>0</v>
      </c>
      <c r="N1009" s="45">
        <v>5</v>
      </c>
      <c r="O1009" s="45">
        <v>518.56299999999999</v>
      </c>
      <c r="P1009" s="62">
        <f t="shared" si="16"/>
        <v>5</v>
      </c>
    </row>
    <row r="1010" spans="1:16" x14ac:dyDescent="0.25">
      <c r="A1010" s="43" t="s">
        <v>200</v>
      </c>
      <c r="B1010" s="43" t="s">
        <v>291</v>
      </c>
      <c r="C1010" s="43" t="s">
        <v>265</v>
      </c>
      <c r="D1010" s="43" t="s">
        <v>532</v>
      </c>
      <c r="E1010" s="43" t="s">
        <v>548</v>
      </c>
      <c r="F1010" s="43" t="s">
        <v>529</v>
      </c>
      <c r="G1010" s="43" t="s">
        <v>296</v>
      </c>
      <c r="H1010" s="43" t="s">
        <v>226</v>
      </c>
      <c r="I1010" s="44">
        <v>45593</v>
      </c>
      <c r="J1010" s="44">
        <v>45630</v>
      </c>
      <c r="K1010" s="45">
        <v>0</v>
      </c>
      <c r="L1010" s="45">
        <v>0</v>
      </c>
      <c r="M1010" s="45">
        <v>0</v>
      </c>
      <c r="N1010" s="45">
        <v>3</v>
      </c>
      <c r="O1010" s="45">
        <v>313.27289999999999</v>
      </c>
      <c r="P1010" s="62">
        <f t="shared" si="16"/>
        <v>3</v>
      </c>
    </row>
    <row r="1011" spans="1:16" x14ac:dyDescent="0.25">
      <c r="A1011" s="43" t="s">
        <v>200</v>
      </c>
      <c r="B1011" s="43" t="s">
        <v>291</v>
      </c>
      <c r="C1011" s="43" t="s">
        <v>265</v>
      </c>
      <c r="D1011" s="43" t="s">
        <v>532</v>
      </c>
      <c r="E1011" s="43" t="s">
        <v>549</v>
      </c>
      <c r="F1011" s="43" t="s">
        <v>529</v>
      </c>
      <c r="G1011" s="43" t="s">
        <v>232</v>
      </c>
      <c r="H1011" s="43" t="s">
        <v>226</v>
      </c>
      <c r="I1011" s="44">
        <v>45593</v>
      </c>
      <c r="J1011" s="44">
        <v>45593</v>
      </c>
      <c r="K1011" s="45">
        <v>0</v>
      </c>
      <c r="L1011" s="45">
        <v>0</v>
      </c>
      <c r="M1011" s="45">
        <v>0</v>
      </c>
      <c r="N1011" s="45">
        <v>6</v>
      </c>
      <c r="O1011" s="45">
        <v>615.87059999999997</v>
      </c>
      <c r="P1011" s="62">
        <f t="shared" si="16"/>
        <v>6</v>
      </c>
    </row>
    <row r="1012" spans="1:16" x14ac:dyDescent="0.25">
      <c r="A1012" s="43" t="s">
        <v>200</v>
      </c>
      <c r="B1012" s="43" t="s">
        <v>291</v>
      </c>
      <c r="C1012" s="43" t="s">
        <v>265</v>
      </c>
      <c r="D1012" s="43" t="s">
        <v>532</v>
      </c>
      <c r="E1012" s="43" t="s">
        <v>549</v>
      </c>
      <c r="F1012" s="43" t="s">
        <v>529</v>
      </c>
      <c r="G1012" s="43" t="s">
        <v>233</v>
      </c>
      <c r="H1012" s="43" t="s">
        <v>226</v>
      </c>
      <c r="I1012" s="44">
        <v>45593</v>
      </c>
      <c r="J1012" s="44">
        <v>45631</v>
      </c>
      <c r="K1012" s="45">
        <v>0</v>
      </c>
      <c r="L1012" s="45">
        <v>0</v>
      </c>
      <c r="M1012" s="45">
        <v>0</v>
      </c>
      <c r="N1012" s="45">
        <v>7</v>
      </c>
      <c r="O1012" s="45">
        <v>729.19069999999999</v>
      </c>
      <c r="P1012" s="62">
        <f t="shared" si="16"/>
        <v>7</v>
      </c>
    </row>
    <row r="1013" spans="1:16" x14ac:dyDescent="0.25">
      <c r="A1013" s="43" t="s">
        <v>200</v>
      </c>
      <c r="B1013" s="43" t="s">
        <v>291</v>
      </c>
      <c r="C1013" s="43" t="s">
        <v>265</v>
      </c>
      <c r="D1013" s="43" t="s">
        <v>532</v>
      </c>
      <c r="E1013" s="43" t="s">
        <v>549</v>
      </c>
      <c r="F1013" s="43" t="s">
        <v>529</v>
      </c>
      <c r="G1013" s="43" t="s">
        <v>234</v>
      </c>
      <c r="H1013" s="43" t="s">
        <v>226</v>
      </c>
      <c r="I1013" s="44">
        <v>45593</v>
      </c>
      <c r="J1013" s="44">
        <v>45593</v>
      </c>
      <c r="K1013" s="45">
        <v>0</v>
      </c>
      <c r="L1013" s="45">
        <v>0</v>
      </c>
      <c r="M1013" s="45">
        <v>0</v>
      </c>
      <c r="N1013" s="45">
        <v>5</v>
      </c>
      <c r="O1013" s="45">
        <v>513.22550000000001</v>
      </c>
      <c r="P1013" s="62">
        <f t="shared" si="16"/>
        <v>5</v>
      </c>
    </row>
    <row r="1014" spans="1:16" x14ac:dyDescent="0.25">
      <c r="A1014" s="43" t="s">
        <v>200</v>
      </c>
      <c r="B1014" s="43" t="s">
        <v>291</v>
      </c>
      <c r="C1014" s="43" t="s">
        <v>265</v>
      </c>
      <c r="D1014" s="43" t="s">
        <v>532</v>
      </c>
      <c r="E1014" s="43" t="s">
        <v>549</v>
      </c>
      <c r="F1014" s="43" t="s">
        <v>529</v>
      </c>
      <c r="G1014" s="43" t="s">
        <v>296</v>
      </c>
      <c r="H1014" s="43" t="s">
        <v>226</v>
      </c>
      <c r="I1014" s="44">
        <v>45593</v>
      </c>
      <c r="J1014" s="44">
        <v>45593</v>
      </c>
      <c r="K1014" s="45">
        <v>0</v>
      </c>
      <c r="L1014" s="45">
        <v>0</v>
      </c>
      <c r="M1014" s="45">
        <v>0</v>
      </c>
      <c r="N1014" s="45">
        <v>3</v>
      </c>
      <c r="O1014" s="45">
        <v>307.93529999999998</v>
      </c>
      <c r="P1014" s="62">
        <f t="shared" si="16"/>
        <v>3</v>
      </c>
    </row>
    <row r="1015" spans="1:16" x14ac:dyDescent="0.25">
      <c r="A1015" s="43" t="s">
        <v>200</v>
      </c>
      <c r="B1015" s="43" t="s">
        <v>291</v>
      </c>
      <c r="C1015" s="43" t="s">
        <v>265</v>
      </c>
      <c r="D1015" s="43" t="s">
        <v>532</v>
      </c>
      <c r="E1015" s="43" t="s">
        <v>550</v>
      </c>
      <c r="F1015" s="43" t="s">
        <v>484</v>
      </c>
      <c r="G1015" s="43" t="s">
        <v>232</v>
      </c>
      <c r="H1015" s="43" t="s">
        <v>207</v>
      </c>
      <c r="I1015" s="44">
        <v>45591</v>
      </c>
      <c r="J1015" s="44">
        <v>45647</v>
      </c>
      <c r="K1015" s="45">
        <v>15</v>
      </c>
      <c r="L1015" s="45">
        <v>774.08969999999999</v>
      </c>
      <c r="M1015" s="45">
        <v>2188.94</v>
      </c>
      <c r="N1015" s="45">
        <v>9</v>
      </c>
      <c r="O1015" s="45">
        <v>473.66550000000001</v>
      </c>
      <c r="P1015" s="62">
        <f t="shared" si="16"/>
        <v>24</v>
      </c>
    </row>
    <row r="1016" spans="1:16" x14ac:dyDescent="0.25">
      <c r="A1016" s="43" t="s">
        <v>200</v>
      </c>
      <c r="B1016" s="43" t="s">
        <v>291</v>
      </c>
      <c r="C1016" s="43" t="s">
        <v>265</v>
      </c>
      <c r="D1016" s="43" t="s">
        <v>532</v>
      </c>
      <c r="E1016" s="43" t="s">
        <v>550</v>
      </c>
      <c r="F1016" s="43" t="s">
        <v>484</v>
      </c>
      <c r="G1016" s="43" t="s">
        <v>233</v>
      </c>
      <c r="H1016" s="43" t="s">
        <v>207</v>
      </c>
      <c r="I1016" s="44">
        <v>45591</v>
      </c>
      <c r="J1016" s="44">
        <v>45647</v>
      </c>
      <c r="K1016" s="45">
        <v>27</v>
      </c>
      <c r="L1016" s="45">
        <v>1404.3866</v>
      </c>
      <c r="M1016" s="45">
        <v>3846.8</v>
      </c>
      <c r="N1016" s="45">
        <v>13</v>
      </c>
      <c r="O1016" s="45">
        <v>693.8854</v>
      </c>
      <c r="P1016" s="62">
        <f t="shared" si="16"/>
        <v>40</v>
      </c>
    </row>
    <row r="1017" spans="1:16" x14ac:dyDescent="0.25">
      <c r="A1017" s="43" t="s">
        <v>200</v>
      </c>
      <c r="B1017" s="43" t="s">
        <v>291</v>
      </c>
      <c r="C1017" s="43" t="s">
        <v>265</v>
      </c>
      <c r="D1017" s="43" t="s">
        <v>532</v>
      </c>
      <c r="E1017" s="43" t="s">
        <v>550</v>
      </c>
      <c r="F1017" s="43" t="s">
        <v>484</v>
      </c>
      <c r="G1017" s="43" t="s">
        <v>234</v>
      </c>
      <c r="H1017" s="43" t="s">
        <v>207</v>
      </c>
      <c r="I1017" s="44">
        <v>45590</v>
      </c>
      <c r="J1017" s="44">
        <v>45647</v>
      </c>
      <c r="K1017" s="45">
        <v>28</v>
      </c>
      <c r="L1017" s="45">
        <v>1464.9599000000001</v>
      </c>
      <c r="M1017" s="45">
        <v>4039.95</v>
      </c>
      <c r="N1017" s="45">
        <v>7</v>
      </c>
      <c r="O1017" s="45">
        <v>376.70150000000001</v>
      </c>
      <c r="P1017" s="62">
        <f t="shared" si="16"/>
        <v>35</v>
      </c>
    </row>
    <row r="1018" spans="1:16" x14ac:dyDescent="0.25">
      <c r="A1018" s="43" t="s">
        <v>200</v>
      </c>
      <c r="B1018" s="43" t="s">
        <v>291</v>
      </c>
      <c r="C1018" s="43" t="s">
        <v>265</v>
      </c>
      <c r="D1018" s="43" t="s">
        <v>532</v>
      </c>
      <c r="E1018" s="43" t="s">
        <v>550</v>
      </c>
      <c r="F1018" s="43" t="s">
        <v>484</v>
      </c>
      <c r="G1018" s="43" t="s">
        <v>259</v>
      </c>
      <c r="H1018" s="43" t="s">
        <v>207</v>
      </c>
      <c r="I1018" s="44">
        <v>45590</v>
      </c>
      <c r="J1018" s="44">
        <v>45608</v>
      </c>
      <c r="K1018" s="45">
        <v>5</v>
      </c>
      <c r="L1018" s="45">
        <v>256.613</v>
      </c>
      <c r="M1018" s="45">
        <v>716.25</v>
      </c>
      <c r="N1018" s="45">
        <v>0</v>
      </c>
      <c r="O1018" s="45">
        <v>0</v>
      </c>
      <c r="P1018" s="62">
        <f t="shared" si="16"/>
        <v>5</v>
      </c>
    </row>
    <row r="1019" spans="1:16" x14ac:dyDescent="0.25">
      <c r="A1019" s="43" t="s">
        <v>200</v>
      </c>
      <c r="B1019" s="43" t="s">
        <v>291</v>
      </c>
      <c r="C1019" s="43" t="s">
        <v>265</v>
      </c>
      <c r="D1019" s="43" t="s">
        <v>532</v>
      </c>
      <c r="E1019" s="43" t="s">
        <v>550</v>
      </c>
      <c r="F1019" s="43" t="s">
        <v>484</v>
      </c>
      <c r="G1019" s="43" t="s">
        <v>296</v>
      </c>
      <c r="H1019" s="43" t="s">
        <v>207</v>
      </c>
      <c r="I1019" s="44">
        <v>45591</v>
      </c>
      <c r="J1019" s="44">
        <v>45646</v>
      </c>
      <c r="K1019" s="45">
        <v>16</v>
      </c>
      <c r="L1019" s="45">
        <v>840.89290000000005</v>
      </c>
      <c r="M1019" s="45">
        <v>2285.54</v>
      </c>
      <c r="N1019" s="45">
        <v>4</v>
      </c>
      <c r="O1019" s="45">
        <v>214.91640000000001</v>
      </c>
      <c r="P1019" s="62">
        <f t="shared" si="16"/>
        <v>20</v>
      </c>
    </row>
    <row r="1020" spans="1:16" x14ac:dyDescent="0.25">
      <c r="A1020" s="43" t="s">
        <v>200</v>
      </c>
      <c r="B1020" s="43" t="s">
        <v>291</v>
      </c>
      <c r="C1020" s="43" t="s">
        <v>265</v>
      </c>
      <c r="D1020" s="43" t="s">
        <v>532</v>
      </c>
      <c r="E1020" s="43" t="s">
        <v>551</v>
      </c>
      <c r="F1020" s="43" t="s">
        <v>484</v>
      </c>
      <c r="G1020" s="43" t="s">
        <v>232</v>
      </c>
      <c r="H1020" s="43" t="s">
        <v>218</v>
      </c>
      <c r="I1020" s="44">
        <v>45591</v>
      </c>
      <c r="J1020" s="44">
        <v>45614</v>
      </c>
      <c r="K1020" s="45">
        <v>4</v>
      </c>
      <c r="L1020" s="45">
        <v>205.29040000000001</v>
      </c>
      <c r="M1020" s="45">
        <v>579.44000000000005</v>
      </c>
      <c r="N1020" s="45">
        <v>1</v>
      </c>
      <c r="O1020" s="45">
        <v>51.322600000000001</v>
      </c>
      <c r="P1020" s="62">
        <f t="shared" si="16"/>
        <v>5</v>
      </c>
    </row>
    <row r="1021" spans="1:16" x14ac:dyDescent="0.25">
      <c r="A1021" s="43" t="s">
        <v>200</v>
      </c>
      <c r="B1021" s="43" t="s">
        <v>291</v>
      </c>
      <c r="C1021" s="43" t="s">
        <v>265</v>
      </c>
      <c r="D1021" s="43" t="s">
        <v>532</v>
      </c>
      <c r="E1021" s="43" t="s">
        <v>551</v>
      </c>
      <c r="F1021" s="43" t="s">
        <v>484</v>
      </c>
      <c r="G1021" s="43" t="s">
        <v>233</v>
      </c>
      <c r="H1021" s="43" t="s">
        <v>218</v>
      </c>
      <c r="I1021" s="44">
        <v>45591</v>
      </c>
      <c r="J1021" s="44">
        <v>45630</v>
      </c>
      <c r="K1021" s="45">
        <v>5</v>
      </c>
      <c r="L1021" s="45">
        <v>256.39240000000001</v>
      </c>
      <c r="M1021" s="45">
        <v>724.29</v>
      </c>
      <c r="N1021" s="45">
        <v>1</v>
      </c>
      <c r="O1021" s="45">
        <v>51.785800000000002</v>
      </c>
      <c r="P1021" s="62">
        <f t="shared" si="16"/>
        <v>6</v>
      </c>
    </row>
    <row r="1022" spans="1:16" x14ac:dyDescent="0.25">
      <c r="A1022" s="43" t="s">
        <v>200</v>
      </c>
      <c r="B1022" s="43" t="s">
        <v>291</v>
      </c>
      <c r="C1022" s="43" t="s">
        <v>265</v>
      </c>
      <c r="D1022" s="43" t="s">
        <v>532</v>
      </c>
      <c r="E1022" s="43" t="s">
        <v>551</v>
      </c>
      <c r="F1022" s="43" t="s">
        <v>484</v>
      </c>
      <c r="G1022" s="43" t="s">
        <v>234</v>
      </c>
      <c r="H1022" s="43" t="s">
        <v>218</v>
      </c>
      <c r="I1022" s="44">
        <v>45591</v>
      </c>
      <c r="J1022" s="44">
        <v>45625</v>
      </c>
      <c r="K1022" s="45">
        <v>8</v>
      </c>
      <c r="L1022" s="45">
        <v>410.58080000000001</v>
      </c>
      <c r="M1022" s="45">
        <v>1158.8699999999999</v>
      </c>
      <c r="N1022" s="45">
        <v>1</v>
      </c>
      <c r="O1022" s="45">
        <v>52.323399999999999</v>
      </c>
      <c r="P1022" s="62">
        <f t="shared" si="16"/>
        <v>9</v>
      </c>
    </row>
    <row r="1023" spans="1:16" x14ac:dyDescent="0.25">
      <c r="A1023" s="43" t="s">
        <v>200</v>
      </c>
      <c r="B1023" s="43" t="s">
        <v>291</v>
      </c>
      <c r="C1023" s="43" t="s">
        <v>265</v>
      </c>
      <c r="D1023" s="43" t="s">
        <v>532</v>
      </c>
      <c r="E1023" s="43" t="s">
        <v>551</v>
      </c>
      <c r="F1023" s="43" t="s">
        <v>484</v>
      </c>
      <c r="G1023" s="43" t="s">
        <v>259</v>
      </c>
      <c r="H1023" s="43" t="s">
        <v>218</v>
      </c>
      <c r="I1023" s="44">
        <v>45590</v>
      </c>
      <c r="J1023" s="44">
        <v>45591</v>
      </c>
      <c r="K1023" s="45">
        <v>0</v>
      </c>
      <c r="L1023" s="45">
        <v>0</v>
      </c>
      <c r="M1023" s="45">
        <v>0</v>
      </c>
      <c r="N1023" s="45">
        <v>1</v>
      </c>
      <c r="O1023" s="45">
        <v>51.322600000000001</v>
      </c>
      <c r="P1023" s="62">
        <f t="shared" si="16"/>
        <v>1</v>
      </c>
    </row>
    <row r="1024" spans="1:16" x14ac:dyDescent="0.25">
      <c r="A1024" s="43" t="s">
        <v>200</v>
      </c>
      <c r="B1024" s="43" t="s">
        <v>291</v>
      </c>
      <c r="C1024" s="43" t="s">
        <v>265</v>
      </c>
      <c r="D1024" s="43" t="s">
        <v>532</v>
      </c>
      <c r="E1024" s="43" t="s">
        <v>551</v>
      </c>
      <c r="F1024" s="43" t="s">
        <v>484</v>
      </c>
      <c r="G1024" s="43" t="s">
        <v>296</v>
      </c>
      <c r="H1024" s="43" t="s">
        <v>218</v>
      </c>
      <c r="I1024" s="44">
        <v>45590</v>
      </c>
      <c r="J1024" s="44">
        <v>45630</v>
      </c>
      <c r="K1024" s="45">
        <v>5</v>
      </c>
      <c r="L1024" s="45">
        <v>257.28019999999998</v>
      </c>
      <c r="M1024" s="45">
        <v>708.19</v>
      </c>
      <c r="N1024" s="45">
        <v>1</v>
      </c>
      <c r="O1024" s="45">
        <v>52.490200000000002</v>
      </c>
      <c r="P1024" s="62">
        <f t="shared" si="16"/>
        <v>6</v>
      </c>
    </row>
    <row r="1025" spans="1:16" x14ac:dyDescent="0.25">
      <c r="A1025" s="43" t="s">
        <v>200</v>
      </c>
      <c r="B1025" s="43" t="s">
        <v>291</v>
      </c>
      <c r="C1025" s="43" t="s">
        <v>265</v>
      </c>
      <c r="D1025" s="43" t="s">
        <v>532</v>
      </c>
      <c r="E1025" s="43" t="s">
        <v>552</v>
      </c>
      <c r="F1025" s="43" t="s">
        <v>274</v>
      </c>
      <c r="G1025" s="43" t="s">
        <v>232</v>
      </c>
      <c r="H1025" s="43" t="s">
        <v>218</v>
      </c>
      <c r="I1025" s="44">
        <v>45593</v>
      </c>
      <c r="J1025" s="44">
        <v>45633</v>
      </c>
      <c r="K1025" s="45">
        <v>0</v>
      </c>
      <c r="L1025" s="45">
        <v>0</v>
      </c>
      <c r="M1025" s="45">
        <v>0</v>
      </c>
      <c r="N1025" s="45">
        <v>12</v>
      </c>
      <c r="O1025" s="45">
        <v>647.89679999999998</v>
      </c>
      <c r="P1025" s="62">
        <f t="shared" si="16"/>
        <v>12</v>
      </c>
    </row>
    <row r="1026" spans="1:16" x14ac:dyDescent="0.25">
      <c r="A1026" s="43" t="s">
        <v>200</v>
      </c>
      <c r="B1026" s="43" t="s">
        <v>291</v>
      </c>
      <c r="C1026" s="43" t="s">
        <v>265</v>
      </c>
      <c r="D1026" s="43" t="s">
        <v>532</v>
      </c>
      <c r="E1026" s="43" t="s">
        <v>552</v>
      </c>
      <c r="F1026" s="43" t="s">
        <v>274</v>
      </c>
      <c r="G1026" s="43" t="s">
        <v>233</v>
      </c>
      <c r="H1026" s="43" t="s">
        <v>218</v>
      </c>
      <c r="I1026" s="44">
        <v>45593</v>
      </c>
      <c r="J1026" s="44">
        <v>45633</v>
      </c>
      <c r="K1026" s="45">
        <v>3</v>
      </c>
      <c r="L1026" s="45">
        <v>161.9742</v>
      </c>
      <c r="M1026" s="45">
        <v>434.47</v>
      </c>
      <c r="N1026" s="45">
        <v>11</v>
      </c>
      <c r="O1026" s="45">
        <v>593.90539999999999</v>
      </c>
      <c r="P1026" s="62">
        <f t="shared" si="16"/>
        <v>14</v>
      </c>
    </row>
    <row r="1027" spans="1:16" x14ac:dyDescent="0.25">
      <c r="A1027" s="43" t="s">
        <v>200</v>
      </c>
      <c r="B1027" s="43" t="s">
        <v>291</v>
      </c>
      <c r="C1027" s="43" t="s">
        <v>265</v>
      </c>
      <c r="D1027" s="43" t="s">
        <v>532</v>
      </c>
      <c r="E1027" s="43" t="s">
        <v>552</v>
      </c>
      <c r="F1027" s="43" t="s">
        <v>274</v>
      </c>
      <c r="G1027" s="43" t="s">
        <v>234</v>
      </c>
      <c r="H1027" s="43" t="s">
        <v>218</v>
      </c>
      <c r="I1027" s="44">
        <v>45593</v>
      </c>
      <c r="J1027" s="44">
        <v>45633</v>
      </c>
      <c r="K1027" s="45">
        <v>5</v>
      </c>
      <c r="L1027" s="45">
        <v>269.95699999999999</v>
      </c>
      <c r="M1027" s="45">
        <v>724.29</v>
      </c>
      <c r="N1027" s="45">
        <v>5</v>
      </c>
      <c r="O1027" s="45">
        <v>269.95699999999999</v>
      </c>
      <c r="P1027" s="62">
        <f t="shared" si="16"/>
        <v>10</v>
      </c>
    </row>
    <row r="1028" spans="1:16" x14ac:dyDescent="0.25">
      <c r="A1028" s="43" t="s">
        <v>200</v>
      </c>
      <c r="B1028" s="43" t="s">
        <v>291</v>
      </c>
      <c r="C1028" s="43" t="s">
        <v>265</v>
      </c>
      <c r="D1028" s="43" t="s">
        <v>532</v>
      </c>
      <c r="E1028" s="43" t="s">
        <v>552</v>
      </c>
      <c r="F1028" s="43" t="s">
        <v>274</v>
      </c>
      <c r="G1028" s="43" t="s">
        <v>296</v>
      </c>
      <c r="H1028" s="43" t="s">
        <v>218</v>
      </c>
      <c r="I1028" s="44">
        <v>45625</v>
      </c>
      <c r="J1028" s="44">
        <v>45633</v>
      </c>
      <c r="K1028" s="45">
        <v>1</v>
      </c>
      <c r="L1028" s="45">
        <v>53.991399999999999</v>
      </c>
      <c r="M1028" s="45">
        <v>144.86000000000001</v>
      </c>
      <c r="N1028" s="45">
        <v>5</v>
      </c>
      <c r="O1028" s="45">
        <v>269.95699999999999</v>
      </c>
      <c r="P1028" s="62">
        <f t="shared" si="16"/>
        <v>6</v>
      </c>
    </row>
    <row r="1029" spans="1:16" x14ac:dyDescent="0.25">
      <c r="A1029" s="43" t="s">
        <v>200</v>
      </c>
      <c r="B1029" s="43" t="s">
        <v>291</v>
      </c>
      <c r="C1029" s="43" t="s">
        <v>265</v>
      </c>
      <c r="D1029" s="43" t="s">
        <v>532</v>
      </c>
      <c r="E1029" s="43" t="s">
        <v>552</v>
      </c>
      <c r="F1029" s="43" t="s">
        <v>274</v>
      </c>
      <c r="G1029" s="43" t="s">
        <v>368</v>
      </c>
      <c r="H1029" s="43" t="s">
        <v>218</v>
      </c>
      <c r="I1029" s="44">
        <v>45625</v>
      </c>
      <c r="J1029" s="44">
        <v>45625</v>
      </c>
      <c r="K1029" s="45">
        <v>0</v>
      </c>
      <c r="L1029" s="45">
        <v>0</v>
      </c>
      <c r="M1029" s="45">
        <v>0</v>
      </c>
      <c r="N1029" s="45">
        <v>1</v>
      </c>
      <c r="O1029" s="45">
        <v>53.991399999999999</v>
      </c>
      <c r="P1029" s="62">
        <f t="shared" si="16"/>
        <v>1</v>
      </c>
    </row>
    <row r="1030" spans="1:16" x14ac:dyDescent="0.25">
      <c r="A1030" s="43" t="s">
        <v>200</v>
      </c>
      <c r="B1030" s="43" t="s">
        <v>291</v>
      </c>
      <c r="C1030" s="43" t="s">
        <v>265</v>
      </c>
      <c r="D1030" s="43" t="s">
        <v>532</v>
      </c>
      <c r="E1030" s="43" t="s">
        <v>552</v>
      </c>
      <c r="F1030" s="43" t="s">
        <v>274</v>
      </c>
      <c r="G1030" s="43" t="s">
        <v>553</v>
      </c>
      <c r="H1030" s="43" t="s">
        <v>218</v>
      </c>
      <c r="I1030" s="44">
        <v>45625</v>
      </c>
      <c r="J1030" s="44">
        <v>45625</v>
      </c>
      <c r="K1030" s="45">
        <v>0</v>
      </c>
      <c r="L1030" s="45">
        <v>0</v>
      </c>
      <c r="M1030" s="45">
        <v>0</v>
      </c>
      <c r="N1030" s="45">
        <v>2</v>
      </c>
      <c r="O1030" s="45">
        <v>107.9828</v>
      </c>
      <c r="P1030" s="62">
        <f t="shared" si="16"/>
        <v>2</v>
      </c>
    </row>
    <row r="1031" spans="1:16" x14ac:dyDescent="0.25">
      <c r="A1031" s="43" t="s">
        <v>200</v>
      </c>
      <c r="B1031" s="43" t="s">
        <v>291</v>
      </c>
      <c r="C1031" s="43" t="s">
        <v>265</v>
      </c>
      <c r="D1031" s="43" t="s">
        <v>532</v>
      </c>
      <c r="E1031" s="43" t="s">
        <v>554</v>
      </c>
      <c r="F1031" s="43" t="s">
        <v>274</v>
      </c>
      <c r="G1031" s="43" t="s">
        <v>232</v>
      </c>
      <c r="H1031" s="43" t="s">
        <v>226</v>
      </c>
      <c r="I1031" s="44">
        <v>45633</v>
      </c>
      <c r="J1031" s="44">
        <v>45646</v>
      </c>
      <c r="K1031" s="45">
        <v>0</v>
      </c>
      <c r="L1031" s="45">
        <v>0</v>
      </c>
      <c r="M1031" s="45">
        <v>0</v>
      </c>
      <c r="N1031" s="45">
        <v>6</v>
      </c>
      <c r="O1031" s="45">
        <v>323.94839999999999</v>
      </c>
      <c r="P1031" s="62">
        <f t="shared" si="16"/>
        <v>6</v>
      </c>
    </row>
    <row r="1032" spans="1:16" x14ac:dyDescent="0.25">
      <c r="A1032" s="43" t="s">
        <v>200</v>
      </c>
      <c r="B1032" s="43" t="s">
        <v>291</v>
      </c>
      <c r="C1032" s="43" t="s">
        <v>265</v>
      </c>
      <c r="D1032" s="43" t="s">
        <v>532</v>
      </c>
      <c r="E1032" s="43" t="s">
        <v>554</v>
      </c>
      <c r="F1032" s="43" t="s">
        <v>274</v>
      </c>
      <c r="G1032" s="43" t="s">
        <v>233</v>
      </c>
      <c r="H1032" s="43" t="s">
        <v>226</v>
      </c>
      <c r="I1032" s="44">
        <v>45633</v>
      </c>
      <c r="J1032" s="44">
        <v>45646</v>
      </c>
      <c r="K1032" s="45">
        <v>3</v>
      </c>
      <c r="L1032" s="45">
        <v>161.9742</v>
      </c>
      <c r="M1032" s="45">
        <v>434.56</v>
      </c>
      <c r="N1032" s="45">
        <v>5</v>
      </c>
      <c r="O1032" s="45">
        <v>269.95699999999999</v>
      </c>
      <c r="P1032" s="62">
        <f t="shared" ref="P1032:P1095" si="17">K1032+N1032</f>
        <v>8</v>
      </c>
    </row>
    <row r="1033" spans="1:16" x14ac:dyDescent="0.25">
      <c r="A1033" s="43" t="s">
        <v>200</v>
      </c>
      <c r="B1033" s="43" t="s">
        <v>291</v>
      </c>
      <c r="C1033" s="43" t="s">
        <v>265</v>
      </c>
      <c r="D1033" s="43" t="s">
        <v>532</v>
      </c>
      <c r="E1033" s="43" t="s">
        <v>554</v>
      </c>
      <c r="F1033" s="43" t="s">
        <v>274</v>
      </c>
      <c r="G1033" s="43" t="s">
        <v>234</v>
      </c>
      <c r="H1033" s="43" t="s">
        <v>226</v>
      </c>
      <c r="I1033" s="44">
        <v>45633</v>
      </c>
      <c r="J1033" s="44">
        <v>45647</v>
      </c>
      <c r="K1033" s="45">
        <v>5</v>
      </c>
      <c r="L1033" s="45">
        <v>269.95699999999999</v>
      </c>
      <c r="M1033" s="45">
        <v>740.4</v>
      </c>
      <c r="N1033" s="45">
        <v>4</v>
      </c>
      <c r="O1033" s="45">
        <v>215.96559999999999</v>
      </c>
      <c r="P1033" s="62">
        <f t="shared" si="17"/>
        <v>9</v>
      </c>
    </row>
    <row r="1034" spans="1:16" x14ac:dyDescent="0.25">
      <c r="A1034" s="43" t="s">
        <v>200</v>
      </c>
      <c r="B1034" s="43" t="s">
        <v>291</v>
      </c>
      <c r="C1034" s="43" t="s">
        <v>265</v>
      </c>
      <c r="D1034" s="43" t="s">
        <v>532</v>
      </c>
      <c r="E1034" s="43" t="s">
        <v>554</v>
      </c>
      <c r="F1034" s="43" t="s">
        <v>274</v>
      </c>
      <c r="G1034" s="43" t="s">
        <v>296</v>
      </c>
      <c r="H1034" s="43" t="s">
        <v>226</v>
      </c>
      <c r="I1034" s="44">
        <v>45633</v>
      </c>
      <c r="J1034" s="44">
        <v>45643</v>
      </c>
      <c r="K1034" s="45">
        <v>3</v>
      </c>
      <c r="L1034" s="45">
        <v>161.9742</v>
      </c>
      <c r="M1034" s="45">
        <v>434.56</v>
      </c>
      <c r="N1034" s="45">
        <v>2</v>
      </c>
      <c r="O1034" s="45">
        <v>107.9828</v>
      </c>
      <c r="P1034" s="62">
        <f t="shared" si="17"/>
        <v>5</v>
      </c>
    </row>
    <row r="1035" spans="1:16" x14ac:dyDescent="0.25">
      <c r="A1035" s="43" t="s">
        <v>200</v>
      </c>
      <c r="B1035" s="43" t="s">
        <v>291</v>
      </c>
      <c r="C1035" s="43" t="s">
        <v>265</v>
      </c>
      <c r="D1035" s="43" t="s">
        <v>532</v>
      </c>
      <c r="E1035" s="43" t="s">
        <v>555</v>
      </c>
      <c r="F1035" s="43" t="s">
        <v>556</v>
      </c>
      <c r="G1035" s="43" t="s">
        <v>232</v>
      </c>
      <c r="H1035" s="43" t="s">
        <v>218</v>
      </c>
      <c r="I1035" s="44">
        <v>45576</v>
      </c>
      <c r="J1035" s="44">
        <v>45630</v>
      </c>
      <c r="K1035" s="45">
        <v>1</v>
      </c>
      <c r="L1035" s="45">
        <v>85.551100000000005</v>
      </c>
      <c r="M1035" s="45">
        <v>230.57</v>
      </c>
      <c r="N1035" s="45">
        <v>0</v>
      </c>
      <c r="O1035" s="45">
        <v>0</v>
      </c>
      <c r="P1035" s="62">
        <f t="shared" si="17"/>
        <v>1</v>
      </c>
    </row>
    <row r="1036" spans="1:16" x14ac:dyDescent="0.25">
      <c r="A1036" s="43" t="s">
        <v>200</v>
      </c>
      <c r="B1036" s="43" t="s">
        <v>291</v>
      </c>
      <c r="C1036" s="43" t="s">
        <v>265</v>
      </c>
      <c r="D1036" s="43" t="s">
        <v>532</v>
      </c>
      <c r="E1036" s="43" t="s">
        <v>555</v>
      </c>
      <c r="F1036" s="43" t="s">
        <v>556</v>
      </c>
      <c r="G1036" s="43" t="s">
        <v>233</v>
      </c>
      <c r="H1036" s="43" t="s">
        <v>218</v>
      </c>
      <c r="I1036" s="44">
        <v>45576</v>
      </c>
      <c r="J1036" s="44">
        <v>45629</v>
      </c>
      <c r="K1036" s="45">
        <v>2</v>
      </c>
      <c r="L1036" s="45">
        <v>171.73769999999999</v>
      </c>
      <c r="M1036" s="45">
        <v>461.14</v>
      </c>
      <c r="N1036" s="45">
        <v>0</v>
      </c>
      <c r="O1036" s="45">
        <v>0</v>
      </c>
      <c r="P1036" s="62">
        <f t="shared" si="17"/>
        <v>2</v>
      </c>
    </row>
    <row r="1037" spans="1:16" x14ac:dyDescent="0.25">
      <c r="A1037" s="43" t="s">
        <v>200</v>
      </c>
      <c r="B1037" s="43" t="s">
        <v>291</v>
      </c>
      <c r="C1037" s="43" t="s">
        <v>265</v>
      </c>
      <c r="D1037" s="43" t="s">
        <v>532</v>
      </c>
      <c r="E1037" s="43" t="s">
        <v>555</v>
      </c>
      <c r="F1037" s="43" t="s">
        <v>556</v>
      </c>
      <c r="G1037" s="43" t="s">
        <v>234</v>
      </c>
      <c r="H1037" s="43" t="s">
        <v>218</v>
      </c>
      <c r="I1037" s="44">
        <v>45576</v>
      </c>
      <c r="J1037" s="44">
        <v>45626</v>
      </c>
      <c r="K1037" s="45">
        <v>5</v>
      </c>
      <c r="L1037" s="45">
        <v>435.48340000000002</v>
      </c>
      <c r="M1037" s="45">
        <v>1088.8</v>
      </c>
      <c r="N1037" s="45">
        <v>0</v>
      </c>
      <c r="O1037" s="45">
        <v>0</v>
      </c>
      <c r="P1037" s="62">
        <f t="shared" si="17"/>
        <v>5</v>
      </c>
    </row>
    <row r="1038" spans="1:16" x14ac:dyDescent="0.25">
      <c r="A1038" s="43" t="s">
        <v>200</v>
      </c>
      <c r="B1038" s="43" t="s">
        <v>291</v>
      </c>
      <c r="C1038" s="43" t="s">
        <v>265</v>
      </c>
      <c r="D1038" s="43" t="s">
        <v>532</v>
      </c>
      <c r="E1038" s="43" t="s">
        <v>555</v>
      </c>
      <c r="F1038" s="43" t="s">
        <v>556</v>
      </c>
      <c r="G1038" s="43" t="s">
        <v>296</v>
      </c>
      <c r="H1038" s="43" t="s">
        <v>218</v>
      </c>
      <c r="I1038" s="44">
        <v>45593</v>
      </c>
      <c r="J1038" s="44">
        <v>45630</v>
      </c>
      <c r="K1038" s="45">
        <v>2</v>
      </c>
      <c r="L1038" s="45">
        <v>171.10220000000001</v>
      </c>
      <c r="M1038" s="45">
        <v>435.52</v>
      </c>
      <c r="N1038" s="45">
        <v>0</v>
      </c>
      <c r="O1038" s="45">
        <v>0</v>
      </c>
      <c r="P1038" s="62">
        <f t="shared" si="17"/>
        <v>2</v>
      </c>
    </row>
    <row r="1039" spans="1:16" x14ac:dyDescent="0.25">
      <c r="A1039" s="43" t="s">
        <v>200</v>
      </c>
      <c r="B1039" s="43" t="s">
        <v>291</v>
      </c>
      <c r="C1039" s="43" t="s">
        <v>265</v>
      </c>
      <c r="D1039" s="43" t="s">
        <v>532</v>
      </c>
      <c r="E1039" s="43" t="s">
        <v>557</v>
      </c>
      <c r="F1039" s="43" t="s">
        <v>556</v>
      </c>
      <c r="G1039" s="43" t="s">
        <v>233</v>
      </c>
      <c r="H1039" s="43" t="s">
        <v>349</v>
      </c>
      <c r="I1039" s="44">
        <v>45617</v>
      </c>
      <c r="J1039" s="44">
        <v>45632</v>
      </c>
      <c r="K1039" s="45">
        <v>3</v>
      </c>
      <c r="L1039" s="45">
        <v>258.5908</v>
      </c>
      <c r="M1039" s="45">
        <v>717.33</v>
      </c>
      <c r="N1039" s="45">
        <v>0</v>
      </c>
      <c r="O1039" s="45">
        <v>0</v>
      </c>
      <c r="P1039" s="62">
        <f t="shared" si="17"/>
        <v>3</v>
      </c>
    </row>
    <row r="1040" spans="1:16" x14ac:dyDescent="0.25">
      <c r="A1040" s="43" t="s">
        <v>200</v>
      </c>
      <c r="B1040" s="43" t="s">
        <v>291</v>
      </c>
      <c r="C1040" s="43" t="s">
        <v>265</v>
      </c>
      <c r="D1040" s="43" t="s">
        <v>532</v>
      </c>
      <c r="E1040" s="43" t="s">
        <v>557</v>
      </c>
      <c r="F1040" s="43" t="s">
        <v>556</v>
      </c>
      <c r="G1040" s="43" t="s">
        <v>234</v>
      </c>
      <c r="H1040" s="43" t="s">
        <v>349</v>
      </c>
      <c r="I1040" s="44">
        <v>45617</v>
      </c>
      <c r="J1040" s="44">
        <v>45630</v>
      </c>
      <c r="K1040" s="45">
        <v>6</v>
      </c>
      <c r="L1040" s="45">
        <v>523.12649999999996</v>
      </c>
      <c r="M1040" s="45">
        <v>1319.36</v>
      </c>
      <c r="N1040" s="45">
        <v>0</v>
      </c>
      <c r="O1040" s="45">
        <v>0</v>
      </c>
      <c r="P1040" s="62">
        <f t="shared" si="17"/>
        <v>6</v>
      </c>
    </row>
    <row r="1041" spans="1:16" x14ac:dyDescent="0.25">
      <c r="A1041" s="43" t="s">
        <v>200</v>
      </c>
      <c r="B1041" s="43" t="s">
        <v>291</v>
      </c>
      <c r="C1041" s="43" t="s">
        <v>265</v>
      </c>
      <c r="D1041" s="43" t="s">
        <v>532</v>
      </c>
      <c r="E1041" s="43" t="s">
        <v>557</v>
      </c>
      <c r="F1041" s="43" t="s">
        <v>556</v>
      </c>
      <c r="G1041" s="43" t="s">
        <v>296</v>
      </c>
      <c r="H1041" s="43" t="s">
        <v>349</v>
      </c>
      <c r="I1041" s="44">
        <v>45617</v>
      </c>
      <c r="J1041" s="44">
        <v>45630</v>
      </c>
      <c r="K1041" s="45">
        <v>3</v>
      </c>
      <c r="L1041" s="45">
        <v>260.73050000000001</v>
      </c>
      <c r="M1041" s="45">
        <v>691.71</v>
      </c>
      <c r="N1041" s="45">
        <v>0</v>
      </c>
      <c r="O1041" s="45">
        <v>0</v>
      </c>
      <c r="P1041" s="62">
        <f t="shared" si="17"/>
        <v>3</v>
      </c>
    </row>
    <row r="1042" spans="1:16" x14ac:dyDescent="0.25">
      <c r="A1042" s="43" t="s">
        <v>200</v>
      </c>
      <c r="B1042" s="43" t="s">
        <v>291</v>
      </c>
      <c r="C1042" s="43" t="s">
        <v>265</v>
      </c>
      <c r="D1042" s="43" t="s">
        <v>532</v>
      </c>
      <c r="E1042" s="43" t="s">
        <v>558</v>
      </c>
      <c r="F1042" s="43" t="s">
        <v>556</v>
      </c>
      <c r="G1042" s="43" t="s">
        <v>232</v>
      </c>
      <c r="H1042" s="43" t="s">
        <v>207</v>
      </c>
      <c r="I1042" s="44">
        <v>45593</v>
      </c>
      <c r="J1042" s="44">
        <v>45630</v>
      </c>
      <c r="K1042" s="45">
        <v>3</v>
      </c>
      <c r="L1042" s="45">
        <v>256.6533</v>
      </c>
      <c r="M1042" s="45">
        <v>691.72</v>
      </c>
      <c r="N1042" s="45">
        <v>0</v>
      </c>
      <c r="O1042" s="45">
        <v>0</v>
      </c>
      <c r="P1042" s="62">
        <f t="shared" si="17"/>
        <v>3</v>
      </c>
    </row>
    <row r="1043" spans="1:16" x14ac:dyDescent="0.25">
      <c r="A1043" s="43" t="s">
        <v>200</v>
      </c>
      <c r="B1043" s="43" t="s">
        <v>291</v>
      </c>
      <c r="C1043" s="43" t="s">
        <v>265</v>
      </c>
      <c r="D1043" s="43" t="s">
        <v>532</v>
      </c>
      <c r="E1043" s="43" t="s">
        <v>558</v>
      </c>
      <c r="F1043" s="43" t="s">
        <v>556</v>
      </c>
      <c r="G1043" s="43" t="s">
        <v>233</v>
      </c>
      <c r="H1043" s="43" t="s">
        <v>207</v>
      </c>
      <c r="I1043" s="44">
        <v>45593</v>
      </c>
      <c r="J1043" s="44">
        <v>45630</v>
      </c>
      <c r="K1043" s="45">
        <v>5</v>
      </c>
      <c r="L1043" s="45">
        <v>433.02120000000002</v>
      </c>
      <c r="M1043" s="45">
        <v>1152.8599999999999</v>
      </c>
      <c r="N1043" s="45">
        <v>1</v>
      </c>
      <c r="O1043" s="45">
        <v>88.054299999999998</v>
      </c>
      <c r="P1043" s="62">
        <f t="shared" si="17"/>
        <v>6</v>
      </c>
    </row>
    <row r="1044" spans="1:16" x14ac:dyDescent="0.25">
      <c r="A1044" s="43" t="s">
        <v>200</v>
      </c>
      <c r="B1044" s="43" t="s">
        <v>291</v>
      </c>
      <c r="C1044" s="43" t="s">
        <v>265</v>
      </c>
      <c r="D1044" s="43" t="s">
        <v>532</v>
      </c>
      <c r="E1044" s="43" t="s">
        <v>558</v>
      </c>
      <c r="F1044" s="43" t="s">
        <v>556</v>
      </c>
      <c r="G1044" s="43" t="s">
        <v>234</v>
      </c>
      <c r="H1044" s="43" t="s">
        <v>207</v>
      </c>
      <c r="I1044" s="44">
        <v>45593</v>
      </c>
      <c r="J1044" s="44">
        <v>45630</v>
      </c>
      <c r="K1044" s="45">
        <v>7</v>
      </c>
      <c r="L1044" s="45">
        <v>610.95830000000001</v>
      </c>
      <c r="M1044" s="45">
        <v>1549.96</v>
      </c>
      <c r="N1044" s="45">
        <v>0</v>
      </c>
      <c r="O1044" s="45">
        <v>0</v>
      </c>
      <c r="P1044" s="62">
        <f t="shared" si="17"/>
        <v>7</v>
      </c>
    </row>
    <row r="1045" spans="1:16" x14ac:dyDescent="0.25">
      <c r="A1045" s="43" t="s">
        <v>200</v>
      </c>
      <c r="B1045" s="43" t="s">
        <v>291</v>
      </c>
      <c r="C1045" s="43" t="s">
        <v>265</v>
      </c>
      <c r="D1045" s="43" t="s">
        <v>532</v>
      </c>
      <c r="E1045" s="43" t="s">
        <v>558</v>
      </c>
      <c r="F1045" s="43" t="s">
        <v>556</v>
      </c>
      <c r="G1045" s="43" t="s">
        <v>296</v>
      </c>
      <c r="H1045" s="43" t="s">
        <v>207</v>
      </c>
      <c r="I1045" s="44">
        <v>45593</v>
      </c>
      <c r="J1045" s="44">
        <v>45635</v>
      </c>
      <c r="K1045" s="45">
        <v>3</v>
      </c>
      <c r="L1045" s="45">
        <v>256.6533</v>
      </c>
      <c r="M1045" s="45">
        <v>691.71</v>
      </c>
      <c r="N1045" s="45">
        <v>0</v>
      </c>
      <c r="O1045" s="45">
        <v>0</v>
      </c>
      <c r="P1045" s="62">
        <f t="shared" si="17"/>
        <v>3</v>
      </c>
    </row>
    <row r="1046" spans="1:16" x14ac:dyDescent="0.25">
      <c r="A1046" s="43" t="s">
        <v>200</v>
      </c>
      <c r="B1046" s="43" t="s">
        <v>291</v>
      </c>
      <c r="C1046" s="43" t="s">
        <v>265</v>
      </c>
      <c r="D1046" s="43" t="s">
        <v>532</v>
      </c>
      <c r="E1046" s="43" t="s">
        <v>559</v>
      </c>
      <c r="F1046" s="43" t="s">
        <v>516</v>
      </c>
      <c r="G1046" s="43" t="s">
        <v>232</v>
      </c>
      <c r="H1046" s="43" t="s">
        <v>207</v>
      </c>
      <c r="I1046" s="44">
        <v>45591</v>
      </c>
      <c r="J1046" s="44">
        <v>45646</v>
      </c>
      <c r="K1046" s="45">
        <v>17</v>
      </c>
      <c r="L1046" s="45">
        <v>1028.3514</v>
      </c>
      <c r="M1046" s="45">
        <v>2708.95</v>
      </c>
      <c r="N1046" s="45">
        <v>13</v>
      </c>
      <c r="O1046" s="45">
        <v>804.00450000000001</v>
      </c>
      <c r="P1046" s="62">
        <f t="shared" si="17"/>
        <v>30</v>
      </c>
    </row>
    <row r="1047" spans="1:16" x14ac:dyDescent="0.25">
      <c r="A1047" s="43" t="s">
        <v>200</v>
      </c>
      <c r="B1047" s="43" t="s">
        <v>291</v>
      </c>
      <c r="C1047" s="43" t="s">
        <v>265</v>
      </c>
      <c r="D1047" s="43" t="s">
        <v>532</v>
      </c>
      <c r="E1047" s="43" t="s">
        <v>559</v>
      </c>
      <c r="F1047" s="43" t="s">
        <v>516</v>
      </c>
      <c r="G1047" s="43" t="s">
        <v>233</v>
      </c>
      <c r="H1047" s="43" t="s">
        <v>207</v>
      </c>
      <c r="I1047" s="44">
        <v>45590</v>
      </c>
      <c r="J1047" s="44">
        <v>45647</v>
      </c>
      <c r="K1047" s="45">
        <v>57</v>
      </c>
      <c r="L1047" s="45">
        <v>3466.5099</v>
      </c>
      <c r="M1047" s="45">
        <v>9180</v>
      </c>
      <c r="N1047" s="45">
        <v>18</v>
      </c>
      <c r="O1047" s="45">
        <v>1127.0124000000001</v>
      </c>
      <c r="P1047" s="62">
        <f t="shared" si="17"/>
        <v>75</v>
      </c>
    </row>
    <row r="1048" spans="1:16" x14ac:dyDescent="0.25">
      <c r="A1048" s="43" t="s">
        <v>200</v>
      </c>
      <c r="B1048" s="43" t="s">
        <v>291</v>
      </c>
      <c r="C1048" s="43" t="s">
        <v>265</v>
      </c>
      <c r="D1048" s="43" t="s">
        <v>532</v>
      </c>
      <c r="E1048" s="43" t="s">
        <v>559</v>
      </c>
      <c r="F1048" s="43" t="s">
        <v>516</v>
      </c>
      <c r="G1048" s="43" t="s">
        <v>234</v>
      </c>
      <c r="H1048" s="43" t="s">
        <v>207</v>
      </c>
      <c r="I1048" s="44">
        <v>45590</v>
      </c>
      <c r="J1048" s="44">
        <v>45647</v>
      </c>
      <c r="K1048" s="45">
        <v>69</v>
      </c>
      <c r="L1048" s="45">
        <v>4235.8267999999998</v>
      </c>
      <c r="M1048" s="45">
        <v>11250</v>
      </c>
      <c r="N1048" s="45">
        <v>7</v>
      </c>
      <c r="O1048" s="45">
        <v>440.85649999999998</v>
      </c>
      <c r="P1048" s="62">
        <f t="shared" si="17"/>
        <v>76</v>
      </c>
    </row>
    <row r="1049" spans="1:16" x14ac:dyDescent="0.25">
      <c r="A1049" s="43" t="s">
        <v>200</v>
      </c>
      <c r="B1049" s="43" t="s">
        <v>291</v>
      </c>
      <c r="C1049" s="43" t="s">
        <v>265</v>
      </c>
      <c r="D1049" s="43" t="s">
        <v>532</v>
      </c>
      <c r="E1049" s="43" t="s">
        <v>559</v>
      </c>
      <c r="F1049" s="43" t="s">
        <v>516</v>
      </c>
      <c r="G1049" s="43" t="s">
        <v>259</v>
      </c>
      <c r="H1049" s="43" t="s">
        <v>207</v>
      </c>
      <c r="I1049" s="44">
        <v>45590</v>
      </c>
      <c r="J1049" s="44">
        <v>45635</v>
      </c>
      <c r="K1049" s="45">
        <v>6</v>
      </c>
      <c r="L1049" s="45">
        <v>359.33879999999999</v>
      </c>
      <c r="M1049" s="45">
        <v>972</v>
      </c>
      <c r="N1049" s="45">
        <v>6</v>
      </c>
      <c r="O1049" s="45">
        <v>368.68200000000002</v>
      </c>
      <c r="P1049" s="62">
        <f t="shared" si="17"/>
        <v>12</v>
      </c>
    </row>
    <row r="1050" spans="1:16" x14ac:dyDescent="0.25">
      <c r="A1050" s="43" t="s">
        <v>200</v>
      </c>
      <c r="B1050" s="43" t="s">
        <v>291</v>
      </c>
      <c r="C1050" s="43" t="s">
        <v>265</v>
      </c>
      <c r="D1050" s="43" t="s">
        <v>532</v>
      </c>
      <c r="E1050" s="43" t="s">
        <v>559</v>
      </c>
      <c r="F1050" s="43" t="s">
        <v>516</v>
      </c>
      <c r="G1050" s="43" t="s">
        <v>296</v>
      </c>
      <c r="H1050" s="43" t="s">
        <v>207</v>
      </c>
      <c r="I1050" s="44">
        <v>45591</v>
      </c>
      <c r="J1050" s="44">
        <v>45647</v>
      </c>
      <c r="K1050" s="45">
        <v>37</v>
      </c>
      <c r="L1050" s="45">
        <v>2272.0675999999999</v>
      </c>
      <c r="M1050" s="45">
        <v>6066</v>
      </c>
      <c r="N1050" s="45">
        <v>5</v>
      </c>
      <c r="O1050" s="45">
        <v>314.93400000000003</v>
      </c>
      <c r="P1050" s="62">
        <f t="shared" si="17"/>
        <v>42</v>
      </c>
    </row>
    <row r="1051" spans="1:16" x14ac:dyDescent="0.25">
      <c r="A1051" s="43" t="s">
        <v>200</v>
      </c>
      <c r="B1051" s="43" t="s">
        <v>291</v>
      </c>
      <c r="C1051" s="43" t="s">
        <v>265</v>
      </c>
      <c r="D1051" s="43" t="s">
        <v>532</v>
      </c>
      <c r="E1051" s="43" t="s">
        <v>560</v>
      </c>
      <c r="F1051" s="43" t="s">
        <v>516</v>
      </c>
      <c r="G1051" s="43" t="s">
        <v>232</v>
      </c>
      <c r="H1051" s="43" t="s">
        <v>226</v>
      </c>
      <c r="I1051" s="44">
        <v>45591</v>
      </c>
      <c r="J1051" s="44">
        <v>45644</v>
      </c>
      <c r="K1051" s="45">
        <v>0</v>
      </c>
      <c r="L1051" s="45">
        <v>0</v>
      </c>
      <c r="M1051" s="45">
        <v>0</v>
      </c>
      <c r="N1051" s="45">
        <v>10</v>
      </c>
      <c r="O1051" s="45">
        <v>604.81500000000005</v>
      </c>
      <c r="P1051" s="62">
        <f t="shared" si="17"/>
        <v>10</v>
      </c>
    </row>
    <row r="1052" spans="1:16" x14ac:dyDescent="0.25">
      <c r="A1052" s="43" t="s">
        <v>200</v>
      </c>
      <c r="B1052" s="43" t="s">
        <v>291</v>
      </c>
      <c r="C1052" s="43" t="s">
        <v>265</v>
      </c>
      <c r="D1052" s="43" t="s">
        <v>532</v>
      </c>
      <c r="E1052" s="43" t="s">
        <v>560</v>
      </c>
      <c r="F1052" s="43" t="s">
        <v>516</v>
      </c>
      <c r="G1052" s="43" t="s">
        <v>233</v>
      </c>
      <c r="H1052" s="43" t="s">
        <v>226</v>
      </c>
      <c r="I1052" s="44">
        <v>45590</v>
      </c>
      <c r="J1052" s="44">
        <v>45632</v>
      </c>
      <c r="K1052" s="45">
        <v>0</v>
      </c>
      <c r="L1052" s="45">
        <v>0</v>
      </c>
      <c r="M1052" s="45">
        <v>0</v>
      </c>
      <c r="N1052" s="45">
        <v>13</v>
      </c>
      <c r="O1052" s="45">
        <v>800.39959999999996</v>
      </c>
      <c r="P1052" s="62">
        <f t="shared" si="17"/>
        <v>13</v>
      </c>
    </row>
    <row r="1053" spans="1:16" x14ac:dyDescent="0.25">
      <c r="A1053" s="43" t="s">
        <v>200</v>
      </c>
      <c r="B1053" s="43" t="s">
        <v>291</v>
      </c>
      <c r="C1053" s="43" t="s">
        <v>265</v>
      </c>
      <c r="D1053" s="43" t="s">
        <v>532</v>
      </c>
      <c r="E1053" s="43" t="s">
        <v>560</v>
      </c>
      <c r="F1053" s="43" t="s">
        <v>516</v>
      </c>
      <c r="G1053" s="43" t="s">
        <v>296</v>
      </c>
      <c r="H1053" s="43" t="s">
        <v>226</v>
      </c>
      <c r="I1053" s="44">
        <v>45590</v>
      </c>
      <c r="J1053" s="44">
        <v>45636</v>
      </c>
      <c r="K1053" s="45">
        <v>0</v>
      </c>
      <c r="L1053" s="45">
        <v>0</v>
      </c>
      <c r="M1053" s="45">
        <v>0</v>
      </c>
      <c r="N1053" s="45">
        <v>5</v>
      </c>
      <c r="O1053" s="45">
        <v>309.91800000000001</v>
      </c>
      <c r="P1053" s="62">
        <f t="shared" si="17"/>
        <v>5</v>
      </c>
    </row>
    <row r="1054" spans="1:16" x14ac:dyDescent="0.25">
      <c r="A1054" s="43" t="s">
        <v>200</v>
      </c>
      <c r="B1054" s="43" t="s">
        <v>291</v>
      </c>
      <c r="C1054" s="43" t="s">
        <v>265</v>
      </c>
      <c r="D1054" s="43" t="s">
        <v>532</v>
      </c>
      <c r="E1054" s="43" t="s">
        <v>561</v>
      </c>
      <c r="F1054" s="43" t="s">
        <v>516</v>
      </c>
      <c r="G1054" s="43" t="s">
        <v>232</v>
      </c>
      <c r="H1054" s="43" t="s">
        <v>207</v>
      </c>
      <c r="I1054" s="44">
        <v>45591</v>
      </c>
      <c r="J1054" s="44">
        <v>45615</v>
      </c>
      <c r="K1054" s="45">
        <v>2</v>
      </c>
      <c r="L1054" s="45">
        <v>119.7796</v>
      </c>
      <c r="M1054" s="45">
        <v>324</v>
      </c>
      <c r="N1054" s="45">
        <v>9</v>
      </c>
      <c r="O1054" s="45">
        <v>539.00819999999999</v>
      </c>
      <c r="P1054" s="62">
        <f t="shared" si="17"/>
        <v>11</v>
      </c>
    </row>
    <row r="1055" spans="1:16" x14ac:dyDescent="0.25">
      <c r="A1055" s="43" t="s">
        <v>200</v>
      </c>
      <c r="B1055" s="43" t="s">
        <v>291</v>
      </c>
      <c r="C1055" s="43" t="s">
        <v>265</v>
      </c>
      <c r="D1055" s="43" t="s">
        <v>532</v>
      </c>
      <c r="E1055" s="43" t="s">
        <v>561</v>
      </c>
      <c r="F1055" s="43" t="s">
        <v>516</v>
      </c>
      <c r="G1055" s="43" t="s">
        <v>233</v>
      </c>
      <c r="H1055" s="43" t="s">
        <v>207</v>
      </c>
      <c r="I1055" s="44">
        <v>45591</v>
      </c>
      <c r="J1055" s="44">
        <v>45642</v>
      </c>
      <c r="K1055" s="45">
        <v>14</v>
      </c>
      <c r="L1055" s="45">
        <v>838.80319999999995</v>
      </c>
      <c r="M1055" s="45">
        <v>2196</v>
      </c>
      <c r="N1055" s="45">
        <v>9</v>
      </c>
      <c r="O1055" s="45">
        <v>544.89059999999995</v>
      </c>
      <c r="P1055" s="62">
        <f t="shared" si="17"/>
        <v>23</v>
      </c>
    </row>
    <row r="1056" spans="1:16" x14ac:dyDescent="0.25">
      <c r="A1056" s="43" t="s">
        <v>200</v>
      </c>
      <c r="B1056" s="43" t="s">
        <v>291</v>
      </c>
      <c r="C1056" s="43" t="s">
        <v>265</v>
      </c>
      <c r="D1056" s="43" t="s">
        <v>532</v>
      </c>
      <c r="E1056" s="43" t="s">
        <v>561</v>
      </c>
      <c r="F1056" s="43" t="s">
        <v>516</v>
      </c>
      <c r="G1056" s="43" t="s">
        <v>234</v>
      </c>
      <c r="H1056" s="43" t="s">
        <v>207</v>
      </c>
      <c r="I1056" s="44">
        <v>45590</v>
      </c>
      <c r="J1056" s="44">
        <v>45643</v>
      </c>
      <c r="K1056" s="45">
        <v>24</v>
      </c>
      <c r="L1056" s="45">
        <v>1461.2556999999999</v>
      </c>
      <c r="M1056" s="45">
        <v>3942</v>
      </c>
      <c r="N1056" s="45">
        <v>3</v>
      </c>
      <c r="O1056" s="45">
        <v>186.91079999999999</v>
      </c>
      <c r="P1056" s="62">
        <f t="shared" si="17"/>
        <v>27</v>
      </c>
    </row>
    <row r="1057" spans="1:16" x14ac:dyDescent="0.25">
      <c r="A1057" s="43" t="s">
        <v>200</v>
      </c>
      <c r="B1057" s="43" t="s">
        <v>291</v>
      </c>
      <c r="C1057" s="43" t="s">
        <v>265</v>
      </c>
      <c r="D1057" s="43" t="s">
        <v>532</v>
      </c>
      <c r="E1057" s="43" t="s">
        <v>561</v>
      </c>
      <c r="F1057" s="43" t="s">
        <v>516</v>
      </c>
      <c r="G1057" s="43" t="s">
        <v>259</v>
      </c>
      <c r="H1057" s="43" t="s">
        <v>207</v>
      </c>
      <c r="I1057" s="44">
        <v>45591</v>
      </c>
      <c r="J1057" s="44">
        <v>45635</v>
      </c>
      <c r="K1057" s="45">
        <v>1</v>
      </c>
      <c r="L1057" s="45">
        <v>59.889800000000001</v>
      </c>
      <c r="M1057" s="45">
        <v>162</v>
      </c>
      <c r="N1057" s="45">
        <v>4</v>
      </c>
      <c r="O1057" s="45">
        <v>245.78800000000001</v>
      </c>
      <c r="P1057" s="62">
        <f t="shared" si="17"/>
        <v>5</v>
      </c>
    </row>
    <row r="1058" spans="1:16" x14ac:dyDescent="0.25">
      <c r="A1058" s="43" t="s">
        <v>200</v>
      </c>
      <c r="B1058" s="43" t="s">
        <v>291</v>
      </c>
      <c r="C1058" s="43" t="s">
        <v>265</v>
      </c>
      <c r="D1058" s="43" t="s">
        <v>532</v>
      </c>
      <c r="E1058" s="43" t="s">
        <v>561</v>
      </c>
      <c r="F1058" s="43" t="s">
        <v>516</v>
      </c>
      <c r="G1058" s="43" t="s">
        <v>296</v>
      </c>
      <c r="H1058" s="43" t="s">
        <v>207</v>
      </c>
      <c r="I1058" s="44">
        <v>45590</v>
      </c>
      <c r="J1058" s="44">
        <v>45643</v>
      </c>
      <c r="K1058" s="45">
        <v>14</v>
      </c>
      <c r="L1058" s="45">
        <v>849.27859999999998</v>
      </c>
      <c r="M1058" s="45">
        <v>2286</v>
      </c>
      <c r="N1058" s="45">
        <v>3</v>
      </c>
      <c r="O1058" s="45">
        <v>187.53450000000001</v>
      </c>
      <c r="P1058" s="62">
        <f t="shared" si="17"/>
        <v>17</v>
      </c>
    </row>
    <row r="1059" spans="1:16" x14ac:dyDescent="0.25">
      <c r="A1059" s="43" t="s">
        <v>200</v>
      </c>
      <c r="B1059" s="43" t="s">
        <v>291</v>
      </c>
      <c r="C1059" s="43" t="s">
        <v>265</v>
      </c>
      <c r="D1059" s="43" t="s">
        <v>532</v>
      </c>
      <c r="E1059" s="43" t="s">
        <v>562</v>
      </c>
      <c r="F1059" s="43" t="s">
        <v>516</v>
      </c>
      <c r="G1059" s="43" t="s">
        <v>232</v>
      </c>
      <c r="H1059" s="43" t="s">
        <v>207</v>
      </c>
      <c r="I1059" s="44">
        <v>45591</v>
      </c>
      <c r="J1059" s="44">
        <v>45636</v>
      </c>
      <c r="K1059" s="45">
        <v>7</v>
      </c>
      <c r="L1059" s="45">
        <v>423.3381</v>
      </c>
      <c r="M1059" s="45">
        <v>1116</v>
      </c>
      <c r="N1059" s="45">
        <v>10</v>
      </c>
      <c r="O1059" s="45">
        <v>613.51300000000003</v>
      </c>
      <c r="P1059" s="62">
        <f t="shared" si="17"/>
        <v>17</v>
      </c>
    </row>
    <row r="1060" spans="1:16" x14ac:dyDescent="0.25">
      <c r="A1060" s="43" t="s">
        <v>200</v>
      </c>
      <c r="B1060" s="43" t="s">
        <v>291</v>
      </c>
      <c r="C1060" s="43" t="s">
        <v>265</v>
      </c>
      <c r="D1060" s="43" t="s">
        <v>532</v>
      </c>
      <c r="E1060" s="43" t="s">
        <v>562</v>
      </c>
      <c r="F1060" s="43" t="s">
        <v>516</v>
      </c>
      <c r="G1060" s="43" t="s">
        <v>233</v>
      </c>
      <c r="H1060" s="43" t="s">
        <v>207</v>
      </c>
      <c r="I1060" s="44">
        <v>45591</v>
      </c>
      <c r="J1060" s="44">
        <v>45636</v>
      </c>
      <c r="K1060" s="45">
        <v>21</v>
      </c>
      <c r="L1060" s="45">
        <v>1269.8068000000001</v>
      </c>
      <c r="M1060" s="45">
        <v>3402</v>
      </c>
      <c r="N1060" s="45">
        <v>13</v>
      </c>
      <c r="O1060" s="45">
        <v>804.10979999999995</v>
      </c>
      <c r="P1060" s="62">
        <f t="shared" si="17"/>
        <v>34</v>
      </c>
    </row>
    <row r="1061" spans="1:16" x14ac:dyDescent="0.25">
      <c r="A1061" s="43" t="s">
        <v>200</v>
      </c>
      <c r="B1061" s="43" t="s">
        <v>291</v>
      </c>
      <c r="C1061" s="43" t="s">
        <v>265</v>
      </c>
      <c r="D1061" s="43" t="s">
        <v>532</v>
      </c>
      <c r="E1061" s="43" t="s">
        <v>562</v>
      </c>
      <c r="F1061" s="43" t="s">
        <v>516</v>
      </c>
      <c r="G1061" s="43" t="s">
        <v>234</v>
      </c>
      <c r="H1061" s="43" t="s">
        <v>207</v>
      </c>
      <c r="I1061" s="44">
        <v>45591</v>
      </c>
      <c r="J1061" s="44">
        <v>45636</v>
      </c>
      <c r="K1061" s="45">
        <v>28</v>
      </c>
      <c r="L1061" s="45">
        <v>1697.0778</v>
      </c>
      <c r="M1061" s="45">
        <v>4572</v>
      </c>
      <c r="N1061" s="45">
        <v>9</v>
      </c>
      <c r="O1061" s="45">
        <v>563.50890000000004</v>
      </c>
      <c r="P1061" s="62">
        <f t="shared" si="17"/>
        <v>37</v>
      </c>
    </row>
    <row r="1062" spans="1:16" x14ac:dyDescent="0.25">
      <c r="A1062" s="43" t="s">
        <v>200</v>
      </c>
      <c r="B1062" s="43" t="s">
        <v>291</v>
      </c>
      <c r="C1062" s="43" t="s">
        <v>265</v>
      </c>
      <c r="D1062" s="43" t="s">
        <v>532</v>
      </c>
      <c r="E1062" s="43" t="s">
        <v>562</v>
      </c>
      <c r="F1062" s="43" t="s">
        <v>516</v>
      </c>
      <c r="G1062" s="43" t="s">
        <v>259</v>
      </c>
      <c r="H1062" s="43" t="s">
        <v>207</v>
      </c>
      <c r="I1062" s="44">
        <v>45591</v>
      </c>
      <c r="J1062" s="44">
        <v>45636</v>
      </c>
      <c r="K1062" s="45">
        <v>2</v>
      </c>
      <c r="L1062" s="45">
        <v>121.3368</v>
      </c>
      <c r="M1062" s="45">
        <v>324</v>
      </c>
      <c r="N1062" s="45">
        <v>4</v>
      </c>
      <c r="O1062" s="45">
        <v>247.34520000000001</v>
      </c>
      <c r="P1062" s="62">
        <f t="shared" si="17"/>
        <v>6</v>
      </c>
    </row>
    <row r="1063" spans="1:16" x14ac:dyDescent="0.25">
      <c r="A1063" s="43" t="s">
        <v>200</v>
      </c>
      <c r="B1063" s="43" t="s">
        <v>291</v>
      </c>
      <c r="C1063" s="43" t="s">
        <v>265</v>
      </c>
      <c r="D1063" s="43" t="s">
        <v>532</v>
      </c>
      <c r="E1063" s="43" t="s">
        <v>562</v>
      </c>
      <c r="F1063" s="43" t="s">
        <v>516</v>
      </c>
      <c r="G1063" s="43" t="s">
        <v>296</v>
      </c>
      <c r="H1063" s="43" t="s">
        <v>207</v>
      </c>
      <c r="I1063" s="44">
        <v>45590</v>
      </c>
      <c r="J1063" s="44">
        <v>45645</v>
      </c>
      <c r="K1063" s="45">
        <v>16</v>
      </c>
      <c r="L1063" s="45">
        <v>975.72230000000002</v>
      </c>
      <c r="M1063" s="45">
        <v>2610</v>
      </c>
      <c r="N1063" s="45">
        <v>5</v>
      </c>
      <c r="O1063" s="45">
        <v>313.10750000000002</v>
      </c>
      <c r="P1063" s="62">
        <f t="shared" si="17"/>
        <v>21</v>
      </c>
    </row>
    <row r="1064" spans="1:16" x14ac:dyDescent="0.25">
      <c r="A1064" s="43" t="s">
        <v>200</v>
      </c>
      <c r="B1064" s="43" t="s">
        <v>291</v>
      </c>
      <c r="C1064" s="43" t="s">
        <v>265</v>
      </c>
      <c r="D1064" s="43" t="s">
        <v>532</v>
      </c>
      <c r="E1064" s="43" t="s">
        <v>563</v>
      </c>
      <c r="F1064" s="43" t="s">
        <v>228</v>
      </c>
      <c r="G1064" s="43" t="s">
        <v>232</v>
      </c>
      <c r="H1064" s="43" t="s">
        <v>207</v>
      </c>
      <c r="I1064" s="44">
        <v>45593</v>
      </c>
      <c r="J1064" s="44">
        <v>45643</v>
      </c>
      <c r="K1064" s="45">
        <v>14</v>
      </c>
      <c r="L1064" s="45">
        <v>988.66520000000003</v>
      </c>
      <c r="M1064" s="45">
        <v>2648.86</v>
      </c>
      <c r="N1064" s="45">
        <v>4</v>
      </c>
      <c r="O1064" s="45">
        <v>287.03120000000001</v>
      </c>
      <c r="P1064" s="62">
        <f t="shared" si="17"/>
        <v>18</v>
      </c>
    </row>
    <row r="1065" spans="1:16" x14ac:dyDescent="0.25">
      <c r="A1065" s="43" t="s">
        <v>200</v>
      </c>
      <c r="B1065" s="43" t="s">
        <v>291</v>
      </c>
      <c r="C1065" s="43" t="s">
        <v>265</v>
      </c>
      <c r="D1065" s="43" t="s">
        <v>532</v>
      </c>
      <c r="E1065" s="43" t="s">
        <v>563</v>
      </c>
      <c r="F1065" s="43" t="s">
        <v>228</v>
      </c>
      <c r="G1065" s="43" t="s">
        <v>233</v>
      </c>
      <c r="H1065" s="43" t="s">
        <v>207</v>
      </c>
      <c r="I1065" s="44">
        <v>45593</v>
      </c>
      <c r="J1065" s="44">
        <v>45644</v>
      </c>
      <c r="K1065" s="45">
        <v>25</v>
      </c>
      <c r="L1065" s="45">
        <v>1776.6188999999999</v>
      </c>
      <c r="M1065" s="45">
        <v>4713.7</v>
      </c>
      <c r="N1065" s="45">
        <v>7</v>
      </c>
      <c r="O1065" s="45">
        <v>504.3451</v>
      </c>
      <c r="P1065" s="62">
        <f t="shared" si="17"/>
        <v>32</v>
      </c>
    </row>
    <row r="1066" spans="1:16" x14ac:dyDescent="0.25">
      <c r="A1066" s="43" t="s">
        <v>200</v>
      </c>
      <c r="B1066" s="43" t="s">
        <v>291</v>
      </c>
      <c r="C1066" s="43" t="s">
        <v>265</v>
      </c>
      <c r="D1066" s="43" t="s">
        <v>532</v>
      </c>
      <c r="E1066" s="43" t="s">
        <v>563</v>
      </c>
      <c r="F1066" s="43" t="s">
        <v>228</v>
      </c>
      <c r="G1066" s="43" t="s">
        <v>234</v>
      </c>
      <c r="H1066" s="43" t="s">
        <v>207</v>
      </c>
      <c r="I1066" s="44">
        <v>45593</v>
      </c>
      <c r="J1066" s="44">
        <v>45642</v>
      </c>
      <c r="K1066" s="45">
        <v>30</v>
      </c>
      <c r="L1066" s="45">
        <v>2143.9695000000002</v>
      </c>
      <c r="M1066" s="45">
        <v>5589.69</v>
      </c>
      <c r="N1066" s="45">
        <v>2</v>
      </c>
      <c r="O1066" s="45">
        <v>144.11859999999999</v>
      </c>
      <c r="P1066" s="62">
        <f t="shared" si="17"/>
        <v>32</v>
      </c>
    </row>
    <row r="1067" spans="1:16" x14ac:dyDescent="0.25">
      <c r="A1067" s="43" t="s">
        <v>200</v>
      </c>
      <c r="B1067" s="43" t="s">
        <v>291</v>
      </c>
      <c r="C1067" s="43" t="s">
        <v>265</v>
      </c>
      <c r="D1067" s="43" t="s">
        <v>532</v>
      </c>
      <c r="E1067" s="43" t="s">
        <v>563</v>
      </c>
      <c r="F1067" s="43" t="s">
        <v>228</v>
      </c>
      <c r="G1067" s="43" t="s">
        <v>296</v>
      </c>
      <c r="H1067" s="43" t="s">
        <v>207</v>
      </c>
      <c r="I1067" s="44">
        <v>45593</v>
      </c>
      <c r="J1067" s="44">
        <v>45639</v>
      </c>
      <c r="K1067" s="45">
        <v>7</v>
      </c>
      <c r="L1067" s="45">
        <v>492.14640000000003</v>
      </c>
      <c r="M1067" s="45">
        <v>1334.86</v>
      </c>
      <c r="N1067" s="45">
        <v>1</v>
      </c>
      <c r="O1067" s="45">
        <v>71.795500000000004</v>
      </c>
      <c r="P1067" s="62">
        <f t="shared" si="17"/>
        <v>8</v>
      </c>
    </row>
    <row r="1068" spans="1:16" x14ac:dyDescent="0.25">
      <c r="A1068" s="43" t="s">
        <v>200</v>
      </c>
      <c r="B1068" s="43" t="s">
        <v>291</v>
      </c>
      <c r="C1068" s="43" t="s">
        <v>265</v>
      </c>
      <c r="D1068" s="43" t="s">
        <v>532</v>
      </c>
      <c r="E1068" s="43" t="s">
        <v>564</v>
      </c>
      <c r="F1068" s="43" t="s">
        <v>228</v>
      </c>
      <c r="G1068" s="43" t="s">
        <v>232</v>
      </c>
      <c r="H1068" s="43" t="s">
        <v>207</v>
      </c>
      <c r="I1068" s="44">
        <v>45633</v>
      </c>
      <c r="J1068" s="44">
        <v>45633</v>
      </c>
      <c r="K1068" s="45">
        <v>0</v>
      </c>
      <c r="L1068" s="45">
        <v>0</v>
      </c>
      <c r="M1068" s="45">
        <v>0</v>
      </c>
      <c r="N1068" s="45">
        <v>6</v>
      </c>
      <c r="O1068" s="45">
        <v>432.35579999999999</v>
      </c>
      <c r="P1068" s="62">
        <f t="shared" si="17"/>
        <v>6</v>
      </c>
    </row>
    <row r="1069" spans="1:16" x14ac:dyDescent="0.25">
      <c r="A1069" s="43" t="s">
        <v>200</v>
      </c>
      <c r="B1069" s="43" t="s">
        <v>291</v>
      </c>
      <c r="C1069" s="43" t="s">
        <v>265</v>
      </c>
      <c r="D1069" s="43" t="s">
        <v>532</v>
      </c>
      <c r="E1069" s="43" t="s">
        <v>564</v>
      </c>
      <c r="F1069" s="43" t="s">
        <v>228</v>
      </c>
      <c r="G1069" s="43" t="s">
        <v>233</v>
      </c>
      <c r="H1069" s="43" t="s">
        <v>207</v>
      </c>
      <c r="I1069" s="44">
        <v>45633</v>
      </c>
      <c r="J1069" s="44">
        <v>45643</v>
      </c>
      <c r="K1069" s="45">
        <v>4</v>
      </c>
      <c r="L1069" s="45">
        <v>288.23719999999997</v>
      </c>
      <c r="M1069" s="45">
        <v>771.72</v>
      </c>
      <c r="N1069" s="45">
        <v>6</v>
      </c>
      <c r="O1069" s="45">
        <v>432.35579999999999</v>
      </c>
      <c r="P1069" s="62">
        <f t="shared" si="17"/>
        <v>10</v>
      </c>
    </row>
    <row r="1070" spans="1:16" x14ac:dyDescent="0.25">
      <c r="A1070" s="43" t="s">
        <v>200</v>
      </c>
      <c r="B1070" s="43" t="s">
        <v>291</v>
      </c>
      <c r="C1070" s="43" t="s">
        <v>265</v>
      </c>
      <c r="D1070" s="43" t="s">
        <v>532</v>
      </c>
      <c r="E1070" s="43" t="s">
        <v>564</v>
      </c>
      <c r="F1070" s="43" t="s">
        <v>228</v>
      </c>
      <c r="G1070" s="43" t="s">
        <v>234</v>
      </c>
      <c r="H1070" s="43" t="s">
        <v>207</v>
      </c>
      <c r="I1070" s="44">
        <v>45633</v>
      </c>
      <c r="J1070" s="44">
        <v>45642</v>
      </c>
      <c r="K1070" s="45">
        <v>7</v>
      </c>
      <c r="L1070" s="45">
        <v>504.4151</v>
      </c>
      <c r="M1070" s="45">
        <v>1355.69</v>
      </c>
      <c r="N1070" s="45">
        <v>4</v>
      </c>
      <c r="O1070" s="45">
        <v>288.23719999999997</v>
      </c>
      <c r="P1070" s="62">
        <f t="shared" si="17"/>
        <v>11</v>
      </c>
    </row>
    <row r="1071" spans="1:16" x14ac:dyDescent="0.25">
      <c r="A1071" s="43" t="s">
        <v>200</v>
      </c>
      <c r="B1071" s="43" t="s">
        <v>291</v>
      </c>
      <c r="C1071" s="43" t="s">
        <v>265</v>
      </c>
      <c r="D1071" s="43" t="s">
        <v>532</v>
      </c>
      <c r="E1071" s="43" t="s">
        <v>564</v>
      </c>
      <c r="F1071" s="43" t="s">
        <v>228</v>
      </c>
      <c r="G1071" s="43" t="s">
        <v>259</v>
      </c>
      <c r="H1071" s="43" t="s">
        <v>207</v>
      </c>
      <c r="I1071" s="44">
        <v>45633</v>
      </c>
      <c r="J1071" s="44">
        <v>45633</v>
      </c>
      <c r="K1071" s="45">
        <v>0</v>
      </c>
      <c r="L1071" s="45">
        <v>0</v>
      </c>
      <c r="M1071" s="45">
        <v>0</v>
      </c>
      <c r="N1071" s="45">
        <v>2</v>
      </c>
      <c r="O1071" s="45">
        <v>144.11879999999999</v>
      </c>
      <c r="P1071" s="62">
        <f t="shared" si="17"/>
        <v>2</v>
      </c>
    </row>
    <row r="1072" spans="1:16" x14ac:dyDescent="0.25">
      <c r="A1072" s="43" t="s">
        <v>200</v>
      </c>
      <c r="B1072" s="43" t="s">
        <v>291</v>
      </c>
      <c r="C1072" s="43" t="s">
        <v>265</v>
      </c>
      <c r="D1072" s="43" t="s">
        <v>532</v>
      </c>
      <c r="E1072" s="43" t="s">
        <v>565</v>
      </c>
      <c r="F1072" s="43" t="s">
        <v>274</v>
      </c>
      <c r="G1072" s="43" t="s">
        <v>232</v>
      </c>
      <c r="H1072" s="43" t="s">
        <v>207</v>
      </c>
      <c r="I1072" s="44">
        <v>45591</v>
      </c>
      <c r="J1072" s="44">
        <v>45642</v>
      </c>
      <c r="K1072" s="45">
        <v>11</v>
      </c>
      <c r="L1072" s="45">
        <v>671.96090000000004</v>
      </c>
      <c r="M1072" s="45">
        <v>1782</v>
      </c>
      <c r="N1072" s="45">
        <v>8</v>
      </c>
      <c r="O1072" s="45">
        <v>498.34399999999999</v>
      </c>
      <c r="P1072" s="62">
        <f t="shared" si="17"/>
        <v>19</v>
      </c>
    </row>
    <row r="1073" spans="1:16" x14ac:dyDescent="0.25">
      <c r="A1073" s="43" t="s">
        <v>200</v>
      </c>
      <c r="B1073" s="43" t="s">
        <v>291</v>
      </c>
      <c r="C1073" s="43" t="s">
        <v>265</v>
      </c>
      <c r="D1073" s="43" t="s">
        <v>532</v>
      </c>
      <c r="E1073" s="43" t="s">
        <v>565</v>
      </c>
      <c r="F1073" s="43" t="s">
        <v>274</v>
      </c>
      <c r="G1073" s="43" t="s">
        <v>233</v>
      </c>
      <c r="H1073" s="43" t="s">
        <v>207</v>
      </c>
      <c r="I1073" s="44">
        <v>45591</v>
      </c>
      <c r="J1073" s="44">
        <v>45644</v>
      </c>
      <c r="K1073" s="45">
        <v>19</v>
      </c>
      <c r="L1073" s="45">
        <v>1160.6946</v>
      </c>
      <c r="M1073" s="45">
        <v>3060</v>
      </c>
      <c r="N1073" s="45">
        <v>10</v>
      </c>
      <c r="O1073" s="45">
        <v>624.82899999999995</v>
      </c>
      <c r="P1073" s="62">
        <f t="shared" si="17"/>
        <v>29</v>
      </c>
    </row>
    <row r="1074" spans="1:16" x14ac:dyDescent="0.25">
      <c r="A1074" s="43" t="s">
        <v>200</v>
      </c>
      <c r="B1074" s="43" t="s">
        <v>291</v>
      </c>
      <c r="C1074" s="43" t="s">
        <v>265</v>
      </c>
      <c r="D1074" s="43" t="s">
        <v>532</v>
      </c>
      <c r="E1074" s="43" t="s">
        <v>565</v>
      </c>
      <c r="F1074" s="43" t="s">
        <v>274</v>
      </c>
      <c r="G1074" s="43" t="s">
        <v>234</v>
      </c>
      <c r="H1074" s="43" t="s">
        <v>207</v>
      </c>
      <c r="I1074" s="44">
        <v>45591</v>
      </c>
      <c r="J1074" s="44">
        <v>45645</v>
      </c>
      <c r="K1074" s="45">
        <v>11</v>
      </c>
      <c r="L1074" s="45">
        <v>672.93899999999996</v>
      </c>
      <c r="M1074" s="45">
        <v>1782</v>
      </c>
      <c r="N1074" s="45">
        <v>7</v>
      </c>
      <c r="O1074" s="45">
        <v>437.36700000000002</v>
      </c>
      <c r="P1074" s="62">
        <f t="shared" si="17"/>
        <v>18</v>
      </c>
    </row>
    <row r="1075" spans="1:16" x14ac:dyDescent="0.25">
      <c r="A1075" s="43" t="s">
        <v>200</v>
      </c>
      <c r="B1075" s="43" t="s">
        <v>291</v>
      </c>
      <c r="C1075" s="43" t="s">
        <v>265</v>
      </c>
      <c r="D1075" s="43" t="s">
        <v>532</v>
      </c>
      <c r="E1075" s="43" t="s">
        <v>565</v>
      </c>
      <c r="F1075" s="43" t="s">
        <v>274</v>
      </c>
      <c r="G1075" s="43" t="s">
        <v>259</v>
      </c>
      <c r="H1075" s="43" t="s">
        <v>207</v>
      </c>
      <c r="I1075" s="44">
        <v>45590</v>
      </c>
      <c r="J1075" s="44">
        <v>45642</v>
      </c>
      <c r="K1075" s="45">
        <v>2</v>
      </c>
      <c r="L1075" s="45">
        <v>119.87050000000001</v>
      </c>
      <c r="M1075" s="45">
        <v>324</v>
      </c>
      <c r="N1075" s="45">
        <v>4</v>
      </c>
      <c r="O1075" s="45">
        <v>242.91</v>
      </c>
      <c r="P1075" s="62">
        <f t="shared" si="17"/>
        <v>6</v>
      </c>
    </row>
    <row r="1076" spans="1:16" x14ac:dyDescent="0.25">
      <c r="A1076" s="43" t="s">
        <v>200</v>
      </c>
      <c r="B1076" s="43" t="s">
        <v>291</v>
      </c>
      <c r="C1076" s="43" t="s">
        <v>265</v>
      </c>
      <c r="D1076" s="43" t="s">
        <v>532</v>
      </c>
      <c r="E1076" s="43" t="s">
        <v>565</v>
      </c>
      <c r="F1076" s="43" t="s">
        <v>274</v>
      </c>
      <c r="G1076" s="43" t="s">
        <v>296</v>
      </c>
      <c r="H1076" s="43" t="s">
        <v>207</v>
      </c>
      <c r="I1076" s="44">
        <v>45590</v>
      </c>
      <c r="J1076" s="44">
        <v>45626</v>
      </c>
      <c r="K1076" s="45">
        <v>7</v>
      </c>
      <c r="L1076" s="45">
        <v>426.53739999999999</v>
      </c>
      <c r="M1076" s="45">
        <v>1152</v>
      </c>
      <c r="N1076" s="45">
        <v>5</v>
      </c>
      <c r="O1076" s="45">
        <v>311.65899999999999</v>
      </c>
      <c r="P1076" s="62">
        <f t="shared" si="17"/>
        <v>12</v>
      </c>
    </row>
    <row r="1077" spans="1:16" x14ac:dyDescent="0.25">
      <c r="A1077" s="43" t="s">
        <v>200</v>
      </c>
      <c r="B1077" s="43" t="s">
        <v>291</v>
      </c>
      <c r="C1077" s="43" t="s">
        <v>265</v>
      </c>
      <c r="D1077" s="43" t="s">
        <v>532</v>
      </c>
      <c r="E1077" s="43" t="s">
        <v>566</v>
      </c>
      <c r="F1077" s="43" t="s">
        <v>274</v>
      </c>
      <c r="G1077" s="43" t="s">
        <v>232</v>
      </c>
      <c r="H1077" s="43" t="s">
        <v>207</v>
      </c>
      <c r="I1077" s="44">
        <v>45608</v>
      </c>
      <c r="J1077" s="44">
        <v>45632</v>
      </c>
      <c r="K1077" s="45">
        <v>2</v>
      </c>
      <c r="L1077" s="45">
        <v>120.461</v>
      </c>
      <c r="M1077" s="45">
        <v>324</v>
      </c>
      <c r="N1077" s="45">
        <v>6</v>
      </c>
      <c r="O1077" s="45">
        <v>365.541</v>
      </c>
      <c r="P1077" s="62">
        <f t="shared" si="17"/>
        <v>8</v>
      </c>
    </row>
    <row r="1078" spans="1:16" x14ac:dyDescent="0.25">
      <c r="A1078" s="43" t="s">
        <v>200</v>
      </c>
      <c r="B1078" s="43" t="s">
        <v>291</v>
      </c>
      <c r="C1078" s="43" t="s">
        <v>265</v>
      </c>
      <c r="D1078" s="43" t="s">
        <v>532</v>
      </c>
      <c r="E1078" s="43" t="s">
        <v>566</v>
      </c>
      <c r="F1078" s="43" t="s">
        <v>274</v>
      </c>
      <c r="G1078" s="43" t="s">
        <v>233</v>
      </c>
      <c r="H1078" s="43" t="s">
        <v>207</v>
      </c>
      <c r="I1078" s="44">
        <v>45608</v>
      </c>
      <c r="J1078" s="44">
        <v>45632</v>
      </c>
      <c r="K1078" s="45">
        <v>4</v>
      </c>
      <c r="L1078" s="45">
        <v>241.1532</v>
      </c>
      <c r="M1078" s="45">
        <v>648</v>
      </c>
      <c r="N1078" s="45">
        <v>7</v>
      </c>
      <c r="O1078" s="45">
        <v>427.87290000000002</v>
      </c>
      <c r="P1078" s="62">
        <f t="shared" si="17"/>
        <v>11</v>
      </c>
    </row>
    <row r="1079" spans="1:16" x14ac:dyDescent="0.25">
      <c r="A1079" s="43" t="s">
        <v>200</v>
      </c>
      <c r="B1079" s="43" t="s">
        <v>291</v>
      </c>
      <c r="C1079" s="43" t="s">
        <v>265</v>
      </c>
      <c r="D1079" s="43" t="s">
        <v>532</v>
      </c>
      <c r="E1079" s="43" t="s">
        <v>566</v>
      </c>
      <c r="F1079" s="43" t="s">
        <v>274</v>
      </c>
      <c r="G1079" s="43" t="s">
        <v>234</v>
      </c>
      <c r="H1079" s="43" t="s">
        <v>207</v>
      </c>
      <c r="I1079" s="44">
        <v>45608</v>
      </c>
      <c r="J1079" s="44">
        <v>45643</v>
      </c>
      <c r="K1079" s="45">
        <v>3</v>
      </c>
      <c r="L1079" s="45">
        <v>181.155</v>
      </c>
      <c r="M1079" s="45">
        <v>486</v>
      </c>
      <c r="N1079" s="45">
        <v>5</v>
      </c>
      <c r="O1079" s="45">
        <v>307.95400000000001</v>
      </c>
      <c r="P1079" s="62">
        <f t="shared" si="17"/>
        <v>8</v>
      </c>
    </row>
    <row r="1080" spans="1:16" x14ac:dyDescent="0.25">
      <c r="A1080" s="43" t="s">
        <v>200</v>
      </c>
      <c r="B1080" s="43" t="s">
        <v>291</v>
      </c>
      <c r="C1080" s="43" t="s">
        <v>265</v>
      </c>
      <c r="D1080" s="43" t="s">
        <v>532</v>
      </c>
      <c r="E1080" s="43" t="s">
        <v>566</v>
      </c>
      <c r="F1080" s="43" t="s">
        <v>274</v>
      </c>
      <c r="G1080" s="43" t="s">
        <v>296</v>
      </c>
      <c r="H1080" s="43" t="s">
        <v>207</v>
      </c>
      <c r="I1080" s="44">
        <v>45608</v>
      </c>
      <c r="J1080" s="44">
        <v>45622</v>
      </c>
      <c r="K1080" s="45">
        <v>0</v>
      </c>
      <c r="L1080" s="45">
        <v>-1.0395000000000001</v>
      </c>
      <c r="M1080" s="45">
        <v>0</v>
      </c>
      <c r="N1080" s="45">
        <v>4</v>
      </c>
      <c r="O1080" s="45">
        <v>244.03280000000001</v>
      </c>
      <c r="P1080" s="62">
        <f t="shared" si="17"/>
        <v>4</v>
      </c>
    </row>
    <row r="1081" spans="1:16" x14ac:dyDescent="0.25">
      <c r="A1081" s="43" t="s">
        <v>200</v>
      </c>
      <c r="B1081" s="43" t="s">
        <v>291</v>
      </c>
      <c r="C1081" s="43" t="s">
        <v>265</v>
      </c>
      <c r="D1081" s="43" t="s">
        <v>532</v>
      </c>
      <c r="E1081" s="43" t="s">
        <v>567</v>
      </c>
      <c r="F1081" s="43" t="s">
        <v>352</v>
      </c>
      <c r="G1081" s="43" t="s">
        <v>232</v>
      </c>
      <c r="H1081" s="43" t="s">
        <v>218</v>
      </c>
      <c r="I1081" s="44">
        <v>45604</v>
      </c>
      <c r="J1081" s="44">
        <v>45639</v>
      </c>
      <c r="K1081" s="45">
        <v>1</v>
      </c>
      <c r="L1081" s="45">
        <v>94.118300000000005</v>
      </c>
      <c r="M1081" s="45">
        <v>256.29000000000002</v>
      </c>
      <c r="N1081" s="45">
        <v>6</v>
      </c>
      <c r="O1081" s="45">
        <v>569.60400000000004</v>
      </c>
      <c r="P1081" s="62">
        <f t="shared" si="17"/>
        <v>7</v>
      </c>
    </row>
    <row r="1082" spans="1:16" x14ac:dyDescent="0.25">
      <c r="A1082" s="43" t="s">
        <v>200</v>
      </c>
      <c r="B1082" s="43" t="s">
        <v>291</v>
      </c>
      <c r="C1082" s="43" t="s">
        <v>265</v>
      </c>
      <c r="D1082" s="43" t="s">
        <v>532</v>
      </c>
      <c r="E1082" s="43" t="s">
        <v>567</v>
      </c>
      <c r="F1082" s="43" t="s">
        <v>352</v>
      </c>
      <c r="G1082" s="43" t="s">
        <v>233</v>
      </c>
      <c r="H1082" s="43" t="s">
        <v>218</v>
      </c>
      <c r="I1082" s="44">
        <v>45604</v>
      </c>
      <c r="J1082" s="44">
        <v>45643</v>
      </c>
      <c r="K1082" s="45">
        <v>2</v>
      </c>
      <c r="L1082" s="45">
        <v>188.9358</v>
      </c>
      <c r="M1082" s="45">
        <v>541.04999999999995</v>
      </c>
      <c r="N1082" s="45">
        <v>6</v>
      </c>
      <c r="O1082" s="45">
        <v>568.90499999999997</v>
      </c>
      <c r="P1082" s="62">
        <f t="shared" si="17"/>
        <v>8</v>
      </c>
    </row>
    <row r="1083" spans="1:16" x14ac:dyDescent="0.25">
      <c r="A1083" s="43" t="s">
        <v>200</v>
      </c>
      <c r="B1083" s="43" t="s">
        <v>291</v>
      </c>
      <c r="C1083" s="43" t="s">
        <v>265</v>
      </c>
      <c r="D1083" s="43" t="s">
        <v>532</v>
      </c>
      <c r="E1083" s="43" t="s">
        <v>567</v>
      </c>
      <c r="F1083" s="43" t="s">
        <v>352</v>
      </c>
      <c r="G1083" s="43" t="s">
        <v>234</v>
      </c>
      <c r="H1083" s="43" t="s">
        <v>218</v>
      </c>
      <c r="I1083" s="44">
        <v>45604</v>
      </c>
      <c r="J1083" s="44">
        <v>45643</v>
      </c>
      <c r="K1083" s="45">
        <v>6</v>
      </c>
      <c r="L1083" s="45">
        <v>574.30240000000003</v>
      </c>
      <c r="M1083" s="45">
        <v>1623.15</v>
      </c>
      <c r="N1083" s="45">
        <v>2</v>
      </c>
      <c r="O1083" s="45">
        <v>193.32660000000001</v>
      </c>
      <c r="P1083" s="62">
        <f t="shared" si="17"/>
        <v>8</v>
      </c>
    </row>
    <row r="1084" spans="1:16" x14ac:dyDescent="0.25">
      <c r="A1084" s="43" t="s">
        <v>200</v>
      </c>
      <c r="B1084" s="43" t="s">
        <v>291</v>
      </c>
      <c r="C1084" s="43" t="s">
        <v>265</v>
      </c>
      <c r="D1084" s="43" t="s">
        <v>532</v>
      </c>
      <c r="E1084" s="43" t="s">
        <v>567</v>
      </c>
      <c r="F1084" s="43" t="s">
        <v>352</v>
      </c>
      <c r="G1084" s="43" t="s">
        <v>296</v>
      </c>
      <c r="H1084" s="43" t="s">
        <v>218</v>
      </c>
      <c r="I1084" s="44">
        <v>45604</v>
      </c>
      <c r="J1084" s="44">
        <v>45640</v>
      </c>
      <c r="K1084" s="45">
        <v>1</v>
      </c>
      <c r="L1084" s="45">
        <v>94.118300000000005</v>
      </c>
      <c r="M1084" s="45">
        <v>284.76</v>
      </c>
      <c r="N1084" s="45">
        <v>3</v>
      </c>
      <c r="O1084" s="45">
        <v>287.2491</v>
      </c>
      <c r="P1084" s="62">
        <f t="shared" si="17"/>
        <v>4</v>
      </c>
    </row>
    <row r="1085" spans="1:16" x14ac:dyDescent="0.25">
      <c r="A1085" s="43" t="s">
        <v>200</v>
      </c>
      <c r="B1085" s="43" t="s">
        <v>291</v>
      </c>
      <c r="C1085" s="43" t="s">
        <v>265</v>
      </c>
      <c r="D1085" s="43" t="s">
        <v>532</v>
      </c>
      <c r="E1085" s="43" t="s">
        <v>568</v>
      </c>
      <c r="F1085" s="43" t="s">
        <v>352</v>
      </c>
      <c r="G1085" s="43" t="s">
        <v>232</v>
      </c>
      <c r="H1085" s="43" t="s">
        <v>218</v>
      </c>
      <c r="I1085" s="44">
        <v>45604</v>
      </c>
      <c r="J1085" s="44">
        <v>45643</v>
      </c>
      <c r="K1085" s="45">
        <v>2</v>
      </c>
      <c r="L1085" s="45">
        <v>189.0523</v>
      </c>
      <c r="M1085" s="45">
        <v>541.04999999999995</v>
      </c>
      <c r="N1085" s="45">
        <v>5</v>
      </c>
      <c r="O1085" s="45">
        <v>474.67</v>
      </c>
      <c r="P1085" s="62">
        <f t="shared" si="17"/>
        <v>7</v>
      </c>
    </row>
    <row r="1086" spans="1:16" x14ac:dyDescent="0.25">
      <c r="A1086" s="43" t="s">
        <v>200</v>
      </c>
      <c r="B1086" s="43" t="s">
        <v>291</v>
      </c>
      <c r="C1086" s="43" t="s">
        <v>265</v>
      </c>
      <c r="D1086" s="43" t="s">
        <v>532</v>
      </c>
      <c r="E1086" s="43" t="s">
        <v>568</v>
      </c>
      <c r="F1086" s="43" t="s">
        <v>352</v>
      </c>
      <c r="G1086" s="43" t="s">
        <v>233</v>
      </c>
      <c r="H1086" s="43" t="s">
        <v>218</v>
      </c>
      <c r="I1086" s="44">
        <v>45604</v>
      </c>
      <c r="J1086" s="44">
        <v>45604</v>
      </c>
      <c r="K1086" s="45">
        <v>0</v>
      </c>
      <c r="L1086" s="45">
        <v>0</v>
      </c>
      <c r="M1086" s="45">
        <v>0</v>
      </c>
      <c r="N1086" s="45">
        <v>7</v>
      </c>
      <c r="O1086" s="45">
        <v>658.82809999999995</v>
      </c>
      <c r="P1086" s="62">
        <f t="shared" si="17"/>
        <v>7</v>
      </c>
    </row>
    <row r="1087" spans="1:16" x14ac:dyDescent="0.25">
      <c r="A1087" s="43" t="s">
        <v>200</v>
      </c>
      <c r="B1087" s="43" t="s">
        <v>291</v>
      </c>
      <c r="C1087" s="43" t="s">
        <v>265</v>
      </c>
      <c r="D1087" s="43" t="s">
        <v>532</v>
      </c>
      <c r="E1087" s="43" t="s">
        <v>568</v>
      </c>
      <c r="F1087" s="43" t="s">
        <v>352</v>
      </c>
      <c r="G1087" s="43" t="s">
        <v>234</v>
      </c>
      <c r="H1087" s="43" t="s">
        <v>218</v>
      </c>
      <c r="I1087" s="44">
        <v>45604</v>
      </c>
      <c r="J1087" s="44">
        <v>45643</v>
      </c>
      <c r="K1087" s="45">
        <v>5</v>
      </c>
      <c r="L1087" s="45">
        <v>478.10890000000001</v>
      </c>
      <c r="M1087" s="45">
        <v>1309.8800000000001</v>
      </c>
      <c r="N1087" s="45">
        <v>4</v>
      </c>
      <c r="O1087" s="45">
        <v>388.5324</v>
      </c>
      <c r="P1087" s="62">
        <f t="shared" si="17"/>
        <v>9</v>
      </c>
    </row>
    <row r="1088" spans="1:16" x14ac:dyDescent="0.25">
      <c r="A1088" s="43" t="s">
        <v>200</v>
      </c>
      <c r="B1088" s="43" t="s">
        <v>291</v>
      </c>
      <c r="C1088" s="43" t="s">
        <v>265</v>
      </c>
      <c r="D1088" s="43" t="s">
        <v>532</v>
      </c>
      <c r="E1088" s="43" t="s">
        <v>568</v>
      </c>
      <c r="F1088" s="43" t="s">
        <v>352</v>
      </c>
      <c r="G1088" s="43" t="s">
        <v>296</v>
      </c>
      <c r="H1088" s="43" t="s">
        <v>218</v>
      </c>
      <c r="I1088" s="44">
        <v>45604</v>
      </c>
      <c r="J1088" s="44">
        <v>45638</v>
      </c>
      <c r="K1088" s="45">
        <v>2</v>
      </c>
      <c r="L1088" s="45">
        <v>189.86799999999999</v>
      </c>
      <c r="M1088" s="45">
        <v>512.58000000000004</v>
      </c>
      <c r="N1088" s="45">
        <v>3</v>
      </c>
      <c r="O1088" s="45">
        <v>290.51190000000003</v>
      </c>
      <c r="P1088" s="62">
        <f t="shared" si="17"/>
        <v>5</v>
      </c>
    </row>
    <row r="1089" spans="1:16" x14ac:dyDescent="0.25">
      <c r="A1089" s="43" t="s">
        <v>200</v>
      </c>
      <c r="B1089" s="43" t="s">
        <v>291</v>
      </c>
      <c r="C1089" s="43" t="s">
        <v>265</v>
      </c>
      <c r="D1089" s="43" t="s">
        <v>370</v>
      </c>
      <c r="E1089" s="43" t="s">
        <v>569</v>
      </c>
      <c r="F1089" s="43" t="s">
        <v>352</v>
      </c>
      <c r="G1089" s="43" t="s">
        <v>232</v>
      </c>
      <c r="H1089" s="43" t="s">
        <v>207</v>
      </c>
      <c r="I1089" s="44">
        <v>45591</v>
      </c>
      <c r="J1089" s="44">
        <v>45630</v>
      </c>
      <c r="K1089" s="45">
        <v>6</v>
      </c>
      <c r="L1089" s="45">
        <v>391.5027</v>
      </c>
      <c r="M1089" s="45">
        <v>1094.76</v>
      </c>
      <c r="N1089" s="45">
        <v>9</v>
      </c>
      <c r="O1089" s="45">
        <v>597.96810000000005</v>
      </c>
      <c r="P1089" s="62">
        <f t="shared" si="17"/>
        <v>15</v>
      </c>
    </row>
    <row r="1090" spans="1:16" x14ac:dyDescent="0.25">
      <c r="A1090" s="43" t="s">
        <v>200</v>
      </c>
      <c r="B1090" s="43" t="s">
        <v>291</v>
      </c>
      <c r="C1090" s="43" t="s">
        <v>265</v>
      </c>
      <c r="D1090" s="43" t="s">
        <v>370</v>
      </c>
      <c r="E1090" s="43" t="s">
        <v>569</v>
      </c>
      <c r="F1090" s="43" t="s">
        <v>352</v>
      </c>
      <c r="G1090" s="43" t="s">
        <v>233</v>
      </c>
      <c r="H1090" s="43" t="s">
        <v>207</v>
      </c>
      <c r="I1090" s="44">
        <v>45590</v>
      </c>
      <c r="J1090" s="44">
        <v>45646</v>
      </c>
      <c r="K1090" s="45">
        <v>27</v>
      </c>
      <c r="L1090" s="45">
        <v>1757.1649</v>
      </c>
      <c r="M1090" s="45">
        <v>4757.24</v>
      </c>
      <c r="N1090" s="45">
        <v>8</v>
      </c>
      <c r="O1090" s="45">
        <v>534.65359999999998</v>
      </c>
      <c r="P1090" s="62">
        <f t="shared" si="17"/>
        <v>35</v>
      </c>
    </row>
    <row r="1091" spans="1:16" x14ac:dyDescent="0.25">
      <c r="A1091" s="43" t="s">
        <v>200</v>
      </c>
      <c r="B1091" s="43" t="s">
        <v>291</v>
      </c>
      <c r="C1091" s="43" t="s">
        <v>265</v>
      </c>
      <c r="D1091" s="43" t="s">
        <v>370</v>
      </c>
      <c r="E1091" s="43" t="s">
        <v>569</v>
      </c>
      <c r="F1091" s="43" t="s">
        <v>352</v>
      </c>
      <c r="G1091" s="43" t="s">
        <v>234</v>
      </c>
      <c r="H1091" s="43" t="s">
        <v>207</v>
      </c>
      <c r="I1091" s="44">
        <v>45590</v>
      </c>
      <c r="J1091" s="44">
        <v>45647</v>
      </c>
      <c r="K1091" s="45">
        <v>37</v>
      </c>
      <c r="L1091" s="45">
        <v>2463.5889999999999</v>
      </c>
      <c r="M1091" s="45">
        <v>6628.27</v>
      </c>
      <c r="N1091" s="45">
        <v>6</v>
      </c>
      <c r="O1091" s="45">
        <v>410.0136</v>
      </c>
      <c r="P1091" s="62">
        <f t="shared" si="17"/>
        <v>43</v>
      </c>
    </row>
    <row r="1092" spans="1:16" x14ac:dyDescent="0.25">
      <c r="A1092" s="43" t="s">
        <v>200</v>
      </c>
      <c r="B1092" s="43" t="s">
        <v>291</v>
      </c>
      <c r="C1092" s="43" t="s">
        <v>265</v>
      </c>
      <c r="D1092" s="43" t="s">
        <v>370</v>
      </c>
      <c r="E1092" s="43" t="s">
        <v>569</v>
      </c>
      <c r="F1092" s="43" t="s">
        <v>352</v>
      </c>
      <c r="G1092" s="43" t="s">
        <v>259</v>
      </c>
      <c r="H1092" s="43" t="s">
        <v>207</v>
      </c>
      <c r="I1092" s="44">
        <v>45591</v>
      </c>
      <c r="J1092" s="44">
        <v>45647</v>
      </c>
      <c r="K1092" s="45">
        <v>2</v>
      </c>
      <c r="L1092" s="45">
        <v>130.125</v>
      </c>
      <c r="M1092" s="45">
        <v>358.28</v>
      </c>
      <c r="N1092" s="45">
        <v>3</v>
      </c>
      <c r="O1092" s="45">
        <v>198.57089999999999</v>
      </c>
      <c r="P1092" s="62">
        <f t="shared" si="17"/>
        <v>5</v>
      </c>
    </row>
    <row r="1093" spans="1:16" x14ac:dyDescent="0.25">
      <c r="A1093" s="43" t="s">
        <v>200</v>
      </c>
      <c r="B1093" s="43" t="s">
        <v>291</v>
      </c>
      <c r="C1093" s="43" t="s">
        <v>265</v>
      </c>
      <c r="D1093" s="43" t="s">
        <v>370</v>
      </c>
      <c r="E1093" s="43" t="s">
        <v>569</v>
      </c>
      <c r="F1093" s="43" t="s">
        <v>352</v>
      </c>
      <c r="G1093" s="43" t="s">
        <v>296</v>
      </c>
      <c r="H1093" s="43" t="s">
        <v>207</v>
      </c>
      <c r="I1093" s="44">
        <v>45591</v>
      </c>
      <c r="J1093" s="44">
        <v>45646</v>
      </c>
      <c r="K1093" s="45">
        <v>16</v>
      </c>
      <c r="L1093" s="45">
        <v>1056.5172</v>
      </c>
      <c r="M1093" s="45">
        <v>2906.09</v>
      </c>
      <c r="N1093" s="45">
        <v>5</v>
      </c>
      <c r="O1093" s="45">
        <v>339.43299999999999</v>
      </c>
      <c r="P1093" s="62">
        <f t="shared" si="17"/>
        <v>21</v>
      </c>
    </row>
    <row r="1094" spans="1:16" x14ac:dyDescent="0.25">
      <c r="A1094" s="43" t="s">
        <v>200</v>
      </c>
      <c r="B1094" s="43" t="s">
        <v>291</v>
      </c>
      <c r="C1094" s="43" t="s">
        <v>265</v>
      </c>
      <c r="D1094" s="43" t="s">
        <v>370</v>
      </c>
      <c r="E1094" s="43" t="s">
        <v>570</v>
      </c>
      <c r="F1094" s="43" t="s">
        <v>352</v>
      </c>
      <c r="G1094" s="43" t="s">
        <v>232</v>
      </c>
      <c r="H1094" s="43" t="s">
        <v>207</v>
      </c>
      <c r="I1094" s="44">
        <v>45432</v>
      </c>
      <c r="J1094" s="44">
        <v>45609</v>
      </c>
      <c r="K1094" s="45">
        <v>1</v>
      </c>
      <c r="L1094" s="45">
        <v>65.0625</v>
      </c>
      <c r="M1094" s="45">
        <v>179.14</v>
      </c>
      <c r="N1094" s="45">
        <v>5</v>
      </c>
      <c r="O1094" s="45">
        <v>325.3125</v>
      </c>
      <c r="P1094" s="62">
        <f t="shared" si="17"/>
        <v>6</v>
      </c>
    </row>
    <row r="1095" spans="1:16" x14ac:dyDescent="0.25">
      <c r="A1095" s="43" t="s">
        <v>200</v>
      </c>
      <c r="B1095" s="43" t="s">
        <v>291</v>
      </c>
      <c r="C1095" s="43" t="s">
        <v>265</v>
      </c>
      <c r="D1095" s="43" t="s">
        <v>370</v>
      </c>
      <c r="E1095" s="43" t="s">
        <v>570</v>
      </c>
      <c r="F1095" s="43" t="s">
        <v>352</v>
      </c>
      <c r="G1095" s="43" t="s">
        <v>233</v>
      </c>
      <c r="H1095" s="43" t="s">
        <v>207</v>
      </c>
      <c r="I1095" s="44">
        <v>45432</v>
      </c>
      <c r="J1095" s="44">
        <v>45609</v>
      </c>
      <c r="K1095" s="45">
        <v>12</v>
      </c>
      <c r="L1095" s="45">
        <v>780.75</v>
      </c>
      <c r="M1095" s="45">
        <v>2169.62</v>
      </c>
      <c r="N1095" s="45">
        <v>1</v>
      </c>
      <c r="O1095" s="45">
        <v>65.0625</v>
      </c>
      <c r="P1095" s="62">
        <f t="shared" si="17"/>
        <v>13</v>
      </c>
    </row>
    <row r="1096" spans="1:16" x14ac:dyDescent="0.25">
      <c r="A1096" s="43" t="s">
        <v>200</v>
      </c>
      <c r="B1096" s="43" t="s">
        <v>291</v>
      </c>
      <c r="C1096" s="43" t="s">
        <v>265</v>
      </c>
      <c r="D1096" s="43" t="s">
        <v>370</v>
      </c>
      <c r="E1096" s="43" t="s">
        <v>570</v>
      </c>
      <c r="F1096" s="43" t="s">
        <v>352</v>
      </c>
      <c r="G1096" s="43" t="s">
        <v>234</v>
      </c>
      <c r="H1096" s="43" t="s">
        <v>207</v>
      </c>
      <c r="I1096" s="44">
        <v>45432</v>
      </c>
      <c r="J1096" s="44">
        <v>45645</v>
      </c>
      <c r="K1096" s="45">
        <v>19</v>
      </c>
      <c r="L1096" s="45">
        <v>1245.636</v>
      </c>
      <c r="M1096" s="45">
        <v>3403.71</v>
      </c>
      <c r="N1096" s="45">
        <v>8</v>
      </c>
      <c r="O1096" s="45">
        <v>547.25760000000002</v>
      </c>
      <c r="P1096" s="62">
        <f t="shared" ref="P1096:P1159" si="18">K1096+N1096</f>
        <v>27</v>
      </c>
    </row>
    <row r="1097" spans="1:16" x14ac:dyDescent="0.25">
      <c r="A1097" s="43" t="s">
        <v>200</v>
      </c>
      <c r="B1097" s="43" t="s">
        <v>291</v>
      </c>
      <c r="C1097" s="43" t="s">
        <v>265</v>
      </c>
      <c r="D1097" s="43" t="s">
        <v>370</v>
      </c>
      <c r="E1097" s="43" t="s">
        <v>570</v>
      </c>
      <c r="F1097" s="43" t="s">
        <v>352</v>
      </c>
      <c r="G1097" s="43" t="s">
        <v>259</v>
      </c>
      <c r="H1097" s="43" t="s">
        <v>207</v>
      </c>
      <c r="I1097" s="44">
        <v>45432</v>
      </c>
      <c r="J1097" s="44">
        <v>45591</v>
      </c>
      <c r="K1097" s="45">
        <v>0</v>
      </c>
      <c r="L1097" s="45">
        <v>0</v>
      </c>
      <c r="M1097" s="45">
        <v>0</v>
      </c>
      <c r="N1097" s="45">
        <v>2</v>
      </c>
      <c r="O1097" s="45">
        <v>130.125</v>
      </c>
      <c r="P1097" s="62">
        <f t="shared" si="18"/>
        <v>2</v>
      </c>
    </row>
    <row r="1098" spans="1:16" x14ac:dyDescent="0.25">
      <c r="A1098" s="43" t="s">
        <v>200</v>
      </c>
      <c r="B1098" s="43" t="s">
        <v>291</v>
      </c>
      <c r="C1098" s="43" t="s">
        <v>265</v>
      </c>
      <c r="D1098" s="43" t="s">
        <v>370</v>
      </c>
      <c r="E1098" s="43" t="s">
        <v>570</v>
      </c>
      <c r="F1098" s="43" t="s">
        <v>352</v>
      </c>
      <c r="G1098" s="43" t="s">
        <v>296</v>
      </c>
      <c r="H1098" s="43" t="s">
        <v>207</v>
      </c>
      <c r="I1098" s="44">
        <v>45432</v>
      </c>
      <c r="J1098" s="44">
        <v>45645</v>
      </c>
      <c r="K1098" s="45">
        <v>6</v>
      </c>
      <c r="L1098" s="45">
        <v>393.06040000000002</v>
      </c>
      <c r="M1098" s="45">
        <v>1114.68</v>
      </c>
      <c r="N1098" s="45">
        <v>8</v>
      </c>
      <c r="O1098" s="45">
        <v>544.36879999999996</v>
      </c>
      <c r="P1098" s="62">
        <f t="shared" si="18"/>
        <v>14</v>
      </c>
    </row>
    <row r="1099" spans="1:16" x14ac:dyDescent="0.25">
      <c r="A1099" s="43" t="s">
        <v>200</v>
      </c>
      <c r="B1099" s="43" t="s">
        <v>291</v>
      </c>
      <c r="C1099" s="43" t="s">
        <v>265</v>
      </c>
      <c r="D1099" s="43" t="s">
        <v>370</v>
      </c>
      <c r="E1099" s="43" t="s">
        <v>571</v>
      </c>
      <c r="F1099" s="43" t="s">
        <v>352</v>
      </c>
      <c r="G1099" s="43" t="s">
        <v>234</v>
      </c>
      <c r="H1099" s="43" t="s">
        <v>207</v>
      </c>
      <c r="I1099" s="44">
        <v>45621</v>
      </c>
      <c r="J1099" s="44">
        <v>45621</v>
      </c>
      <c r="K1099" s="45">
        <v>0</v>
      </c>
      <c r="L1099" s="45">
        <v>0</v>
      </c>
      <c r="M1099" s="45">
        <v>0</v>
      </c>
      <c r="N1099" s="45">
        <v>2</v>
      </c>
      <c r="O1099" s="45">
        <v>136.89160000000001</v>
      </c>
      <c r="P1099" s="62">
        <f t="shared" si="18"/>
        <v>2</v>
      </c>
    </row>
    <row r="1100" spans="1:16" x14ac:dyDescent="0.25">
      <c r="A1100" s="43" t="s">
        <v>200</v>
      </c>
      <c r="B1100" s="43" t="s">
        <v>291</v>
      </c>
      <c r="C1100" s="43" t="s">
        <v>265</v>
      </c>
      <c r="D1100" s="43" t="s">
        <v>370</v>
      </c>
      <c r="E1100" s="43" t="s">
        <v>572</v>
      </c>
      <c r="F1100" s="43" t="s">
        <v>352</v>
      </c>
      <c r="G1100" s="43" t="s">
        <v>232</v>
      </c>
      <c r="H1100" s="43" t="s">
        <v>218</v>
      </c>
      <c r="I1100" s="44">
        <v>45593</v>
      </c>
      <c r="J1100" s="44">
        <v>45629</v>
      </c>
      <c r="K1100" s="45">
        <v>1</v>
      </c>
      <c r="L1100" s="45">
        <v>65.022000000000006</v>
      </c>
      <c r="M1100" s="45">
        <v>179.15</v>
      </c>
      <c r="N1100" s="45">
        <v>5</v>
      </c>
      <c r="O1100" s="45">
        <v>328.49099999999999</v>
      </c>
      <c r="P1100" s="62">
        <f t="shared" si="18"/>
        <v>6</v>
      </c>
    </row>
    <row r="1101" spans="1:16" x14ac:dyDescent="0.25">
      <c r="A1101" s="43" t="s">
        <v>200</v>
      </c>
      <c r="B1101" s="43" t="s">
        <v>291</v>
      </c>
      <c r="C1101" s="43" t="s">
        <v>265</v>
      </c>
      <c r="D1101" s="43" t="s">
        <v>370</v>
      </c>
      <c r="E1101" s="43" t="s">
        <v>572</v>
      </c>
      <c r="F1101" s="43" t="s">
        <v>352</v>
      </c>
      <c r="G1101" s="43" t="s">
        <v>233</v>
      </c>
      <c r="H1101" s="43" t="s">
        <v>218</v>
      </c>
      <c r="I1101" s="44">
        <v>45593</v>
      </c>
      <c r="J1101" s="44">
        <v>45630</v>
      </c>
      <c r="K1101" s="45">
        <v>1</v>
      </c>
      <c r="L1101" s="45">
        <v>65.022000000000006</v>
      </c>
      <c r="M1101" s="45">
        <v>179.14</v>
      </c>
      <c r="N1101" s="45">
        <v>5</v>
      </c>
      <c r="O1101" s="45">
        <v>328.49099999999999</v>
      </c>
      <c r="P1101" s="62">
        <f t="shared" si="18"/>
        <v>6</v>
      </c>
    </row>
    <row r="1102" spans="1:16" x14ac:dyDescent="0.25">
      <c r="A1102" s="43" t="s">
        <v>200</v>
      </c>
      <c r="B1102" s="43" t="s">
        <v>291</v>
      </c>
      <c r="C1102" s="43" t="s">
        <v>265</v>
      </c>
      <c r="D1102" s="43" t="s">
        <v>370</v>
      </c>
      <c r="E1102" s="43" t="s">
        <v>572</v>
      </c>
      <c r="F1102" s="43" t="s">
        <v>352</v>
      </c>
      <c r="G1102" s="43" t="s">
        <v>234</v>
      </c>
      <c r="H1102" s="43" t="s">
        <v>218</v>
      </c>
      <c r="I1102" s="44">
        <v>45593</v>
      </c>
      <c r="J1102" s="44">
        <v>45643</v>
      </c>
      <c r="K1102" s="45">
        <v>4</v>
      </c>
      <c r="L1102" s="45">
        <v>264.36739999999998</v>
      </c>
      <c r="M1102" s="45">
        <v>736.48</v>
      </c>
      <c r="N1102" s="45">
        <v>4</v>
      </c>
      <c r="O1102" s="45">
        <v>269.33359999999999</v>
      </c>
      <c r="P1102" s="62">
        <f t="shared" si="18"/>
        <v>8</v>
      </c>
    </row>
    <row r="1103" spans="1:16" x14ac:dyDescent="0.25">
      <c r="A1103" s="43" t="s">
        <v>200</v>
      </c>
      <c r="B1103" s="43" t="s">
        <v>291</v>
      </c>
      <c r="C1103" s="43" t="s">
        <v>265</v>
      </c>
      <c r="D1103" s="43" t="s">
        <v>370</v>
      </c>
      <c r="E1103" s="43" t="s">
        <v>572</v>
      </c>
      <c r="F1103" s="43" t="s">
        <v>352</v>
      </c>
      <c r="G1103" s="43" t="s">
        <v>296</v>
      </c>
      <c r="H1103" s="43" t="s">
        <v>218</v>
      </c>
      <c r="I1103" s="44">
        <v>45593</v>
      </c>
      <c r="J1103" s="44">
        <v>45638</v>
      </c>
      <c r="K1103" s="45">
        <v>2</v>
      </c>
      <c r="L1103" s="45">
        <v>131.17099999999999</v>
      </c>
      <c r="M1103" s="45">
        <v>378.19</v>
      </c>
      <c r="N1103" s="45">
        <v>3</v>
      </c>
      <c r="O1103" s="45">
        <v>200.7012</v>
      </c>
      <c r="P1103" s="62">
        <f t="shared" si="18"/>
        <v>5</v>
      </c>
    </row>
    <row r="1104" spans="1:16" x14ac:dyDescent="0.25">
      <c r="A1104" s="43" t="s">
        <v>200</v>
      </c>
      <c r="B1104" s="43" t="s">
        <v>291</v>
      </c>
      <c r="C1104" s="43" t="s">
        <v>265</v>
      </c>
      <c r="D1104" s="43" t="s">
        <v>370</v>
      </c>
      <c r="E1104" s="43" t="s">
        <v>573</v>
      </c>
      <c r="F1104" s="43" t="s">
        <v>352</v>
      </c>
      <c r="G1104" s="43" t="s">
        <v>232</v>
      </c>
      <c r="H1104" s="43" t="s">
        <v>218</v>
      </c>
      <c r="I1104" s="44">
        <v>45610</v>
      </c>
      <c r="J1104" s="44">
        <v>45622</v>
      </c>
      <c r="K1104" s="45">
        <v>2</v>
      </c>
      <c r="L1104" s="45">
        <v>130.72020000000001</v>
      </c>
      <c r="M1104" s="45">
        <v>358.28</v>
      </c>
      <c r="N1104" s="45">
        <v>0</v>
      </c>
      <c r="O1104" s="45">
        <v>0</v>
      </c>
      <c r="P1104" s="62">
        <f t="shared" si="18"/>
        <v>2</v>
      </c>
    </row>
    <row r="1105" spans="1:16" x14ac:dyDescent="0.25">
      <c r="A1105" s="43" t="s">
        <v>200</v>
      </c>
      <c r="B1105" s="43" t="s">
        <v>291</v>
      </c>
      <c r="C1105" s="43" t="s">
        <v>265</v>
      </c>
      <c r="D1105" s="43" t="s">
        <v>370</v>
      </c>
      <c r="E1105" s="43" t="s">
        <v>573</v>
      </c>
      <c r="F1105" s="43" t="s">
        <v>352</v>
      </c>
      <c r="G1105" s="43" t="s">
        <v>233</v>
      </c>
      <c r="H1105" s="43" t="s">
        <v>218</v>
      </c>
      <c r="I1105" s="44">
        <v>45610</v>
      </c>
      <c r="J1105" s="44">
        <v>45619</v>
      </c>
      <c r="K1105" s="45">
        <v>3</v>
      </c>
      <c r="L1105" s="45">
        <v>196.03200000000001</v>
      </c>
      <c r="M1105" s="45">
        <v>537.42999999999995</v>
      </c>
      <c r="N1105" s="45">
        <v>0</v>
      </c>
      <c r="O1105" s="45">
        <v>0</v>
      </c>
      <c r="P1105" s="62">
        <f t="shared" si="18"/>
        <v>3</v>
      </c>
    </row>
    <row r="1106" spans="1:16" x14ac:dyDescent="0.25">
      <c r="A1106" s="43" t="s">
        <v>200</v>
      </c>
      <c r="B1106" s="43" t="s">
        <v>291</v>
      </c>
      <c r="C1106" s="43" t="s">
        <v>265</v>
      </c>
      <c r="D1106" s="43" t="s">
        <v>370</v>
      </c>
      <c r="E1106" s="43" t="s">
        <v>573</v>
      </c>
      <c r="F1106" s="43" t="s">
        <v>352</v>
      </c>
      <c r="G1106" s="43" t="s">
        <v>234</v>
      </c>
      <c r="H1106" s="43" t="s">
        <v>218</v>
      </c>
      <c r="I1106" s="44">
        <v>45610</v>
      </c>
      <c r="J1106" s="44">
        <v>45618</v>
      </c>
      <c r="K1106" s="45">
        <v>7</v>
      </c>
      <c r="L1106" s="45">
        <v>463.23099999999999</v>
      </c>
      <c r="M1106" s="45">
        <v>1254</v>
      </c>
      <c r="N1106" s="45">
        <v>0</v>
      </c>
      <c r="O1106" s="45">
        <v>0</v>
      </c>
      <c r="P1106" s="62">
        <f t="shared" si="18"/>
        <v>7</v>
      </c>
    </row>
    <row r="1107" spans="1:16" x14ac:dyDescent="0.25">
      <c r="A1107" s="43" t="s">
        <v>200</v>
      </c>
      <c r="B1107" s="43" t="s">
        <v>291</v>
      </c>
      <c r="C1107" s="43" t="s">
        <v>265</v>
      </c>
      <c r="D1107" s="43" t="s">
        <v>370</v>
      </c>
      <c r="E1107" s="43" t="s">
        <v>573</v>
      </c>
      <c r="F1107" s="43" t="s">
        <v>352</v>
      </c>
      <c r="G1107" s="43" t="s">
        <v>296</v>
      </c>
      <c r="H1107" s="43" t="s">
        <v>218</v>
      </c>
      <c r="I1107" s="44">
        <v>45610</v>
      </c>
      <c r="J1107" s="44">
        <v>45622</v>
      </c>
      <c r="K1107" s="45">
        <v>1</v>
      </c>
      <c r="L1107" s="45">
        <v>63.268799999999999</v>
      </c>
      <c r="M1107" s="45">
        <v>179.14</v>
      </c>
      <c r="N1107" s="45">
        <v>0</v>
      </c>
      <c r="O1107" s="45">
        <v>0</v>
      </c>
      <c r="P1107" s="62">
        <f t="shared" si="18"/>
        <v>1</v>
      </c>
    </row>
    <row r="1108" spans="1:16" x14ac:dyDescent="0.25">
      <c r="A1108" s="43" t="s">
        <v>200</v>
      </c>
      <c r="B1108" s="43" t="s">
        <v>291</v>
      </c>
      <c r="C1108" s="43" t="s">
        <v>265</v>
      </c>
      <c r="D1108" s="43" t="s">
        <v>370</v>
      </c>
      <c r="E1108" s="43" t="s">
        <v>574</v>
      </c>
      <c r="F1108" s="43" t="s">
        <v>539</v>
      </c>
      <c r="G1108" s="43" t="s">
        <v>232</v>
      </c>
      <c r="H1108" s="43" t="s">
        <v>218</v>
      </c>
      <c r="I1108" s="44">
        <v>45591</v>
      </c>
      <c r="J1108" s="44">
        <v>45605</v>
      </c>
      <c r="K1108" s="45">
        <v>0</v>
      </c>
      <c r="L1108" s="45">
        <v>0</v>
      </c>
      <c r="M1108" s="45">
        <v>0</v>
      </c>
      <c r="N1108" s="45">
        <v>2</v>
      </c>
      <c r="O1108" s="45">
        <v>119.7796</v>
      </c>
      <c r="P1108" s="62">
        <f t="shared" si="18"/>
        <v>2</v>
      </c>
    </row>
    <row r="1109" spans="1:16" x14ac:dyDescent="0.25">
      <c r="A1109" s="43" t="s">
        <v>200</v>
      </c>
      <c r="B1109" s="43" t="s">
        <v>291</v>
      </c>
      <c r="C1109" s="43" t="s">
        <v>265</v>
      </c>
      <c r="D1109" s="43" t="s">
        <v>370</v>
      </c>
      <c r="E1109" s="43" t="s">
        <v>574</v>
      </c>
      <c r="F1109" s="43" t="s">
        <v>539</v>
      </c>
      <c r="G1109" s="43" t="s">
        <v>233</v>
      </c>
      <c r="H1109" s="43" t="s">
        <v>218</v>
      </c>
      <c r="I1109" s="44">
        <v>45591</v>
      </c>
      <c r="J1109" s="44">
        <v>45626</v>
      </c>
      <c r="K1109" s="45">
        <v>7</v>
      </c>
      <c r="L1109" s="45">
        <v>426.84870000000001</v>
      </c>
      <c r="M1109" s="45">
        <v>1134</v>
      </c>
      <c r="N1109" s="45">
        <v>5</v>
      </c>
      <c r="O1109" s="45">
        <v>315.12349999999998</v>
      </c>
      <c r="P1109" s="62">
        <f t="shared" si="18"/>
        <v>12</v>
      </c>
    </row>
    <row r="1110" spans="1:16" x14ac:dyDescent="0.25">
      <c r="A1110" s="43" t="s">
        <v>200</v>
      </c>
      <c r="B1110" s="43" t="s">
        <v>291</v>
      </c>
      <c r="C1110" s="43" t="s">
        <v>265</v>
      </c>
      <c r="D1110" s="43" t="s">
        <v>370</v>
      </c>
      <c r="E1110" s="43" t="s">
        <v>574</v>
      </c>
      <c r="F1110" s="43" t="s">
        <v>539</v>
      </c>
      <c r="G1110" s="43" t="s">
        <v>234</v>
      </c>
      <c r="H1110" s="43" t="s">
        <v>218</v>
      </c>
      <c r="I1110" s="44">
        <v>45591</v>
      </c>
      <c r="J1110" s="44">
        <v>45622</v>
      </c>
      <c r="K1110" s="45">
        <v>3</v>
      </c>
      <c r="L1110" s="45">
        <v>181.09460000000001</v>
      </c>
      <c r="M1110" s="45">
        <v>486</v>
      </c>
      <c r="N1110" s="45">
        <v>2</v>
      </c>
      <c r="O1110" s="45">
        <v>123.45699999999999</v>
      </c>
      <c r="P1110" s="62">
        <f t="shared" si="18"/>
        <v>5</v>
      </c>
    </row>
    <row r="1111" spans="1:16" x14ac:dyDescent="0.25">
      <c r="A1111" s="43" t="s">
        <v>200</v>
      </c>
      <c r="B1111" s="43" t="s">
        <v>291</v>
      </c>
      <c r="C1111" s="43" t="s">
        <v>265</v>
      </c>
      <c r="D1111" s="43" t="s">
        <v>370</v>
      </c>
      <c r="E1111" s="43" t="s">
        <v>574</v>
      </c>
      <c r="F1111" s="43" t="s">
        <v>539</v>
      </c>
      <c r="G1111" s="43" t="s">
        <v>296</v>
      </c>
      <c r="H1111" s="43" t="s">
        <v>218</v>
      </c>
      <c r="I1111" s="44">
        <v>45591</v>
      </c>
      <c r="J1111" s="44">
        <v>45621</v>
      </c>
      <c r="K1111" s="45">
        <v>1</v>
      </c>
      <c r="L1111" s="45">
        <v>59.889800000000001</v>
      </c>
      <c r="M1111" s="45">
        <v>162</v>
      </c>
      <c r="N1111" s="45">
        <v>1</v>
      </c>
      <c r="O1111" s="45">
        <v>60.927900000000001</v>
      </c>
      <c r="P1111" s="62">
        <f t="shared" si="18"/>
        <v>2</v>
      </c>
    </row>
    <row r="1112" spans="1:16" x14ac:dyDescent="0.25">
      <c r="A1112" s="43" t="s">
        <v>200</v>
      </c>
      <c r="B1112" s="43" t="s">
        <v>291</v>
      </c>
      <c r="C1112" s="43" t="s">
        <v>265</v>
      </c>
      <c r="D1112" s="43" t="s">
        <v>370</v>
      </c>
      <c r="E1112" s="43" t="s">
        <v>575</v>
      </c>
      <c r="F1112" s="43" t="s">
        <v>556</v>
      </c>
      <c r="G1112" s="43" t="s">
        <v>232</v>
      </c>
      <c r="H1112" s="43" t="s">
        <v>218</v>
      </c>
      <c r="I1112" s="44">
        <v>45576</v>
      </c>
      <c r="J1112" s="44">
        <v>45624</v>
      </c>
      <c r="K1112" s="45">
        <v>1</v>
      </c>
      <c r="L1112" s="45">
        <v>65.022000000000006</v>
      </c>
      <c r="M1112" s="45">
        <v>199.04</v>
      </c>
      <c r="N1112" s="45">
        <v>0</v>
      </c>
      <c r="O1112" s="45">
        <v>0</v>
      </c>
      <c r="P1112" s="62">
        <f t="shared" si="18"/>
        <v>1</v>
      </c>
    </row>
    <row r="1113" spans="1:16" x14ac:dyDescent="0.25">
      <c r="A1113" s="43" t="s">
        <v>200</v>
      </c>
      <c r="B1113" s="43" t="s">
        <v>291</v>
      </c>
      <c r="C1113" s="43" t="s">
        <v>265</v>
      </c>
      <c r="D1113" s="43" t="s">
        <v>370</v>
      </c>
      <c r="E1113" s="43" t="s">
        <v>575</v>
      </c>
      <c r="F1113" s="43" t="s">
        <v>556</v>
      </c>
      <c r="G1113" s="43" t="s">
        <v>233</v>
      </c>
      <c r="H1113" s="43" t="s">
        <v>218</v>
      </c>
      <c r="I1113" s="44">
        <v>45576</v>
      </c>
      <c r="J1113" s="44">
        <v>45638</v>
      </c>
      <c r="K1113" s="45">
        <v>6</v>
      </c>
      <c r="L1113" s="45">
        <v>397.57029999999997</v>
      </c>
      <c r="M1113" s="45">
        <v>1035.04</v>
      </c>
      <c r="N1113" s="45">
        <v>0</v>
      </c>
      <c r="O1113" s="45">
        <v>0</v>
      </c>
      <c r="P1113" s="62">
        <f t="shared" si="18"/>
        <v>6</v>
      </c>
    </row>
    <row r="1114" spans="1:16" x14ac:dyDescent="0.25">
      <c r="A1114" s="43" t="s">
        <v>200</v>
      </c>
      <c r="B1114" s="43" t="s">
        <v>291</v>
      </c>
      <c r="C1114" s="43" t="s">
        <v>265</v>
      </c>
      <c r="D1114" s="43" t="s">
        <v>370</v>
      </c>
      <c r="E1114" s="43" t="s">
        <v>575</v>
      </c>
      <c r="F1114" s="43" t="s">
        <v>556</v>
      </c>
      <c r="G1114" s="43" t="s">
        <v>234</v>
      </c>
      <c r="H1114" s="43" t="s">
        <v>218</v>
      </c>
      <c r="I1114" s="44">
        <v>45576</v>
      </c>
      <c r="J1114" s="44">
        <v>45632</v>
      </c>
      <c r="K1114" s="45">
        <v>7</v>
      </c>
      <c r="L1114" s="45">
        <v>465.29730000000001</v>
      </c>
      <c r="M1114" s="45">
        <v>1253.98</v>
      </c>
      <c r="N1114" s="45">
        <v>0</v>
      </c>
      <c r="O1114" s="45">
        <v>0</v>
      </c>
      <c r="P1114" s="62">
        <f t="shared" si="18"/>
        <v>7</v>
      </c>
    </row>
    <row r="1115" spans="1:16" x14ac:dyDescent="0.25">
      <c r="A1115" s="43" t="s">
        <v>200</v>
      </c>
      <c r="B1115" s="43" t="s">
        <v>291</v>
      </c>
      <c r="C1115" s="43" t="s">
        <v>265</v>
      </c>
      <c r="D1115" s="43" t="s">
        <v>370</v>
      </c>
      <c r="E1115" s="43" t="s">
        <v>575</v>
      </c>
      <c r="F1115" s="43" t="s">
        <v>556</v>
      </c>
      <c r="G1115" s="43" t="s">
        <v>296</v>
      </c>
      <c r="H1115" s="43" t="s">
        <v>218</v>
      </c>
      <c r="I1115" s="44">
        <v>45593</v>
      </c>
      <c r="J1115" s="44">
        <v>45630</v>
      </c>
      <c r="K1115" s="45">
        <v>2</v>
      </c>
      <c r="L1115" s="45">
        <v>131.17099999999999</v>
      </c>
      <c r="M1115" s="45">
        <v>358.29</v>
      </c>
      <c r="N1115" s="45">
        <v>0</v>
      </c>
      <c r="O1115" s="45">
        <v>0</v>
      </c>
      <c r="P1115" s="62">
        <f t="shared" si="18"/>
        <v>2</v>
      </c>
    </row>
    <row r="1116" spans="1:16" x14ac:dyDescent="0.25">
      <c r="A1116" s="43" t="s">
        <v>200</v>
      </c>
      <c r="B1116" s="43" t="s">
        <v>291</v>
      </c>
      <c r="C1116" s="43" t="s">
        <v>265</v>
      </c>
      <c r="D1116" s="43" t="s">
        <v>370</v>
      </c>
      <c r="E1116" s="43" t="s">
        <v>576</v>
      </c>
      <c r="F1116" s="43" t="s">
        <v>556</v>
      </c>
      <c r="G1116" s="43" t="s">
        <v>232</v>
      </c>
      <c r="H1116" s="43" t="s">
        <v>349</v>
      </c>
      <c r="I1116" s="44">
        <v>45617</v>
      </c>
      <c r="J1116" s="44">
        <v>45617</v>
      </c>
      <c r="K1116" s="45">
        <v>1</v>
      </c>
      <c r="L1116" s="45">
        <v>65.0625</v>
      </c>
      <c r="M1116" s="45">
        <v>170.57</v>
      </c>
      <c r="N1116" s="45">
        <v>0</v>
      </c>
      <c r="O1116" s="45">
        <v>0</v>
      </c>
      <c r="P1116" s="62">
        <f t="shared" si="18"/>
        <v>1</v>
      </c>
    </row>
    <row r="1117" spans="1:16" x14ac:dyDescent="0.25">
      <c r="A1117" s="43" t="s">
        <v>200</v>
      </c>
      <c r="B1117" s="43" t="s">
        <v>291</v>
      </c>
      <c r="C1117" s="43" t="s">
        <v>265</v>
      </c>
      <c r="D1117" s="43" t="s">
        <v>370</v>
      </c>
      <c r="E1117" s="43" t="s">
        <v>576</v>
      </c>
      <c r="F1117" s="43" t="s">
        <v>556</v>
      </c>
      <c r="G1117" s="43" t="s">
        <v>233</v>
      </c>
      <c r="H1117" s="43" t="s">
        <v>349</v>
      </c>
      <c r="I1117" s="44">
        <v>45617</v>
      </c>
      <c r="J1117" s="44">
        <v>45637</v>
      </c>
      <c r="K1117" s="45">
        <v>3</v>
      </c>
      <c r="L1117" s="45">
        <v>193.99770000000001</v>
      </c>
      <c r="M1117" s="45">
        <v>511.71</v>
      </c>
      <c r="N1117" s="45">
        <v>6</v>
      </c>
      <c r="O1117" s="45">
        <v>413.31540000000001</v>
      </c>
      <c r="P1117" s="62">
        <f t="shared" si="18"/>
        <v>9</v>
      </c>
    </row>
    <row r="1118" spans="1:16" x14ac:dyDescent="0.25">
      <c r="A1118" s="43" t="s">
        <v>200</v>
      </c>
      <c r="B1118" s="43" t="s">
        <v>291</v>
      </c>
      <c r="C1118" s="43" t="s">
        <v>265</v>
      </c>
      <c r="D1118" s="43" t="s">
        <v>370</v>
      </c>
      <c r="E1118" s="43" t="s">
        <v>576</v>
      </c>
      <c r="F1118" s="43" t="s">
        <v>556</v>
      </c>
      <c r="G1118" s="43" t="s">
        <v>234</v>
      </c>
      <c r="H1118" s="43" t="s">
        <v>349</v>
      </c>
      <c r="I1118" s="44">
        <v>45617</v>
      </c>
      <c r="J1118" s="44">
        <v>45640</v>
      </c>
      <c r="K1118" s="45">
        <v>6</v>
      </c>
      <c r="L1118" s="45">
        <v>395.78820000000002</v>
      </c>
      <c r="M1118" s="45">
        <v>1004.49</v>
      </c>
      <c r="N1118" s="45">
        <v>1</v>
      </c>
      <c r="O1118" s="45">
        <v>69.157600000000002</v>
      </c>
      <c r="P1118" s="62">
        <f t="shared" si="18"/>
        <v>7</v>
      </c>
    </row>
    <row r="1119" spans="1:16" x14ac:dyDescent="0.25">
      <c r="A1119" s="43" t="s">
        <v>200</v>
      </c>
      <c r="B1119" s="43" t="s">
        <v>291</v>
      </c>
      <c r="C1119" s="43" t="s">
        <v>265</v>
      </c>
      <c r="D1119" s="43" t="s">
        <v>370</v>
      </c>
      <c r="E1119" s="43" t="s">
        <v>576</v>
      </c>
      <c r="F1119" s="43" t="s">
        <v>556</v>
      </c>
      <c r="G1119" s="43" t="s">
        <v>296</v>
      </c>
      <c r="H1119" s="43" t="s">
        <v>349</v>
      </c>
      <c r="I1119" s="44">
        <v>45617</v>
      </c>
      <c r="J1119" s="44">
        <v>45637</v>
      </c>
      <c r="K1119" s="45">
        <v>2</v>
      </c>
      <c r="L1119" s="45">
        <v>131.25280000000001</v>
      </c>
      <c r="M1119" s="45">
        <v>341.14</v>
      </c>
      <c r="N1119" s="45">
        <v>3</v>
      </c>
      <c r="O1119" s="45">
        <v>208.3032</v>
      </c>
      <c r="P1119" s="62">
        <f t="shared" si="18"/>
        <v>5</v>
      </c>
    </row>
    <row r="1120" spans="1:16" x14ac:dyDescent="0.25">
      <c r="A1120" s="43" t="s">
        <v>200</v>
      </c>
      <c r="B1120" s="43" t="s">
        <v>291</v>
      </c>
      <c r="C1120" s="43" t="s">
        <v>265</v>
      </c>
      <c r="D1120" s="43" t="s">
        <v>370</v>
      </c>
      <c r="E1120" s="43" t="s">
        <v>577</v>
      </c>
      <c r="F1120" s="43" t="s">
        <v>516</v>
      </c>
      <c r="G1120" s="43" t="s">
        <v>232</v>
      </c>
      <c r="H1120" s="43" t="s">
        <v>207</v>
      </c>
      <c r="I1120" s="44">
        <v>45591</v>
      </c>
      <c r="J1120" s="44">
        <v>45605</v>
      </c>
      <c r="K1120" s="45">
        <v>3</v>
      </c>
      <c r="L1120" s="45">
        <v>153.96780000000001</v>
      </c>
      <c r="M1120" s="45">
        <v>450.66</v>
      </c>
      <c r="N1120" s="45">
        <v>7</v>
      </c>
      <c r="O1120" s="45">
        <v>359.25819999999999</v>
      </c>
      <c r="P1120" s="62">
        <f t="shared" si="18"/>
        <v>10</v>
      </c>
    </row>
    <row r="1121" spans="1:16" x14ac:dyDescent="0.25">
      <c r="A1121" s="43" t="s">
        <v>200</v>
      </c>
      <c r="B1121" s="43" t="s">
        <v>291</v>
      </c>
      <c r="C1121" s="43" t="s">
        <v>265</v>
      </c>
      <c r="D1121" s="43" t="s">
        <v>370</v>
      </c>
      <c r="E1121" s="43" t="s">
        <v>577</v>
      </c>
      <c r="F1121" s="43" t="s">
        <v>516</v>
      </c>
      <c r="G1121" s="43" t="s">
        <v>233</v>
      </c>
      <c r="H1121" s="43" t="s">
        <v>207</v>
      </c>
      <c r="I1121" s="44">
        <v>45591</v>
      </c>
      <c r="J1121" s="44">
        <v>45643</v>
      </c>
      <c r="K1121" s="45">
        <v>21</v>
      </c>
      <c r="L1121" s="45">
        <v>1100.607</v>
      </c>
      <c r="M1121" s="45">
        <v>2993.74</v>
      </c>
      <c r="N1121" s="45">
        <v>4</v>
      </c>
      <c r="O1121" s="45">
        <v>214.48480000000001</v>
      </c>
      <c r="P1121" s="62">
        <f t="shared" si="18"/>
        <v>25</v>
      </c>
    </row>
    <row r="1122" spans="1:16" x14ac:dyDescent="0.25">
      <c r="A1122" s="43" t="s">
        <v>200</v>
      </c>
      <c r="B1122" s="43" t="s">
        <v>291</v>
      </c>
      <c r="C1122" s="43" t="s">
        <v>265</v>
      </c>
      <c r="D1122" s="43" t="s">
        <v>370</v>
      </c>
      <c r="E1122" s="43" t="s">
        <v>577</v>
      </c>
      <c r="F1122" s="43" t="s">
        <v>516</v>
      </c>
      <c r="G1122" s="43" t="s">
        <v>234</v>
      </c>
      <c r="H1122" s="43" t="s">
        <v>207</v>
      </c>
      <c r="I1122" s="44">
        <v>45591</v>
      </c>
      <c r="J1122" s="44">
        <v>45638</v>
      </c>
      <c r="K1122" s="45">
        <v>16</v>
      </c>
      <c r="L1122" s="45">
        <v>838.20730000000003</v>
      </c>
      <c r="M1122" s="45">
        <v>2317.7199999999998</v>
      </c>
      <c r="N1122" s="45">
        <v>7</v>
      </c>
      <c r="O1122" s="45">
        <v>376.90660000000003</v>
      </c>
      <c r="P1122" s="62">
        <f t="shared" si="18"/>
        <v>23</v>
      </c>
    </row>
    <row r="1123" spans="1:16" x14ac:dyDescent="0.25">
      <c r="A1123" s="43" t="s">
        <v>200</v>
      </c>
      <c r="B1123" s="43" t="s">
        <v>291</v>
      </c>
      <c r="C1123" s="43" t="s">
        <v>265</v>
      </c>
      <c r="D1123" s="43" t="s">
        <v>370</v>
      </c>
      <c r="E1123" s="43" t="s">
        <v>577</v>
      </c>
      <c r="F1123" s="43" t="s">
        <v>516</v>
      </c>
      <c r="G1123" s="43" t="s">
        <v>259</v>
      </c>
      <c r="H1123" s="43" t="s">
        <v>207</v>
      </c>
      <c r="I1123" s="44">
        <v>45591</v>
      </c>
      <c r="J1123" s="44">
        <v>45591</v>
      </c>
      <c r="K1123" s="45">
        <v>0</v>
      </c>
      <c r="L1123" s="45">
        <v>0</v>
      </c>
      <c r="M1123" s="45">
        <v>0</v>
      </c>
      <c r="N1123" s="45">
        <v>4</v>
      </c>
      <c r="O1123" s="45">
        <v>205.29040000000001</v>
      </c>
      <c r="P1123" s="62">
        <f t="shared" si="18"/>
        <v>4</v>
      </c>
    </row>
    <row r="1124" spans="1:16" x14ac:dyDescent="0.25">
      <c r="A1124" s="43" t="s">
        <v>200</v>
      </c>
      <c r="B1124" s="43" t="s">
        <v>291</v>
      </c>
      <c r="C1124" s="43" t="s">
        <v>265</v>
      </c>
      <c r="D1124" s="43" t="s">
        <v>370</v>
      </c>
      <c r="E1124" s="43" t="s">
        <v>577</v>
      </c>
      <c r="F1124" s="43" t="s">
        <v>516</v>
      </c>
      <c r="G1124" s="43" t="s">
        <v>296</v>
      </c>
      <c r="H1124" s="43" t="s">
        <v>207</v>
      </c>
      <c r="I1124" s="44">
        <v>45591</v>
      </c>
      <c r="J1124" s="44">
        <v>45644</v>
      </c>
      <c r="K1124" s="45">
        <v>14</v>
      </c>
      <c r="L1124" s="45">
        <v>737.18409999999994</v>
      </c>
      <c r="M1124" s="45">
        <v>2028</v>
      </c>
      <c r="N1124" s="45">
        <v>4</v>
      </c>
      <c r="O1124" s="45">
        <v>215.58</v>
      </c>
      <c r="P1124" s="62">
        <f t="shared" si="18"/>
        <v>18</v>
      </c>
    </row>
    <row r="1125" spans="1:16" x14ac:dyDescent="0.25">
      <c r="A1125" s="43" t="s">
        <v>200</v>
      </c>
      <c r="B1125" s="43" t="s">
        <v>291</v>
      </c>
      <c r="C1125" s="43" t="s">
        <v>265</v>
      </c>
      <c r="D1125" s="43" t="s">
        <v>370</v>
      </c>
      <c r="E1125" s="43" t="s">
        <v>578</v>
      </c>
      <c r="F1125" s="43" t="s">
        <v>516</v>
      </c>
      <c r="G1125" s="43" t="s">
        <v>234</v>
      </c>
      <c r="H1125" s="43" t="s">
        <v>207</v>
      </c>
      <c r="I1125" s="44">
        <v>45621</v>
      </c>
      <c r="J1125" s="44">
        <v>45621</v>
      </c>
      <c r="K1125" s="45">
        <v>0</v>
      </c>
      <c r="L1125" s="45">
        <v>0</v>
      </c>
      <c r="M1125" s="45">
        <v>0</v>
      </c>
      <c r="N1125" s="45">
        <v>2</v>
      </c>
      <c r="O1125" s="45">
        <v>107.9828</v>
      </c>
      <c r="P1125" s="62">
        <f t="shared" si="18"/>
        <v>2</v>
      </c>
    </row>
    <row r="1126" spans="1:16" x14ac:dyDescent="0.25">
      <c r="A1126" s="43" t="s">
        <v>200</v>
      </c>
      <c r="B1126" s="43" t="s">
        <v>291</v>
      </c>
      <c r="C1126" s="43" t="s">
        <v>265</v>
      </c>
      <c r="D1126" s="43" t="s">
        <v>370</v>
      </c>
      <c r="E1126" s="43" t="s">
        <v>579</v>
      </c>
      <c r="F1126" s="43" t="s">
        <v>228</v>
      </c>
      <c r="G1126" s="43" t="s">
        <v>232</v>
      </c>
      <c r="H1126" s="43" t="s">
        <v>207</v>
      </c>
      <c r="I1126" s="44">
        <v>45633</v>
      </c>
      <c r="J1126" s="44">
        <v>45633</v>
      </c>
      <c r="K1126" s="45">
        <v>0</v>
      </c>
      <c r="L1126" s="45">
        <v>0</v>
      </c>
      <c r="M1126" s="45">
        <v>0</v>
      </c>
      <c r="N1126" s="45">
        <v>5</v>
      </c>
      <c r="O1126" s="45">
        <v>315.233</v>
      </c>
      <c r="P1126" s="62">
        <f t="shared" si="18"/>
        <v>5</v>
      </c>
    </row>
    <row r="1127" spans="1:16" x14ac:dyDescent="0.25">
      <c r="A1127" s="43" t="s">
        <v>200</v>
      </c>
      <c r="B1127" s="43" t="s">
        <v>291</v>
      </c>
      <c r="C1127" s="43" t="s">
        <v>265</v>
      </c>
      <c r="D1127" s="43" t="s">
        <v>370</v>
      </c>
      <c r="E1127" s="43" t="s">
        <v>579</v>
      </c>
      <c r="F1127" s="43" t="s">
        <v>228</v>
      </c>
      <c r="G1127" s="43" t="s">
        <v>233</v>
      </c>
      <c r="H1127" s="43" t="s">
        <v>207</v>
      </c>
      <c r="I1127" s="44">
        <v>45633</v>
      </c>
      <c r="J1127" s="44">
        <v>45633</v>
      </c>
      <c r="K1127" s="45">
        <v>2</v>
      </c>
      <c r="L1127" s="45">
        <v>126.0932</v>
      </c>
      <c r="M1127" s="45">
        <v>360</v>
      </c>
      <c r="N1127" s="45">
        <v>1</v>
      </c>
      <c r="O1127" s="45">
        <v>63.046599999999998</v>
      </c>
      <c r="P1127" s="62">
        <f t="shared" si="18"/>
        <v>3</v>
      </c>
    </row>
    <row r="1128" spans="1:16" x14ac:dyDescent="0.25">
      <c r="A1128" s="43" t="s">
        <v>200</v>
      </c>
      <c r="B1128" s="43" t="s">
        <v>291</v>
      </c>
      <c r="C1128" s="43" t="s">
        <v>265</v>
      </c>
      <c r="D1128" s="43" t="s">
        <v>370</v>
      </c>
      <c r="E1128" s="43" t="s">
        <v>579</v>
      </c>
      <c r="F1128" s="43" t="s">
        <v>228</v>
      </c>
      <c r="G1128" s="43" t="s">
        <v>234</v>
      </c>
      <c r="H1128" s="43" t="s">
        <v>207</v>
      </c>
      <c r="I1128" s="44">
        <v>45633</v>
      </c>
      <c r="J1128" s="44">
        <v>45633</v>
      </c>
      <c r="K1128" s="45">
        <v>2</v>
      </c>
      <c r="L1128" s="45">
        <v>126.0932</v>
      </c>
      <c r="M1128" s="45">
        <v>324</v>
      </c>
      <c r="N1128" s="45">
        <v>13</v>
      </c>
      <c r="O1128" s="45">
        <v>819.60580000000004</v>
      </c>
      <c r="P1128" s="62">
        <f t="shared" si="18"/>
        <v>15</v>
      </c>
    </row>
    <row r="1129" spans="1:16" x14ac:dyDescent="0.25">
      <c r="A1129" s="43" t="s">
        <v>200</v>
      </c>
      <c r="B1129" s="43" t="s">
        <v>291</v>
      </c>
      <c r="C1129" s="43" t="s">
        <v>265</v>
      </c>
      <c r="D1129" s="43" t="s">
        <v>370</v>
      </c>
      <c r="E1129" s="43" t="s">
        <v>579</v>
      </c>
      <c r="F1129" s="43" t="s">
        <v>228</v>
      </c>
      <c r="G1129" s="43" t="s">
        <v>259</v>
      </c>
      <c r="H1129" s="43" t="s">
        <v>207</v>
      </c>
      <c r="I1129" s="44">
        <v>45633</v>
      </c>
      <c r="J1129" s="44">
        <v>45633</v>
      </c>
      <c r="K1129" s="45">
        <v>0</v>
      </c>
      <c r="L1129" s="45">
        <v>0</v>
      </c>
      <c r="M1129" s="45">
        <v>0</v>
      </c>
      <c r="N1129" s="45">
        <v>2</v>
      </c>
      <c r="O1129" s="45">
        <v>126.0932</v>
      </c>
      <c r="P1129" s="62">
        <f t="shared" si="18"/>
        <v>2</v>
      </c>
    </row>
    <row r="1130" spans="1:16" x14ac:dyDescent="0.25">
      <c r="A1130" s="43" t="s">
        <v>200</v>
      </c>
      <c r="B1130" s="43" t="s">
        <v>291</v>
      </c>
      <c r="C1130" s="43" t="s">
        <v>265</v>
      </c>
      <c r="D1130" s="43" t="s">
        <v>370</v>
      </c>
      <c r="E1130" s="43" t="s">
        <v>579</v>
      </c>
      <c r="F1130" s="43" t="s">
        <v>228</v>
      </c>
      <c r="G1130" s="43" t="s">
        <v>296</v>
      </c>
      <c r="H1130" s="43" t="s">
        <v>207</v>
      </c>
      <c r="I1130" s="44">
        <v>45633</v>
      </c>
      <c r="J1130" s="44">
        <v>45633</v>
      </c>
      <c r="K1130" s="45">
        <v>3</v>
      </c>
      <c r="L1130" s="45">
        <v>189.13980000000001</v>
      </c>
      <c r="M1130" s="45">
        <v>504</v>
      </c>
      <c r="N1130" s="45">
        <v>0</v>
      </c>
      <c r="O1130" s="45">
        <v>0</v>
      </c>
      <c r="P1130" s="62">
        <f t="shared" si="18"/>
        <v>3</v>
      </c>
    </row>
    <row r="1131" spans="1:16" x14ac:dyDescent="0.25">
      <c r="A1131" s="43" t="s">
        <v>200</v>
      </c>
      <c r="B1131" s="43" t="s">
        <v>291</v>
      </c>
      <c r="C1131" s="43" t="s">
        <v>265</v>
      </c>
      <c r="D1131" s="43" t="s">
        <v>370</v>
      </c>
      <c r="E1131" s="43" t="s">
        <v>580</v>
      </c>
      <c r="F1131" s="43" t="s">
        <v>228</v>
      </c>
      <c r="G1131" s="43" t="s">
        <v>232</v>
      </c>
      <c r="H1131" s="43" t="s">
        <v>218</v>
      </c>
      <c r="I1131" s="44">
        <v>45593</v>
      </c>
      <c r="J1131" s="44">
        <v>45635</v>
      </c>
      <c r="K1131" s="45">
        <v>4</v>
      </c>
      <c r="L1131" s="45">
        <v>242.42429999999999</v>
      </c>
      <c r="M1131" s="45">
        <v>648</v>
      </c>
      <c r="N1131" s="45">
        <v>5</v>
      </c>
      <c r="O1131" s="45">
        <v>309.041</v>
      </c>
      <c r="P1131" s="62">
        <f t="shared" si="18"/>
        <v>9</v>
      </c>
    </row>
    <row r="1132" spans="1:16" x14ac:dyDescent="0.25">
      <c r="A1132" s="43" t="s">
        <v>200</v>
      </c>
      <c r="B1132" s="43" t="s">
        <v>291</v>
      </c>
      <c r="C1132" s="43" t="s">
        <v>265</v>
      </c>
      <c r="D1132" s="43" t="s">
        <v>370</v>
      </c>
      <c r="E1132" s="43" t="s">
        <v>580</v>
      </c>
      <c r="F1132" s="43" t="s">
        <v>228</v>
      </c>
      <c r="G1132" s="43" t="s">
        <v>233</v>
      </c>
      <c r="H1132" s="43" t="s">
        <v>218</v>
      </c>
      <c r="I1132" s="44">
        <v>45593</v>
      </c>
      <c r="J1132" s="44">
        <v>45647</v>
      </c>
      <c r="K1132" s="45">
        <v>10</v>
      </c>
      <c r="L1132" s="45">
        <v>616.39639999999997</v>
      </c>
      <c r="M1132" s="45">
        <v>1638</v>
      </c>
      <c r="N1132" s="45">
        <v>4</v>
      </c>
      <c r="O1132" s="45">
        <v>250.86840000000001</v>
      </c>
      <c r="P1132" s="62">
        <f t="shared" si="18"/>
        <v>14</v>
      </c>
    </row>
    <row r="1133" spans="1:16" x14ac:dyDescent="0.25">
      <c r="A1133" s="43" t="s">
        <v>200</v>
      </c>
      <c r="B1133" s="43" t="s">
        <v>291</v>
      </c>
      <c r="C1133" s="43" t="s">
        <v>265</v>
      </c>
      <c r="D1133" s="43" t="s">
        <v>370</v>
      </c>
      <c r="E1133" s="43" t="s">
        <v>580</v>
      </c>
      <c r="F1133" s="43" t="s">
        <v>228</v>
      </c>
      <c r="G1133" s="43" t="s">
        <v>234</v>
      </c>
      <c r="H1133" s="43" t="s">
        <v>218</v>
      </c>
      <c r="I1133" s="44">
        <v>45593</v>
      </c>
      <c r="J1133" s="44">
        <v>45647</v>
      </c>
      <c r="K1133" s="45">
        <v>8</v>
      </c>
      <c r="L1133" s="45">
        <v>492.56110000000001</v>
      </c>
      <c r="M1133" s="45">
        <v>1278</v>
      </c>
      <c r="N1133" s="45">
        <v>4</v>
      </c>
      <c r="O1133" s="45">
        <v>251.03120000000001</v>
      </c>
      <c r="P1133" s="62">
        <f t="shared" si="18"/>
        <v>12</v>
      </c>
    </row>
    <row r="1134" spans="1:16" x14ac:dyDescent="0.25">
      <c r="A1134" s="43" t="s">
        <v>200</v>
      </c>
      <c r="B1134" s="43" t="s">
        <v>291</v>
      </c>
      <c r="C1134" s="43" t="s">
        <v>265</v>
      </c>
      <c r="D1134" s="43" t="s">
        <v>370</v>
      </c>
      <c r="E1134" s="43" t="s">
        <v>580</v>
      </c>
      <c r="F1134" s="43" t="s">
        <v>228</v>
      </c>
      <c r="G1134" s="43" t="s">
        <v>296</v>
      </c>
      <c r="H1134" s="43" t="s">
        <v>218</v>
      </c>
      <c r="I1134" s="44">
        <v>45593</v>
      </c>
      <c r="J1134" s="44">
        <v>45635</v>
      </c>
      <c r="K1134" s="45">
        <v>4</v>
      </c>
      <c r="L1134" s="45">
        <v>242.67359999999999</v>
      </c>
      <c r="M1134" s="45">
        <v>648</v>
      </c>
      <c r="N1134" s="45">
        <v>3</v>
      </c>
      <c r="O1134" s="45">
        <v>189.01230000000001</v>
      </c>
      <c r="P1134" s="62">
        <f t="shared" si="18"/>
        <v>7</v>
      </c>
    </row>
    <row r="1135" spans="1:16" x14ac:dyDescent="0.25">
      <c r="A1135" s="43" t="s">
        <v>200</v>
      </c>
      <c r="B1135" s="43" t="s">
        <v>291</v>
      </c>
      <c r="C1135" s="43" t="s">
        <v>265</v>
      </c>
      <c r="D1135" s="43" t="s">
        <v>370</v>
      </c>
      <c r="E1135" s="43" t="s">
        <v>581</v>
      </c>
      <c r="F1135" s="43" t="s">
        <v>228</v>
      </c>
      <c r="G1135" s="43" t="s">
        <v>232</v>
      </c>
      <c r="H1135" s="43" t="s">
        <v>218</v>
      </c>
      <c r="I1135" s="44">
        <v>45593</v>
      </c>
      <c r="J1135" s="44">
        <v>45630</v>
      </c>
      <c r="K1135" s="45">
        <v>2</v>
      </c>
      <c r="L1135" s="45">
        <v>119.7796</v>
      </c>
      <c r="M1135" s="45">
        <v>324</v>
      </c>
      <c r="N1135" s="45">
        <v>5</v>
      </c>
      <c r="O1135" s="45">
        <v>305.67750000000001</v>
      </c>
      <c r="P1135" s="62">
        <f t="shared" si="18"/>
        <v>7</v>
      </c>
    </row>
    <row r="1136" spans="1:16" x14ac:dyDescent="0.25">
      <c r="A1136" s="43" t="s">
        <v>200</v>
      </c>
      <c r="B1136" s="43" t="s">
        <v>291</v>
      </c>
      <c r="C1136" s="43" t="s">
        <v>265</v>
      </c>
      <c r="D1136" s="43" t="s">
        <v>370</v>
      </c>
      <c r="E1136" s="43" t="s">
        <v>581</v>
      </c>
      <c r="F1136" s="43" t="s">
        <v>228</v>
      </c>
      <c r="G1136" s="43" t="s">
        <v>233</v>
      </c>
      <c r="H1136" s="43" t="s">
        <v>218</v>
      </c>
      <c r="I1136" s="44">
        <v>45593</v>
      </c>
      <c r="J1136" s="44">
        <v>45647</v>
      </c>
      <c r="K1136" s="45">
        <v>12</v>
      </c>
      <c r="L1136" s="45">
        <v>741.21289999999999</v>
      </c>
      <c r="M1136" s="45">
        <v>1998</v>
      </c>
      <c r="N1136" s="45">
        <v>4</v>
      </c>
      <c r="O1136" s="45">
        <v>251.2816</v>
      </c>
      <c r="P1136" s="62">
        <f t="shared" si="18"/>
        <v>16</v>
      </c>
    </row>
    <row r="1137" spans="1:16" x14ac:dyDescent="0.25">
      <c r="A1137" s="43" t="s">
        <v>200</v>
      </c>
      <c r="B1137" s="43" t="s">
        <v>291</v>
      </c>
      <c r="C1137" s="43" t="s">
        <v>265</v>
      </c>
      <c r="D1137" s="43" t="s">
        <v>370</v>
      </c>
      <c r="E1137" s="43" t="s">
        <v>581</v>
      </c>
      <c r="F1137" s="43" t="s">
        <v>228</v>
      </c>
      <c r="G1137" s="43" t="s">
        <v>234</v>
      </c>
      <c r="H1137" s="43" t="s">
        <v>218</v>
      </c>
      <c r="I1137" s="44">
        <v>45593</v>
      </c>
      <c r="J1137" s="44">
        <v>45647</v>
      </c>
      <c r="K1137" s="45">
        <v>9</v>
      </c>
      <c r="L1137" s="45">
        <v>555.07270000000005</v>
      </c>
      <c r="M1137" s="45">
        <v>1458</v>
      </c>
      <c r="N1137" s="45">
        <v>3</v>
      </c>
      <c r="O1137" s="45">
        <v>188.5197</v>
      </c>
      <c r="P1137" s="62">
        <f t="shared" si="18"/>
        <v>12</v>
      </c>
    </row>
    <row r="1138" spans="1:16" x14ac:dyDescent="0.25">
      <c r="A1138" s="43" t="s">
        <v>200</v>
      </c>
      <c r="B1138" s="43" t="s">
        <v>291</v>
      </c>
      <c r="C1138" s="43" t="s">
        <v>265</v>
      </c>
      <c r="D1138" s="43" t="s">
        <v>370</v>
      </c>
      <c r="E1138" s="43" t="s">
        <v>581</v>
      </c>
      <c r="F1138" s="43" t="s">
        <v>228</v>
      </c>
      <c r="G1138" s="43" t="s">
        <v>296</v>
      </c>
      <c r="H1138" s="43" t="s">
        <v>218</v>
      </c>
      <c r="I1138" s="44">
        <v>45593</v>
      </c>
      <c r="J1138" s="44">
        <v>45647</v>
      </c>
      <c r="K1138" s="45">
        <v>3</v>
      </c>
      <c r="L1138" s="45">
        <v>179.6694</v>
      </c>
      <c r="M1138" s="45">
        <v>486</v>
      </c>
      <c r="N1138" s="45">
        <v>3</v>
      </c>
      <c r="O1138" s="45">
        <v>189.01230000000001</v>
      </c>
      <c r="P1138" s="62">
        <f t="shared" si="18"/>
        <v>6</v>
      </c>
    </row>
    <row r="1139" spans="1:16" x14ac:dyDescent="0.25">
      <c r="A1139" s="43" t="s">
        <v>200</v>
      </c>
      <c r="B1139" s="43" t="s">
        <v>291</v>
      </c>
      <c r="C1139" s="43" t="s">
        <v>265</v>
      </c>
      <c r="D1139" s="43" t="s">
        <v>582</v>
      </c>
      <c r="E1139" s="43" t="s">
        <v>583</v>
      </c>
      <c r="F1139" s="43" t="s">
        <v>544</v>
      </c>
      <c r="G1139" s="43" t="s">
        <v>232</v>
      </c>
      <c r="H1139" s="43" t="s">
        <v>226</v>
      </c>
      <c r="I1139" s="44">
        <v>45638</v>
      </c>
      <c r="J1139" s="44">
        <v>45638</v>
      </c>
      <c r="K1139" s="45">
        <v>0</v>
      </c>
      <c r="L1139" s="45">
        <v>0</v>
      </c>
      <c r="M1139" s="45">
        <v>0</v>
      </c>
      <c r="N1139" s="45">
        <v>6</v>
      </c>
      <c r="O1139" s="45">
        <v>378.02460000000002</v>
      </c>
      <c r="P1139" s="62">
        <f t="shared" si="18"/>
        <v>6</v>
      </c>
    </row>
    <row r="1140" spans="1:16" x14ac:dyDescent="0.25">
      <c r="A1140" s="43" t="s">
        <v>200</v>
      </c>
      <c r="B1140" s="43" t="s">
        <v>291</v>
      </c>
      <c r="C1140" s="43" t="s">
        <v>265</v>
      </c>
      <c r="D1140" s="43" t="s">
        <v>582</v>
      </c>
      <c r="E1140" s="43" t="s">
        <v>583</v>
      </c>
      <c r="F1140" s="43" t="s">
        <v>544</v>
      </c>
      <c r="G1140" s="43" t="s">
        <v>233</v>
      </c>
      <c r="H1140" s="43" t="s">
        <v>226</v>
      </c>
      <c r="I1140" s="44">
        <v>45638</v>
      </c>
      <c r="J1140" s="44">
        <v>45638</v>
      </c>
      <c r="K1140" s="45">
        <v>0</v>
      </c>
      <c r="L1140" s="45">
        <v>0</v>
      </c>
      <c r="M1140" s="45">
        <v>0</v>
      </c>
      <c r="N1140" s="45">
        <v>7</v>
      </c>
      <c r="O1140" s="45">
        <v>441.02870000000001</v>
      </c>
      <c r="P1140" s="62">
        <f t="shared" si="18"/>
        <v>7</v>
      </c>
    </row>
    <row r="1141" spans="1:16" x14ac:dyDescent="0.25">
      <c r="A1141" s="43" t="s">
        <v>200</v>
      </c>
      <c r="B1141" s="43" t="s">
        <v>291</v>
      </c>
      <c r="C1141" s="43" t="s">
        <v>265</v>
      </c>
      <c r="D1141" s="43" t="s">
        <v>582</v>
      </c>
      <c r="E1141" s="43" t="s">
        <v>583</v>
      </c>
      <c r="F1141" s="43" t="s">
        <v>544</v>
      </c>
      <c r="G1141" s="43" t="s">
        <v>234</v>
      </c>
      <c r="H1141" s="43" t="s">
        <v>226</v>
      </c>
      <c r="I1141" s="44">
        <v>45638</v>
      </c>
      <c r="J1141" s="44">
        <v>45645</v>
      </c>
      <c r="K1141" s="45">
        <v>0</v>
      </c>
      <c r="L1141" s="45">
        <v>0</v>
      </c>
      <c r="M1141" s="45">
        <v>0</v>
      </c>
      <c r="N1141" s="45">
        <v>5</v>
      </c>
      <c r="O1141" s="45">
        <v>315.02050000000003</v>
      </c>
      <c r="P1141" s="62">
        <f t="shared" si="18"/>
        <v>5</v>
      </c>
    </row>
    <row r="1142" spans="1:16" x14ac:dyDescent="0.25">
      <c r="A1142" s="43" t="s">
        <v>200</v>
      </c>
      <c r="B1142" s="43" t="s">
        <v>291</v>
      </c>
      <c r="C1142" s="43" t="s">
        <v>265</v>
      </c>
      <c r="D1142" s="43" t="s">
        <v>582</v>
      </c>
      <c r="E1142" s="43" t="s">
        <v>583</v>
      </c>
      <c r="F1142" s="43" t="s">
        <v>544</v>
      </c>
      <c r="G1142" s="43" t="s">
        <v>296</v>
      </c>
      <c r="H1142" s="43" t="s">
        <v>226</v>
      </c>
      <c r="I1142" s="44">
        <v>45638</v>
      </c>
      <c r="J1142" s="44">
        <v>45638</v>
      </c>
      <c r="K1142" s="45">
        <v>0</v>
      </c>
      <c r="L1142" s="45">
        <v>0</v>
      </c>
      <c r="M1142" s="45">
        <v>0</v>
      </c>
      <c r="N1142" s="45">
        <v>3</v>
      </c>
      <c r="O1142" s="45">
        <v>189.01230000000001</v>
      </c>
      <c r="P1142" s="62">
        <f t="shared" si="18"/>
        <v>3</v>
      </c>
    </row>
    <row r="1143" spans="1:16" x14ac:dyDescent="0.25">
      <c r="A1143" s="43" t="s">
        <v>200</v>
      </c>
      <c r="B1143" s="43" t="s">
        <v>291</v>
      </c>
      <c r="C1143" s="43" t="s">
        <v>265</v>
      </c>
      <c r="D1143" s="43" t="s">
        <v>582</v>
      </c>
      <c r="E1143" s="43" t="s">
        <v>584</v>
      </c>
      <c r="F1143" s="43" t="s">
        <v>585</v>
      </c>
      <c r="G1143" s="43" t="s">
        <v>232</v>
      </c>
      <c r="H1143" s="43" t="s">
        <v>218</v>
      </c>
      <c r="I1143" s="44">
        <v>45591</v>
      </c>
      <c r="J1143" s="44">
        <v>45646</v>
      </c>
      <c r="K1143" s="45">
        <v>4</v>
      </c>
      <c r="L1143" s="45">
        <v>191.71199999999999</v>
      </c>
      <c r="M1143" s="45">
        <v>482.46</v>
      </c>
      <c r="N1143" s="45">
        <v>10</v>
      </c>
      <c r="O1143" s="45">
        <v>481.77199999999999</v>
      </c>
      <c r="P1143" s="62">
        <f t="shared" si="18"/>
        <v>14</v>
      </c>
    </row>
    <row r="1144" spans="1:16" x14ac:dyDescent="0.25">
      <c r="A1144" s="43" t="s">
        <v>200</v>
      </c>
      <c r="B1144" s="43" t="s">
        <v>291</v>
      </c>
      <c r="C1144" s="43" t="s">
        <v>265</v>
      </c>
      <c r="D1144" s="43" t="s">
        <v>582</v>
      </c>
      <c r="E1144" s="43" t="s">
        <v>584</v>
      </c>
      <c r="F1144" s="43" t="s">
        <v>585</v>
      </c>
      <c r="G1144" s="43" t="s">
        <v>233</v>
      </c>
      <c r="H1144" s="43" t="s">
        <v>218</v>
      </c>
      <c r="I1144" s="44">
        <v>45591</v>
      </c>
      <c r="J1144" s="44">
        <v>45646</v>
      </c>
      <c r="K1144" s="45">
        <v>26</v>
      </c>
      <c r="L1144" s="45">
        <v>1247.9033999999999</v>
      </c>
      <c r="M1144" s="45">
        <v>3320.52</v>
      </c>
      <c r="N1144" s="45">
        <v>12</v>
      </c>
      <c r="O1144" s="45">
        <v>583.33079999999995</v>
      </c>
      <c r="P1144" s="62">
        <f t="shared" si="18"/>
        <v>38</v>
      </c>
    </row>
    <row r="1145" spans="1:16" x14ac:dyDescent="0.25">
      <c r="A1145" s="43" t="s">
        <v>200</v>
      </c>
      <c r="B1145" s="43" t="s">
        <v>291</v>
      </c>
      <c r="C1145" s="43" t="s">
        <v>265</v>
      </c>
      <c r="D1145" s="43" t="s">
        <v>582</v>
      </c>
      <c r="E1145" s="43" t="s">
        <v>584</v>
      </c>
      <c r="F1145" s="43" t="s">
        <v>585</v>
      </c>
      <c r="G1145" s="43" t="s">
        <v>234</v>
      </c>
      <c r="H1145" s="43" t="s">
        <v>218</v>
      </c>
      <c r="I1145" s="44">
        <v>45591</v>
      </c>
      <c r="J1145" s="44">
        <v>45647</v>
      </c>
      <c r="K1145" s="45">
        <v>29</v>
      </c>
      <c r="L1145" s="45">
        <v>1404.3440000000001</v>
      </c>
      <c r="M1145" s="45">
        <v>3703.71</v>
      </c>
      <c r="N1145" s="45">
        <v>7</v>
      </c>
      <c r="O1145" s="45">
        <v>348.4803</v>
      </c>
      <c r="P1145" s="62">
        <f t="shared" si="18"/>
        <v>36</v>
      </c>
    </row>
    <row r="1146" spans="1:16" x14ac:dyDescent="0.25">
      <c r="A1146" s="43" t="s">
        <v>200</v>
      </c>
      <c r="B1146" s="43" t="s">
        <v>291</v>
      </c>
      <c r="C1146" s="43" t="s">
        <v>265</v>
      </c>
      <c r="D1146" s="43" t="s">
        <v>582</v>
      </c>
      <c r="E1146" s="43" t="s">
        <v>584</v>
      </c>
      <c r="F1146" s="43" t="s">
        <v>585</v>
      </c>
      <c r="G1146" s="43" t="s">
        <v>259</v>
      </c>
      <c r="H1146" s="43" t="s">
        <v>218</v>
      </c>
      <c r="I1146" s="44">
        <v>45591</v>
      </c>
      <c r="J1146" s="44">
        <v>45591</v>
      </c>
      <c r="K1146" s="45">
        <v>2</v>
      </c>
      <c r="L1146" s="45">
        <v>95.855999999999995</v>
      </c>
      <c r="M1146" s="45">
        <v>255.42</v>
      </c>
      <c r="N1146" s="45">
        <v>2</v>
      </c>
      <c r="O1146" s="45">
        <v>95.855999999999995</v>
      </c>
      <c r="P1146" s="62">
        <f t="shared" si="18"/>
        <v>4</v>
      </c>
    </row>
    <row r="1147" spans="1:16" x14ac:dyDescent="0.25">
      <c r="A1147" s="43" t="s">
        <v>200</v>
      </c>
      <c r="B1147" s="43" t="s">
        <v>291</v>
      </c>
      <c r="C1147" s="43" t="s">
        <v>265</v>
      </c>
      <c r="D1147" s="43" t="s">
        <v>582</v>
      </c>
      <c r="E1147" s="43" t="s">
        <v>584</v>
      </c>
      <c r="F1147" s="43" t="s">
        <v>585</v>
      </c>
      <c r="G1147" s="43" t="s">
        <v>296</v>
      </c>
      <c r="H1147" s="43" t="s">
        <v>218</v>
      </c>
      <c r="I1147" s="44">
        <v>45590</v>
      </c>
      <c r="J1147" s="44">
        <v>45645</v>
      </c>
      <c r="K1147" s="45">
        <v>11</v>
      </c>
      <c r="L1147" s="45">
        <v>531.03639999999996</v>
      </c>
      <c r="M1147" s="45">
        <v>1376.46</v>
      </c>
      <c r="N1147" s="45">
        <v>5</v>
      </c>
      <c r="O1147" s="45">
        <v>248.27350000000001</v>
      </c>
      <c r="P1147" s="62">
        <f t="shared" si="18"/>
        <v>16</v>
      </c>
    </row>
    <row r="1148" spans="1:16" x14ac:dyDescent="0.25">
      <c r="A1148" s="43" t="s">
        <v>200</v>
      </c>
      <c r="B1148" s="43" t="s">
        <v>291</v>
      </c>
      <c r="C1148" s="43" t="s">
        <v>265</v>
      </c>
      <c r="D1148" s="43" t="s">
        <v>582</v>
      </c>
      <c r="E1148" s="43" t="s">
        <v>586</v>
      </c>
      <c r="F1148" s="43" t="s">
        <v>585</v>
      </c>
      <c r="G1148" s="43" t="s">
        <v>232</v>
      </c>
      <c r="H1148" s="43" t="s">
        <v>207</v>
      </c>
      <c r="I1148" s="44">
        <v>45591</v>
      </c>
      <c r="J1148" s="44">
        <v>45640</v>
      </c>
      <c r="K1148" s="45">
        <v>8</v>
      </c>
      <c r="L1148" s="45">
        <v>387.57499999999999</v>
      </c>
      <c r="M1148" s="45">
        <v>1021.71</v>
      </c>
      <c r="N1148" s="45">
        <v>10</v>
      </c>
      <c r="O1148" s="45">
        <v>492.57499999999999</v>
      </c>
      <c r="P1148" s="62">
        <f t="shared" si="18"/>
        <v>18</v>
      </c>
    </row>
    <row r="1149" spans="1:16" x14ac:dyDescent="0.25">
      <c r="A1149" s="43" t="s">
        <v>200</v>
      </c>
      <c r="B1149" s="43" t="s">
        <v>291</v>
      </c>
      <c r="C1149" s="43" t="s">
        <v>265</v>
      </c>
      <c r="D1149" s="43" t="s">
        <v>582</v>
      </c>
      <c r="E1149" s="43" t="s">
        <v>586</v>
      </c>
      <c r="F1149" s="43" t="s">
        <v>585</v>
      </c>
      <c r="G1149" s="43" t="s">
        <v>233</v>
      </c>
      <c r="H1149" s="43" t="s">
        <v>207</v>
      </c>
      <c r="I1149" s="44">
        <v>45591</v>
      </c>
      <c r="J1149" s="44">
        <v>45647</v>
      </c>
      <c r="K1149" s="45">
        <v>32</v>
      </c>
      <c r="L1149" s="45">
        <v>1563.9253000000001</v>
      </c>
      <c r="M1149" s="45">
        <v>4122.26</v>
      </c>
      <c r="N1149" s="45">
        <v>11</v>
      </c>
      <c r="O1149" s="45">
        <v>550.10559999999998</v>
      </c>
      <c r="P1149" s="62">
        <f t="shared" si="18"/>
        <v>43</v>
      </c>
    </row>
    <row r="1150" spans="1:16" x14ac:dyDescent="0.25">
      <c r="A1150" s="43" t="s">
        <v>200</v>
      </c>
      <c r="B1150" s="43" t="s">
        <v>291</v>
      </c>
      <c r="C1150" s="43" t="s">
        <v>265</v>
      </c>
      <c r="D1150" s="43" t="s">
        <v>582</v>
      </c>
      <c r="E1150" s="43" t="s">
        <v>586</v>
      </c>
      <c r="F1150" s="43" t="s">
        <v>585</v>
      </c>
      <c r="G1150" s="43" t="s">
        <v>234</v>
      </c>
      <c r="H1150" s="43" t="s">
        <v>207</v>
      </c>
      <c r="I1150" s="44">
        <v>45591</v>
      </c>
      <c r="J1150" s="44">
        <v>45647</v>
      </c>
      <c r="K1150" s="45">
        <v>37</v>
      </c>
      <c r="L1150" s="45">
        <v>1818.7538999999999</v>
      </c>
      <c r="M1150" s="45">
        <v>4753.7</v>
      </c>
      <c r="N1150" s="45">
        <v>7</v>
      </c>
      <c r="O1150" s="45">
        <v>352.387</v>
      </c>
      <c r="P1150" s="62">
        <f t="shared" si="18"/>
        <v>44</v>
      </c>
    </row>
    <row r="1151" spans="1:16" x14ac:dyDescent="0.25">
      <c r="A1151" s="43" t="s">
        <v>200</v>
      </c>
      <c r="B1151" s="43" t="s">
        <v>291</v>
      </c>
      <c r="C1151" s="43" t="s">
        <v>265</v>
      </c>
      <c r="D1151" s="43" t="s">
        <v>582</v>
      </c>
      <c r="E1151" s="43" t="s">
        <v>586</v>
      </c>
      <c r="F1151" s="43" t="s">
        <v>585</v>
      </c>
      <c r="G1151" s="43" t="s">
        <v>259</v>
      </c>
      <c r="H1151" s="43" t="s">
        <v>207</v>
      </c>
      <c r="I1151" s="44">
        <v>45590</v>
      </c>
      <c r="J1151" s="44">
        <v>45637</v>
      </c>
      <c r="K1151" s="45">
        <v>4</v>
      </c>
      <c r="L1151" s="45">
        <v>194.32409999999999</v>
      </c>
      <c r="M1151" s="45">
        <v>510.85</v>
      </c>
      <c r="N1151" s="45">
        <v>5</v>
      </c>
      <c r="O1151" s="45">
        <v>246.9975</v>
      </c>
      <c r="P1151" s="62">
        <f t="shared" si="18"/>
        <v>9</v>
      </c>
    </row>
    <row r="1152" spans="1:16" x14ac:dyDescent="0.25">
      <c r="A1152" s="43" t="s">
        <v>200</v>
      </c>
      <c r="B1152" s="43" t="s">
        <v>291</v>
      </c>
      <c r="C1152" s="43" t="s">
        <v>265</v>
      </c>
      <c r="D1152" s="43" t="s">
        <v>582</v>
      </c>
      <c r="E1152" s="43" t="s">
        <v>586</v>
      </c>
      <c r="F1152" s="43" t="s">
        <v>585</v>
      </c>
      <c r="G1152" s="43" t="s">
        <v>296</v>
      </c>
      <c r="H1152" s="43" t="s">
        <v>207</v>
      </c>
      <c r="I1152" s="44">
        <v>45591</v>
      </c>
      <c r="J1152" s="44">
        <v>45645</v>
      </c>
      <c r="K1152" s="45">
        <v>11</v>
      </c>
      <c r="L1152" s="45">
        <v>536.78700000000003</v>
      </c>
      <c r="M1152" s="45">
        <v>1433.22</v>
      </c>
      <c r="N1152" s="45">
        <v>5</v>
      </c>
      <c r="O1152" s="45">
        <v>250.01599999999999</v>
      </c>
      <c r="P1152" s="62">
        <f t="shared" si="18"/>
        <v>16</v>
      </c>
    </row>
    <row r="1153" spans="1:16" x14ac:dyDescent="0.25">
      <c r="A1153" s="43" t="s">
        <v>200</v>
      </c>
      <c r="B1153" s="43" t="s">
        <v>291</v>
      </c>
      <c r="C1153" s="43" t="s">
        <v>265</v>
      </c>
      <c r="D1153" s="43" t="s">
        <v>582</v>
      </c>
      <c r="E1153" s="43" t="s">
        <v>587</v>
      </c>
      <c r="F1153" s="43" t="s">
        <v>585</v>
      </c>
      <c r="G1153" s="43" t="s">
        <v>232</v>
      </c>
      <c r="H1153" s="43" t="s">
        <v>226</v>
      </c>
      <c r="I1153" s="44">
        <v>45590</v>
      </c>
      <c r="J1153" s="44">
        <v>45644</v>
      </c>
      <c r="K1153" s="45">
        <v>1</v>
      </c>
      <c r="L1153" s="45">
        <v>48.805300000000003</v>
      </c>
      <c r="M1153" s="45">
        <v>127.71</v>
      </c>
      <c r="N1153" s="45">
        <v>10</v>
      </c>
      <c r="O1153" s="45">
        <v>489.66800000000001</v>
      </c>
      <c r="P1153" s="62">
        <f t="shared" si="18"/>
        <v>11</v>
      </c>
    </row>
    <row r="1154" spans="1:16" x14ac:dyDescent="0.25">
      <c r="A1154" s="43" t="s">
        <v>200</v>
      </c>
      <c r="B1154" s="43" t="s">
        <v>291</v>
      </c>
      <c r="C1154" s="43" t="s">
        <v>265</v>
      </c>
      <c r="D1154" s="43" t="s">
        <v>582</v>
      </c>
      <c r="E1154" s="43" t="s">
        <v>587</v>
      </c>
      <c r="F1154" s="43" t="s">
        <v>585</v>
      </c>
      <c r="G1154" s="43" t="s">
        <v>233</v>
      </c>
      <c r="H1154" s="43" t="s">
        <v>226</v>
      </c>
      <c r="I1154" s="44">
        <v>45591</v>
      </c>
      <c r="J1154" s="44">
        <v>45647</v>
      </c>
      <c r="K1154" s="45">
        <v>2</v>
      </c>
      <c r="L1154" s="45">
        <v>100.2779</v>
      </c>
      <c r="M1154" s="45">
        <v>255.42</v>
      </c>
      <c r="N1154" s="45">
        <v>14</v>
      </c>
      <c r="O1154" s="45">
        <v>702.90359999999998</v>
      </c>
      <c r="P1154" s="62">
        <f t="shared" si="18"/>
        <v>16</v>
      </c>
    </row>
    <row r="1155" spans="1:16" x14ac:dyDescent="0.25">
      <c r="A1155" s="43" t="s">
        <v>200</v>
      </c>
      <c r="B1155" s="43" t="s">
        <v>291</v>
      </c>
      <c r="C1155" s="43" t="s">
        <v>265</v>
      </c>
      <c r="D1155" s="43" t="s">
        <v>582</v>
      </c>
      <c r="E1155" s="43" t="s">
        <v>587</v>
      </c>
      <c r="F1155" s="43" t="s">
        <v>585</v>
      </c>
      <c r="G1155" s="43" t="s">
        <v>234</v>
      </c>
      <c r="H1155" s="43" t="s">
        <v>226</v>
      </c>
      <c r="I1155" s="44">
        <v>45591</v>
      </c>
      <c r="J1155" s="44">
        <v>45646</v>
      </c>
      <c r="K1155" s="45">
        <v>2</v>
      </c>
      <c r="L1155" s="45">
        <v>100.6938</v>
      </c>
      <c r="M1155" s="45">
        <v>269.61</v>
      </c>
      <c r="N1155" s="45">
        <v>8</v>
      </c>
      <c r="O1155" s="45">
        <v>402.80959999999999</v>
      </c>
      <c r="P1155" s="62">
        <f t="shared" si="18"/>
        <v>10</v>
      </c>
    </row>
    <row r="1156" spans="1:16" x14ac:dyDescent="0.25">
      <c r="A1156" s="43" t="s">
        <v>200</v>
      </c>
      <c r="B1156" s="43" t="s">
        <v>291</v>
      </c>
      <c r="C1156" s="43" t="s">
        <v>265</v>
      </c>
      <c r="D1156" s="43" t="s">
        <v>582</v>
      </c>
      <c r="E1156" s="43" t="s">
        <v>587</v>
      </c>
      <c r="F1156" s="43" t="s">
        <v>585</v>
      </c>
      <c r="G1156" s="43" t="s">
        <v>259</v>
      </c>
      <c r="H1156" s="43" t="s">
        <v>226</v>
      </c>
      <c r="I1156" s="44">
        <v>45590</v>
      </c>
      <c r="J1156" s="44">
        <v>45629</v>
      </c>
      <c r="K1156" s="45">
        <v>1</v>
      </c>
      <c r="L1156" s="45">
        <v>48.426499999999997</v>
      </c>
      <c r="M1156" s="45">
        <v>127.72</v>
      </c>
      <c r="N1156" s="45">
        <v>0</v>
      </c>
      <c r="O1156" s="45">
        <v>0</v>
      </c>
      <c r="P1156" s="62">
        <f t="shared" si="18"/>
        <v>1</v>
      </c>
    </row>
    <row r="1157" spans="1:16" x14ac:dyDescent="0.25">
      <c r="A1157" s="43" t="s">
        <v>200</v>
      </c>
      <c r="B1157" s="43" t="s">
        <v>291</v>
      </c>
      <c r="C1157" s="43" t="s">
        <v>265</v>
      </c>
      <c r="D1157" s="43" t="s">
        <v>582</v>
      </c>
      <c r="E1157" s="43" t="s">
        <v>587</v>
      </c>
      <c r="F1157" s="43" t="s">
        <v>585</v>
      </c>
      <c r="G1157" s="43" t="s">
        <v>296</v>
      </c>
      <c r="H1157" s="43" t="s">
        <v>226</v>
      </c>
      <c r="I1157" s="44">
        <v>45591</v>
      </c>
      <c r="J1157" s="44">
        <v>45626</v>
      </c>
      <c r="K1157" s="45">
        <v>1</v>
      </c>
      <c r="L1157" s="45">
        <v>49.822200000000002</v>
      </c>
      <c r="M1157" s="45">
        <v>141.9</v>
      </c>
      <c r="N1157" s="45">
        <v>6</v>
      </c>
      <c r="O1157" s="45">
        <v>298.9332</v>
      </c>
      <c r="P1157" s="62">
        <f t="shared" si="18"/>
        <v>7</v>
      </c>
    </row>
    <row r="1158" spans="1:16" x14ac:dyDescent="0.25">
      <c r="A1158" s="43" t="s">
        <v>200</v>
      </c>
      <c r="B1158" s="43" t="s">
        <v>291</v>
      </c>
      <c r="C1158" s="43" t="s">
        <v>265</v>
      </c>
      <c r="D1158" s="43" t="s">
        <v>582</v>
      </c>
      <c r="E1158" s="43" t="s">
        <v>588</v>
      </c>
      <c r="F1158" s="43" t="s">
        <v>496</v>
      </c>
      <c r="G1158" s="43" t="s">
        <v>232</v>
      </c>
      <c r="H1158" s="43" t="s">
        <v>218</v>
      </c>
      <c r="I1158" s="44">
        <v>45625</v>
      </c>
      <c r="J1158" s="44">
        <v>45625</v>
      </c>
      <c r="K1158" s="45">
        <v>0</v>
      </c>
      <c r="L1158" s="45">
        <v>0</v>
      </c>
      <c r="M1158" s="45">
        <v>0</v>
      </c>
      <c r="N1158" s="45">
        <v>6</v>
      </c>
      <c r="O1158" s="45">
        <v>270.38220000000001</v>
      </c>
      <c r="P1158" s="62">
        <f t="shared" si="18"/>
        <v>6</v>
      </c>
    </row>
    <row r="1159" spans="1:16" x14ac:dyDescent="0.25">
      <c r="A1159" s="43" t="s">
        <v>200</v>
      </c>
      <c r="B1159" s="43" t="s">
        <v>291</v>
      </c>
      <c r="C1159" s="43" t="s">
        <v>265</v>
      </c>
      <c r="D1159" s="43" t="s">
        <v>582</v>
      </c>
      <c r="E1159" s="43" t="s">
        <v>588</v>
      </c>
      <c r="F1159" s="43" t="s">
        <v>496</v>
      </c>
      <c r="G1159" s="43" t="s">
        <v>233</v>
      </c>
      <c r="H1159" s="43" t="s">
        <v>218</v>
      </c>
      <c r="I1159" s="44">
        <v>45625</v>
      </c>
      <c r="J1159" s="44">
        <v>45625</v>
      </c>
      <c r="K1159" s="45">
        <v>1</v>
      </c>
      <c r="L1159" s="45">
        <v>45.063699999999997</v>
      </c>
      <c r="M1159" s="45">
        <v>162</v>
      </c>
      <c r="N1159" s="45">
        <v>6</v>
      </c>
      <c r="O1159" s="45">
        <v>270.38220000000001</v>
      </c>
      <c r="P1159" s="62">
        <f t="shared" si="18"/>
        <v>7</v>
      </c>
    </row>
    <row r="1160" spans="1:16" x14ac:dyDescent="0.25">
      <c r="A1160" s="43" t="s">
        <v>200</v>
      </c>
      <c r="B1160" s="43" t="s">
        <v>291</v>
      </c>
      <c r="C1160" s="43" t="s">
        <v>265</v>
      </c>
      <c r="D1160" s="43" t="s">
        <v>582</v>
      </c>
      <c r="E1160" s="43" t="s">
        <v>588</v>
      </c>
      <c r="F1160" s="43" t="s">
        <v>496</v>
      </c>
      <c r="G1160" s="43" t="s">
        <v>234</v>
      </c>
      <c r="H1160" s="43" t="s">
        <v>218</v>
      </c>
      <c r="I1160" s="44">
        <v>45625</v>
      </c>
      <c r="J1160" s="44">
        <v>45639</v>
      </c>
      <c r="K1160" s="45">
        <v>1</v>
      </c>
      <c r="L1160" s="45">
        <v>45.063699999999997</v>
      </c>
      <c r="M1160" s="45">
        <v>162</v>
      </c>
      <c r="N1160" s="45">
        <v>5</v>
      </c>
      <c r="O1160" s="45">
        <v>225.3185</v>
      </c>
      <c r="P1160" s="62">
        <f t="shared" ref="P1160:P1223" si="19">K1160+N1160</f>
        <v>6</v>
      </c>
    </row>
    <row r="1161" spans="1:16" x14ac:dyDescent="0.25">
      <c r="A1161" s="43" t="s">
        <v>200</v>
      </c>
      <c r="B1161" s="43" t="s">
        <v>291</v>
      </c>
      <c r="C1161" s="43" t="s">
        <v>265</v>
      </c>
      <c r="D1161" s="43" t="s">
        <v>582</v>
      </c>
      <c r="E1161" s="43" t="s">
        <v>588</v>
      </c>
      <c r="F1161" s="43" t="s">
        <v>496</v>
      </c>
      <c r="G1161" s="43" t="s">
        <v>296</v>
      </c>
      <c r="H1161" s="43" t="s">
        <v>218</v>
      </c>
      <c r="I1161" s="44">
        <v>45625</v>
      </c>
      <c r="J1161" s="44">
        <v>45639</v>
      </c>
      <c r="K1161" s="45">
        <v>1</v>
      </c>
      <c r="L1161" s="45">
        <v>45.063699999999997</v>
      </c>
      <c r="M1161" s="45">
        <v>162</v>
      </c>
      <c r="N1161" s="45">
        <v>3</v>
      </c>
      <c r="O1161" s="45">
        <v>135.19110000000001</v>
      </c>
      <c r="P1161" s="62">
        <f t="shared" si="19"/>
        <v>4</v>
      </c>
    </row>
    <row r="1162" spans="1:16" x14ac:dyDescent="0.25">
      <c r="A1162" s="43" t="s">
        <v>200</v>
      </c>
      <c r="B1162" s="43" t="s">
        <v>291</v>
      </c>
      <c r="C1162" s="43" t="s">
        <v>265</v>
      </c>
      <c r="D1162" s="43" t="s">
        <v>582</v>
      </c>
      <c r="E1162" s="43" t="s">
        <v>588</v>
      </c>
      <c r="F1162" s="43" t="s">
        <v>496</v>
      </c>
      <c r="G1162" s="43" t="s">
        <v>368</v>
      </c>
      <c r="H1162" s="43" t="s">
        <v>218</v>
      </c>
      <c r="I1162" s="44">
        <v>45625</v>
      </c>
      <c r="J1162" s="44">
        <v>45625</v>
      </c>
      <c r="K1162" s="45">
        <v>0</v>
      </c>
      <c r="L1162" s="45">
        <v>0</v>
      </c>
      <c r="M1162" s="45">
        <v>0</v>
      </c>
      <c r="N1162" s="45">
        <v>1</v>
      </c>
      <c r="O1162" s="45">
        <v>45.063699999999997</v>
      </c>
      <c r="P1162" s="62">
        <f t="shared" si="19"/>
        <v>1</v>
      </c>
    </row>
    <row r="1163" spans="1:16" x14ac:dyDescent="0.25">
      <c r="A1163" s="43" t="s">
        <v>200</v>
      </c>
      <c r="B1163" s="43" t="s">
        <v>291</v>
      </c>
      <c r="C1163" s="43" t="s">
        <v>265</v>
      </c>
      <c r="D1163" s="43" t="s">
        <v>582</v>
      </c>
      <c r="E1163" s="43" t="s">
        <v>589</v>
      </c>
      <c r="F1163" s="43" t="s">
        <v>496</v>
      </c>
      <c r="G1163" s="43" t="s">
        <v>232</v>
      </c>
      <c r="H1163" s="43" t="s">
        <v>218</v>
      </c>
      <c r="I1163" s="44">
        <v>45625</v>
      </c>
      <c r="J1163" s="44">
        <v>45639</v>
      </c>
      <c r="K1163" s="45">
        <v>2</v>
      </c>
      <c r="L1163" s="45">
        <v>90.127399999999994</v>
      </c>
      <c r="M1163" s="45">
        <v>324</v>
      </c>
      <c r="N1163" s="45">
        <v>5</v>
      </c>
      <c r="O1163" s="45">
        <v>225.3185</v>
      </c>
      <c r="P1163" s="62">
        <f t="shared" si="19"/>
        <v>7</v>
      </c>
    </row>
    <row r="1164" spans="1:16" x14ac:dyDescent="0.25">
      <c r="A1164" s="43" t="s">
        <v>200</v>
      </c>
      <c r="B1164" s="43" t="s">
        <v>291</v>
      </c>
      <c r="C1164" s="43" t="s">
        <v>265</v>
      </c>
      <c r="D1164" s="43" t="s">
        <v>582</v>
      </c>
      <c r="E1164" s="43" t="s">
        <v>589</v>
      </c>
      <c r="F1164" s="43" t="s">
        <v>496</v>
      </c>
      <c r="G1164" s="43" t="s">
        <v>233</v>
      </c>
      <c r="H1164" s="43" t="s">
        <v>218</v>
      </c>
      <c r="I1164" s="44">
        <v>45625</v>
      </c>
      <c r="J1164" s="44">
        <v>45625</v>
      </c>
      <c r="K1164" s="45">
        <v>1</v>
      </c>
      <c r="L1164" s="45">
        <v>45.063699999999997</v>
      </c>
      <c r="M1164" s="45">
        <v>162</v>
      </c>
      <c r="N1164" s="45">
        <v>6</v>
      </c>
      <c r="O1164" s="45">
        <v>270.38220000000001</v>
      </c>
      <c r="P1164" s="62">
        <f t="shared" si="19"/>
        <v>7</v>
      </c>
    </row>
    <row r="1165" spans="1:16" x14ac:dyDescent="0.25">
      <c r="A1165" s="43" t="s">
        <v>200</v>
      </c>
      <c r="B1165" s="43" t="s">
        <v>291</v>
      </c>
      <c r="C1165" s="43" t="s">
        <v>265</v>
      </c>
      <c r="D1165" s="43" t="s">
        <v>582</v>
      </c>
      <c r="E1165" s="43" t="s">
        <v>589</v>
      </c>
      <c r="F1165" s="43" t="s">
        <v>496</v>
      </c>
      <c r="G1165" s="43" t="s">
        <v>234</v>
      </c>
      <c r="H1165" s="43" t="s">
        <v>218</v>
      </c>
      <c r="I1165" s="44">
        <v>45625</v>
      </c>
      <c r="J1165" s="44">
        <v>45638</v>
      </c>
      <c r="K1165" s="45">
        <v>5</v>
      </c>
      <c r="L1165" s="45">
        <v>225.3185</v>
      </c>
      <c r="M1165" s="45">
        <v>828</v>
      </c>
      <c r="N1165" s="45">
        <v>8</v>
      </c>
      <c r="O1165" s="45">
        <v>360.50959999999998</v>
      </c>
      <c r="P1165" s="62">
        <f t="shared" si="19"/>
        <v>13</v>
      </c>
    </row>
    <row r="1166" spans="1:16" x14ac:dyDescent="0.25">
      <c r="A1166" s="43" t="s">
        <v>200</v>
      </c>
      <c r="B1166" s="43" t="s">
        <v>291</v>
      </c>
      <c r="C1166" s="43" t="s">
        <v>265</v>
      </c>
      <c r="D1166" s="43" t="s">
        <v>582</v>
      </c>
      <c r="E1166" s="43" t="s">
        <v>589</v>
      </c>
      <c r="F1166" s="43" t="s">
        <v>496</v>
      </c>
      <c r="G1166" s="43" t="s">
        <v>296</v>
      </c>
      <c r="H1166" s="43" t="s">
        <v>218</v>
      </c>
      <c r="I1166" s="44">
        <v>45625</v>
      </c>
      <c r="J1166" s="44">
        <v>45647</v>
      </c>
      <c r="K1166" s="45">
        <v>3</v>
      </c>
      <c r="L1166" s="45">
        <v>135.19110000000001</v>
      </c>
      <c r="M1166" s="45">
        <v>486</v>
      </c>
      <c r="N1166" s="45">
        <v>4</v>
      </c>
      <c r="O1166" s="45">
        <v>180.25479999999999</v>
      </c>
      <c r="P1166" s="62">
        <f t="shared" si="19"/>
        <v>7</v>
      </c>
    </row>
    <row r="1167" spans="1:16" x14ac:dyDescent="0.25">
      <c r="A1167" s="43" t="s">
        <v>200</v>
      </c>
      <c r="B1167" s="43" t="s">
        <v>291</v>
      </c>
      <c r="C1167" s="43" t="s">
        <v>265</v>
      </c>
      <c r="D1167" s="43" t="s">
        <v>582</v>
      </c>
      <c r="E1167" s="43" t="s">
        <v>589</v>
      </c>
      <c r="F1167" s="43" t="s">
        <v>496</v>
      </c>
      <c r="G1167" s="43" t="s">
        <v>368</v>
      </c>
      <c r="H1167" s="43" t="s">
        <v>218</v>
      </c>
      <c r="I1167" s="44">
        <v>45625</v>
      </c>
      <c r="J1167" s="44">
        <v>45625</v>
      </c>
      <c r="K1167" s="45">
        <v>0</v>
      </c>
      <c r="L1167" s="45">
        <v>0</v>
      </c>
      <c r="M1167" s="45">
        <v>0</v>
      </c>
      <c r="N1167" s="45">
        <v>1</v>
      </c>
      <c r="O1167" s="45">
        <v>45.063699999999997</v>
      </c>
      <c r="P1167" s="62">
        <f t="shared" si="19"/>
        <v>1</v>
      </c>
    </row>
    <row r="1168" spans="1:16" x14ac:dyDescent="0.25">
      <c r="A1168" s="43" t="s">
        <v>200</v>
      </c>
      <c r="B1168" s="43" t="s">
        <v>291</v>
      </c>
      <c r="C1168" s="43" t="s">
        <v>265</v>
      </c>
      <c r="D1168" s="43" t="s">
        <v>582</v>
      </c>
      <c r="E1168" s="43" t="s">
        <v>590</v>
      </c>
      <c r="F1168" s="43" t="s">
        <v>585</v>
      </c>
      <c r="G1168" s="43" t="s">
        <v>232</v>
      </c>
      <c r="H1168" s="43" t="s">
        <v>207</v>
      </c>
      <c r="I1168" s="44">
        <v>45432</v>
      </c>
      <c r="J1168" s="44">
        <v>45646</v>
      </c>
      <c r="K1168" s="45">
        <v>5</v>
      </c>
      <c r="L1168" s="45">
        <v>214.2672</v>
      </c>
      <c r="M1168" s="45">
        <v>608.94000000000005</v>
      </c>
      <c r="N1168" s="45">
        <v>7</v>
      </c>
      <c r="O1168" s="45">
        <v>301.53199999999998</v>
      </c>
      <c r="P1168" s="62">
        <f t="shared" si="19"/>
        <v>12</v>
      </c>
    </row>
    <row r="1169" spans="1:16" x14ac:dyDescent="0.25">
      <c r="A1169" s="43" t="s">
        <v>200</v>
      </c>
      <c r="B1169" s="43" t="s">
        <v>291</v>
      </c>
      <c r="C1169" s="43" t="s">
        <v>265</v>
      </c>
      <c r="D1169" s="43" t="s">
        <v>582</v>
      </c>
      <c r="E1169" s="43" t="s">
        <v>590</v>
      </c>
      <c r="F1169" s="43" t="s">
        <v>585</v>
      </c>
      <c r="G1169" s="43" t="s">
        <v>233</v>
      </c>
      <c r="H1169" s="43" t="s">
        <v>207</v>
      </c>
      <c r="I1169" s="44">
        <v>45432</v>
      </c>
      <c r="J1169" s="44">
        <v>45647</v>
      </c>
      <c r="K1169" s="45">
        <v>23</v>
      </c>
      <c r="L1169" s="45">
        <v>998.1105</v>
      </c>
      <c r="M1169" s="45">
        <v>2746.87</v>
      </c>
      <c r="N1169" s="45">
        <v>10</v>
      </c>
      <c r="O1169" s="45">
        <v>445.30799999999999</v>
      </c>
      <c r="P1169" s="62">
        <f t="shared" si="19"/>
        <v>33</v>
      </c>
    </row>
    <row r="1170" spans="1:16" x14ac:dyDescent="0.25">
      <c r="A1170" s="43" t="s">
        <v>200</v>
      </c>
      <c r="B1170" s="43" t="s">
        <v>291</v>
      </c>
      <c r="C1170" s="43" t="s">
        <v>265</v>
      </c>
      <c r="D1170" s="43" t="s">
        <v>582</v>
      </c>
      <c r="E1170" s="43" t="s">
        <v>590</v>
      </c>
      <c r="F1170" s="43" t="s">
        <v>585</v>
      </c>
      <c r="G1170" s="43" t="s">
        <v>234</v>
      </c>
      <c r="H1170" s="43" t="s">
        <v>207</v>
      </c>
      <c r="I1170" s="44">
        <v>45432</v>
      </c>
      <c r="J1170" s="44">
        <v>45646</v>
      </c>
      <c r="K1170" s="45">
        <v>35</v>
      </c>
      <c r="L1170" s="45">
        <v>1533.8792000000001</v>
      </c>
      <c r="M1170" s="45">
        <v>4209.66</v>
      </c>
      <c r="N1170" s="45">
        <v>5</v>
      </c>
      <c r="O1170" s="45">
        <v>224.80449999999999</v>
      </c>
      <c r="P1170" s="62">
        <f t="shared" si="19"/>
        <v>40</v>
      </c>
    </row>
    <row r="1171" spans="1:16" x14ac:dyDescent="0.25">
      <c r="A1171" s="43" t="s">
        <v>200</v>
      </c>
      <c r="B1171" s="43" t="s">
        <v>291</v>
      </c>
      <c r="C1171" s="43" t="s">
        <v>265</v>
      </c>
      <c r="D1171" s="43" t="s">
        <v>582</v>
      </c>
      <c r="E1171" s="43" t="s">
        <v>590</v>
      </c>
      <c r="F1171" s="43" t="s">
        <v>585</v>
      </c>
      <c r="G1171" s="43" t="s">
        <v>259</v>
      </c>
      <c r="H1171" s="43" t="s">
        <v>207</v>
      </c>
      <c r="I1171" s="44">
        <v>45432</v>
      </c>
      <c r="J1171" s="44">
        <v>45591</v>
      </c>
      <c r="K1171" s="45">
        <v>0</v>
      </c>
      <c r="L1171" s="45">
        <v>0</v>
      </c>
      <c r="M1171" s="45">
        <v>0</v>
      </c>
      <c r="N1171" s="45">
        <v>2</v>
      </c>
      <c r="O1171" s="45">
        <v>85.672200000000004</v>
      </c>
      <c r="P1171" s="62">
        <f t="shared" si="19"/>
        <v>2</v>
      </c>
    </row>
    <row r="1172" spans="1:16" x14ac:dyDescent="0.25">
      <c r="A1172" s="43" t="s">
        <v>200</v>
      </c>
      <c r="B1172" s="43" t="s">
        <v>291</v>
      </c>
      <c r="C1172" s="43" t="s">
        <v>265</v>
      </c>
      <c r="D1172" s="43" t="s">
        <v>582</v>
      </c>
      <c r="E1172" s="43" t="s">
        <v>590</v>
      </c>
      <c r="F1172" s="43" t="s">
        <v>585</v>
      </c>
      <c r="G1172" s="43" t="s">
        <v>296</v>
      </c>
      <c r="H1172" s="43" t="s">
        <v>207</v>
      </c>
      <c r="I1172" s="44">
        <v>45432</v>
      </c>
      <c r="J1172" s="44">
        <v>45647</v>
      </c>
      <c r="K1172" s="45">
        <v>8</v>
      </c>
      <c r="L1172" s="45">
        <v>345.84289999999999</v>
      </c>
      <c r="M1172" s="45">
        <v>953.03</v>
      </c>
      <c r="N1172" s="45">
        <v>4</v>
      </c>
      <c r="O1172" s="45">
        <v>178.83279999999999</v>
      </c>
      <c r="P1172" s="62">
        <f t="shared" si="19"/>
        <v>12</v>
      </c>
    </row>
    <row r="1173" spans="1:16" x14ac:dyDescent="0.25">
      <c r="A1173" s="43" t="s">
        <v>200</v>
      </c>
      <c r="B1173" s="43" t="s">
        <v>291</v>
      </c>
      <c r="C1173" s="43" t="s">
        <v>265</v>
      </c>
      <c r="D1173" s="43" t="s">
        <v>582</v>
      </c>
      <c r="E1173" s="43" t="s">
        <v>591</v>
      </c>
      <c r="F1173" s="43" t="s">
        <v>585</v>
      </c>
      <c r="G1173" s="43" t="s">
        <v>232</v>
      </c>
      <c r="H1173" s="43" t="s">
        <v>218</v>
      </c>
      <c r="I1173" s="44">
        <v>45593</v>
      </c>
      <c r="J1173" s="44">
        <v>45593</v>
      </c>
      <c r="K1173" s="45">
        <v>0</v>
      </c>
      <c r="L1173" s="45">
        <v>0</v>
      </c>
      <c r="M1173" s="45">
        <v>0</v>
      </c>
      <c r="N1173" s="45">
        <v>6</v>
      </c>
      <c r="O1173" s="45">
        <v>256.77420000000001</v>
      </c>
      <c r="P1173" s="62">
        <f t="shared" si="19"/>
        <v>6</v>
      </c>
    </row>
    <row r="1174" spans="1:16" x14ac:dyDescent="0.25">
      <c r="A1174" s="43" t="s">
        <v>200</v>
      </c>
      <c r="B1174" s="43" t="s">
        <v>291</v>
      </c>
      <c r="C1174" s="43" t="s">
        <v>265</v>
      </c>
      <c r="D1174" s="43" t="s">
        <v>582</v>
      </c>
      <c r="E1174" s="43" t="s">
        <v>591</v>
      </c>
      <c r="F1174" s="43" t="s">
        <v>585</v>
      </c>
      <c r="G1174" s="43" t="s">
        <v>233</v>
      </c>
      <c r="H1174" s="43" t="s">
        <v>218</v>
      </c>
      <c r="I1174" s="44">
        <v>45593</v>
      </c>
      <c r="J1174" s="44">
        <v>45639</v>
      </c>
      <c r="K1174" s="45">
        <v>5</v>
      </c>
      <c r="L1174" s="45">
        <v>216.53469999999999</v>
      </c>
      <c r="M1174" s="45">
        <v>595.71</v>
      </c>
      <c r="N1174" s="45">
        <v>7</v>
      </c>
      <c r="O1174" s="45">
        <v>308.14</v>
      </c>
      <c r="P1174" s="62">
        <f t="shared" si="19"/>
        <v>12</v>
      </c>
    </row>
    <row r="1175" spans="1:16" x14ac:dyDescent="0.25">
      <c r="A1175" s="43" t="s">
        <v>200</v>
      </c>
      <c r="B1175" s="43" t="s">
        <v>291</v>
      </c>
      <c r="C1175" s="43" t="s">
        <v>265</v>
      </c>
      <c r="D1175" s="43" t="s">
        <v>582</v>
      </c>
      <c r="E1175" s="43" t="s">
        <v>591</v>
      </c>
      <c r="F1175" s="43" t="s">
        <v>585</v>
      </c>
      <c r="G1175" s="43" t="s">
        <v>234</v>
      </c>
      <c r="H1175" s="43" t="s">
        <v>218</v>
      </c>
      <c r="I1175" s="44">
        <v>45593</v>
      </c>
      <c r="J1175" s="44">
        <v>45632</v>
      </c>
      <c r="K1175" s="45">
        <v>4</v>
      </c>
      <c r="L1175" s="45">
        <v>172.93350000000001</v>
      </c>
      <c r="M1175" s="45">
        <v>476.59</v>
      </c>
      <c r="N1175" s="45">
        <v>6</v>
      </c>
      <c r="O1175" s="45">
        <v>265.85340000000002</v>
      </c>
      <c r="P1175" s="62">
        <f t="shared" si="19"/>
        <v>10</v>
      </c>
    </row>
    <row r="1176" spans="1:16" x14ac:dyDescent="0.25">
      <c r="A1176" s="43" t="s">
        <v>200</v>
      </c>
      <c r="B1176" s="43" t="s">
        <v>291</v>
      </c>
      <c r="C1176" s="43" t="s">
        <v>265</v>
      </c>
      <c r="D1176" s="43" t="s">
        <v>582</v>
      </c>
      <c r="E1176" s="43" t="s">
        <v>591</v>
      </c>
      <c r="F1176" s="43" t="s">
        <v>585</v>
      </c>
      <c r="G1176" s="43" t="s">
        <v>296</v>
      </c>
      <c r="H1176" s="43" t="s">
        <v>218</v>
      </c>
      <c r="I1176" s="44">
        <v>45593</v>
      </c>
      <c r="J1176" s="44">
        <v>45630</v>
      </c>
      <c r="K1176" s="45">
        <v>3</v>
      </c>
      <c r="L1176" s="45">
        <v>129.8707</v>
      </c>
      <c r="M1176" s="45">
        <v>357.44</v>
      </c>
      <c r="N1176" s="45">
        <v>3</v>
      </c>
      <c r="O1176" s="45">
        <v>133.57980000000001</v>
      </c>
      <c r="P1176" s="62">
        <f t="shared" si="19"/>
        <v>6</v>
      </c>
    </row>
    <row r="1177" spans="1:16" x14ac:dyDescent="0.25">
      <c r="A1177" s="43" t="s">
        <v>200</v>
      </c>
      <c r="B1177" s="43" t="s">
        <v>291</v>
      </c>
      <c r="C1177" s="43" t="s">
        <v>265</v>
      </c>
      <c r="D1177" s="43" t="s">
        <v>582</v>
      </c>
      <c r="E1177" s="43" t="s">
        <v>592</v>
      </c>
      <c r="F1177" s="43" t="s">
        <v>585</v>
      </c>
      <c r="G1177" s="43" t="s">
        <v>232</v>
      </c>
      <c r="H1177" s="43" t="s">
        <v>218</v>
      </c>
      <c r="I1177" s="44">
        <v>45591</v>
      </c>
      <c r="J1177" s="44">
        <v>45643</v>
      </c>
      <c r="K1177" s="45">
        <v>2</v>
      </c>
      <c r="L1177" s="45">
        <v>85.962299999999999</v>
      </c>
      <c r="M1177" s="45">
        <v>238.28</v>
      </c>
      <c r="N1177" s="45">
        <v>6</v>
      </c>
      <c r="O1177" s="45">
        <v>260.85419999999999</v>
      </c>
      <c r="P1177" s="62">
        <f t="shared" si="19"/>
        <v>8</v>
      </c>
    </row>
    <row r="1178" spans="1:16" x14ac:dyDescent="0.25">
      <c r="A1178" s="43" t="s">
        <v>200</v>
      </c>
      <c r="B1178" s="43" t="s">
        <v>291</v>
      </c>
      <c r="C1178" s="43" t="s">
        <v>265</v>
      </c>
      <c r="D1178" s="43" t="s">
        <v>582</v>
      </c>
      <c r="E1178" s="43" t="s">
        <v>592</v>
      </c>
      <c r="F1178" s="43" t="s">
        <v>585</v>
      </c>
      <c r="G1178" s="43" t="s">
        <v>233</v>
      </c>
      <c r="H1178" s="43" t="s">
        <v>218</v>
      </c>
      <c r="I1178" s="44">
        <v>45591</v>
      </c>
      <c r="J1178" s="44">
        <v>45642</v>
      </c>
      <c r="K1178" s="45">
        <v>4</v>
      </c>
      <c r="L1178" s="45">
        <v>172.9151</v>
      </c>
      <c r="M1178" s="45">
        <v>476.56</v>
      </c>
      <c r="N1178" s="45">
        <v>7</v>
      </c>
      <c r="O1178" s="45">
        <v>306.73930000000001</v>
      </c>
      <c r="P1178" s="62">
        <f t="shared" si="19"/>
        <v>11</v>
      </c>
    </row>
    <row r="1179" spans="1:16" x14ac:dyDescent="0.25">
      <c r="A1179" s="43" t="s">
        <v>200</v>
      </c>
      <c r="B1179" s="43" t="s">
        <v>291</v>
      </c>
      <c r="C1179" s="43" t="s">
        <v>265</v>
      </c>
      <c r="D1179" s="43" t="s">
        <v>582</v>
      </c>
      <c r="E1179" s="43" t="s">
        <v>592</v>
      </c>
      <c r="F1179" s="43" t="s">
        <v>585</v>
      </c>
      <c r="G1179" s="43" t="s">
        <v>234</v>
      </c>
      <c r="H1179" s="43" t="s">
        <v>218</v>
      </c>
      <c r="I1179" s="44">
        <v>45591</v>
      </c>
      <c r="J1179" s="44">
        <v>45643</v>
      </c>
      <c r="K1179" s="45">
        <v>11</v>
      </c>
      <c r="L1179" s="45">
        <v>482.93</v>
      </c>
      <c r="M1179" s="45">
        <v>1323.8</v>
      </c>
      <c r="N1179" s="45">
        <v>3</v>
      </c>
      <c r="O1179" s="45">
        <v>134.01329999999999</v>
      </c>
      <c r="P1179" s="62">
        <f t="shared" si="19"/>
        <v>14</v>
      </c>
    </row>
    <row r="1180" spans="1:16" x14ac:dyDescent="0.25">
      <c r="A1180" s="43" t="s">
        <v>200</v>
      </c>
      <c r="B1180" s="43" t="s">
        <v>291</v>
      </c>
      <c r="C1180" s="43" t="s">
        <v>265</v>
      </c>
      <c r="D1180" s="43" t="s">
        <v>582</v>
      </c>
      <c r="E1180" s="43" t="s">
        <v>592</v>
      </c>
      <c r="F1180" s="43" t="s">
        <v>585</v>
      </c>
      <c r="G1180" s="43" t="s">
        <v>296</v>
      </c>
      <c r="H1180" s="43" t="s">
        <v>218</v>
      </c>
      <c r="I1180" s="44">
        <v>45591</v>
      </c>
      <c r="J1180" s="44">
        <v>45643</v>
      </c>
      <c r="K1180" s="45">
        <v>4</v>
      </c>
      <c r="L1180" s="45">
        <v>174.3973</v>
      </c>
      <c r="M1180" s="45">
        <v>476.57</v>
      </c>
      <c r="N1180" s="45">
        <v>2</v>
      </c>
      <c r="O1180" s="45">
        <v>89.053200000000004</v>
      </c>
      <c r="P1180" s="62">
        <f t="shared" si="19"/>
        <v>6</v>
      </c>
    </row>
    <row r="1181" spans="1:16" x14ac:dyDescent="0.25">
      <c r="A1181" s="43" t="s">
        <v>200</v>
      </c>
      <c r="B1181" s="43" t="s">
        <v>291</v>
      </c>
      <c r="C1181" s="43" t="s">
        <v>265</v>
      </c>
      <c r="D1181" s="43" t="s">
        <v>582</v>
      </c>
      <c r="E1181" s="43" t="s">
        <v>593</v>
      </c>
      <c r="F1181" s="43" t="s">
        <v>585</v>
      </c>
      <c r="G1181" s="43" t="s">
        <v>232</v>
      </c>
      <c r="H1181" s="43" t="s">
        <v>218</v>
      </c>
      <c r="I1181" s="44">
        <v>45590</v>
      </c>
      <c r="J1181" s="44">
        <v>45605</v>
      </c>
      <c r="K1181" s="45">
        <v>2</v>
      </c>
      <c r="L1181" s="45">
        <v>85.591399999999993</v>
      </c>
      <c r="M1181" s="45">
        <v>238.28</v>
      </c>
      <c r="N1181" s="45">
        <v>9</v>
      </c>
      <c r="O1181" s="45">
        <v>385.16129999999998</v>
      </c>
      <c r="P1181" s="62">
        <f t="shared" si="19"/>
        <v>11</v>
      </c>
    </row>
    <row r="1182" spans="1:16" x14ac:dyDescent="0.25">
      <c r="A1182" s="43" t="s">
        <v>200</v>
      </c>
      <c r="B1182" s="43" t="s">
        <v>291</v>
      </c>
      <c r="C1182" s="43" t="s">
        <v>265</v>
      </c>
      <c r="D1182" s="43" t="s">
        <v>582</v>
      </c>
      <c r="E1182" s="43" t="s">
        <v>593</v>
      </c>
      <c r="F1182" s="43" t="s">
        <v>585</v>
      </c>
      <c r="G1182" s="43" t="s">
        <v>233</v>
      </c>
      <c r="H1182" s="43" t="s">
        <v>218</v>
      </c>
      <c r="I1182" s="44">
        <v>45590</v>
      </c>
      <c r="J1182" s="44">
        <v>45647</v>
      </c>
      <c r="K1182" s="45">
        <v>13</v>
      </c>
      <c r="L1182" s="45">
        <v>562.52859999999998</v>
      </c>
      <c r="M1182" s="45">
        <v>1548.83</v>
      </c>
      <c r="N1182" s="45">
        <v>10</v>
      </c>
      <c r="O1182" s="45">
        <v>441.80099999999999</v>
      </c>
      <c r="P1182" s="62">
        <f t="shared" si="19"/>
        <v>23</v>
      </c>
    </row>
    <row r="1183" spans="1:16" x14ac:dyDescent="0.25">
      <c r="A1183" s="43" t="s">
        <v>200</v>
      </c>
      <c r="B1183" s="43" t="s">
        <v>291</v>
      </c>
      <c r="C1183" s="43" t="s">
        <v>265</v>
      </c>
      <c r="D1183" s="43" t="s">
        <v>582</v>
      </c>
      <c r="E1183" s="43" t="s">
        <v>593</v>
      </c>
      <c r="F1183" s="43" t="s">
        <v>585</v>
      </c>
      <c r="G1183" s="43" t="s">
        <v>234</v>
      </c>
      <c r="H1183" s="43" t="s">
        <v>218</v>
      </c>
      <c r="I1183" s="44">
        <v>45591</v>
      </c>
      <c r="J1183" s="44">
        <v>45647</v>
      </c>
      <c r="K1183" s="45">
        <v>18</v>
      </c>
      <c r="L1183" s="45">
        <v>778.23170000000005</v>
      </c>
      <c r="M1183" s="45">
        <v>2171.0300000000002</v>
      </c>
      <c r="N1183" s="45">
        <v>8</v>
      </c>
      <c r="O1183" s="45">
        <v>356.71039999999999</v>
      </c>
      <c r="P1183" s="62">
        <f t="shared" si="19"/>
        <v>26</v>
      </c>
    </row>
    <row r="1184" spans="1:16" x14ac:dyDescent="0.25">
      <c r="A1184" s="43" t="s">
        <v>200</v>
      </c>
      <c r="B1184" s="43" t="s">
        <v>291</v>
      </c>
      <c r="C1184" s="43" t="s">
        <v>265</v>
      </c>
      <c r="D1184" s="43" t="s">
        <v>582</v>
      </c>
      <c r="E1184" s="43" t="s">
        <v>593</v>
      </c>
      <c r="F1184" s="43" t="s">
        <v>585</v>
      </c>
      <c r="G1184" s="43" t="s">
        <v>296</v>
      </c>
      <c r="H1184" s="43" t="s">
        <v>218</v>
      </c>
      <c r="I1184" s="44">
        <v>45591</v>
      </c>
      <c r="J1184" s="44">
        <v>45647</v>
      </c>
      <c r="K1184" s="45">
        <v>6</v>
      </c>
      <c r="L1184" s="45">
        <v>257.01769999999999</v>
      </c>
      <c r="M1184" s="45">
        <v>714.87</v>
      </c>
      <c r="N1184" s="45">
        <v>5</v>
      </c>
      <c r="O1184" s="45">
        <v>220.41149999999999</v>
      </c>
      <c r="P1184" s="62">
        <f t="shared" si="19"/>
        <v>11</v>
      </c>
    </row>
    <row r="1185" spans="1:16" x14ac:dyDescent="0.25">
      <c r="A1185" s="43" t="s">
        <v>200</v>
      </c>
      <c r="B1185" s="43" t="s">
        <v>291</v>
      </c>
      <c r="C1185" s="43" t="s">
        <v>265</v>
      </c>
      <c r="D1185" s="43" t="s">
        <v>582</v>
      </c>
      <c r="E1185" s="43" t="s">
        <v>594</v>
      </c>
      <c r="F1185" s="43" t="s">
        <v>585</v>
      </c>
      <c r="G1185" s="43" t="s">
        <v>232</v>
      </c>
      <c r="H1185" s="43" t="s">
        <v>207</v>
      </c>
      <c r="I1185" s="44">
        <v>45591</v>
      </c>
      <c r="J1185" s="44">
        <v>45605</v>
      </c>
      <c r="K1185" s="45">
        <v>0</v>
      </c>
      <c r="L1185" s="45">
        <v>0</v>
      </c>
      <c r="M1185" s="45">
        <v>0</v>
      </c>
      <c r="N1185" s="45">
        <v>11</v>
      </c>
      <c r="O1185" s="45">
        <v>470.76479999999998</v>
      </c>
      <c r="P1185" s="62">
        <f t="shared" si="19"/>
        <v>11</v>
      </c>
    </row>
    <row r="1186" spans="1:16" x14ac:dyDescent="0.25">
      <c r="A1186" s="43" t="s">
        <v>200</v>
      </c>
      <c r="B1186" s="43" t="s">
        <v>291</v>
      </c>
      <c r="C1186" s="43" t="s">
        <v>265</v>
      </c>
      <c r="D1186" s="43" t="s">
        <v>582</v>
      </c>
      <c r="E1186" s="43" t="s">
        <v>594</v>
      </c>
      <c r="F1186" s="43" t="s">
        <v>585</v>
      </c>
      <c r="G1186" s="43" t="s">
        <v>233</v>
      </c>
      <c r="H1186" s="43" t="s">
        <v>207</v>
      </c>
      <c r="I1186" s="44">
        <v>45590</v>
      </c>
      <c r="J1186" s="44">
        <v>45643</v>
      </c>
      <c r="K1186" s="45">
        <v>10</v>
      </c>
      <c r="L1186" s="45">
        <v>431.82279999999997</v>
      </c>
      <c r="M1186" s="45">
        <v>1204.6400000000001</v>
      </c>
      <c r="N1186" s="45">
        <v>9</v>
      </c>
      <c r="O1186" s="45">
        <v>394.70400000000001</v>
      </c>
      <c r="P1186" s="62">
        <f t="shared" si="19"/>
        <v>19</v>
      </c>
    </row>
    <row r="1187" spans="1:16" x14ac:dyDescent="0.25">
      <c r="A1187" s="43" t="s">
        <v>200</v>
      </c>
      <c r="B1187" s="43" t="s">
        <v>291</v>
      </c>
      <c r="C1187" s="43" t="s">
        <v>265</v>
      </c>
      <c r="D1187" s="43" t="s">
        <v>582</v>
      </c>
      <c r="E1187" s="43" t="s">
        <v>594</v>
      </c>
      <c r="F1187" s="43" t="s">
        <v>585</v>
      </c>
      <c r="G1187" s="43" t="s">
        <v>234</v>
      </c>
      <c r="H1187" s="43" t="s">
        <v>207</v>
      </c>
      <c r="I1187" s="44">
        <v>45591</v>
      </c>
      <c r="J1187" s="44">
        <v>45647</v>
      </c>
      <c r="K1187" s="45">
        <v>16</v>
      </c>
      <c r="L1187" s="45">
        <v>687.43129999999996</v>
      </c>
      <c r="M1187" s="45">
        <v>1879.81</v>
      </c>
      <c r="N1187" s="45">
        <v>8</v>
      </c>
      <c r="O1187" s="45">
        <v>353.31119999999999</v>
      </c>
      <c r="P1187" s="62">
        <f t="shared" si="19"/>
        <v>24</v>
      </c>
    </row>
    <row r="1188" spans="1:16" x14ac:dyDescent="0.25">
      <c r="A1188" s="43" t="s">
        <v>200</v>
      </c>
      <c r="B1188" s="43" t="s">
        <v>291</v>
      </c>
      <c r="C1188" s="43" t="s">
        <v>265</v>
      </c>
      <c r="D1188" s="43" t="s">
        <v>582</v>
      </c>
      <c r="E1188" s="43" t="s">
        <v>594</v>
      </c>
      <c r="F1188" s="43" t="s">
        <v>585</v>
      </c>
      <c r="G1188" s="43" t="s">
        <v>296</v>
      </c>
      <c r="H1188" s="43" t="s">
        <v>207</v>
      </c>
      <c r="I1188" s="44">
        <v>45590</v>
      </c>
      <c r="J1188" s="44">
        <v>45646</v>
      </c>
      <c r="K1188" s="45">
        <v>7</v>
      </c>
      <c r="L1188" s="45">
        <v>303.673</v>
      </c>
      <c r="M1188" s="45">
        <v>847.23</v>
      </c>
      <c r="N1188" s="45">
        <v>3</v>
      </c>
      <c r="O1188" s="45">
        <v>133.18559999999999</v>
      </c>
      <c r="P1188" s="62">
        <f t="shared" si="19"/>
        <v>10</v>
      </c>
    </row>
    <row r="1189" spans="1:16" x14ac:dyDescent="0.25">
      <c r="A1189" s="43" t="s">
        <v>200</v>
      </c>
      <c r="B1189" s="43" t="s">
        <v>291</v>
      </c>
      <c r="C1189" s="43" t="s">
        <v>265</v>
      </c>
      <c r="D1189" s="43" t="s">
        <v>582</v>
      </c>
      <c r="E1189" s="43" t="s">
        <v>595</v>
      </c>
      <c r="F1189" s="43" t="s">
        <v>585</v>
      </c>
      <c r="G1189" s="43" t="s">
        <v>232</v>
      </c>
      <c r="H1189" s="43" t="s">
        <v>218</v>
      </c>
      <c r="I1189" s="44">
        <v>45590</v>
      </c>
      <c r="J1189" s="44">
        <v>45611</v>
      </c>
      <c r="K1189" s="45">
        <v>2</v>
      </c>
      <c r="L1189" s="45">
        <v>85.591399999999993</v>
      </c>
      <c r="M1189" s="45">
        <v>238.28</v>
      </c>
      <c r="N1189" s="45">
        <v>10</v>
      </c>
      <c r="O1189" s="45">
        <v>427.95699999999999</v>
      </c>
      <c r="P1189" s="62">
        <f t="shared" si="19"/>
        <v>12</v>
      </c>
    </row>
    <row r="1190" spans="1:16" x14ac:dyDescent="0.25">
      <c r="A1190" s="43" t="s">
        <v>200</v>
      </c>
      <c r="B1190" s="43" t="s">
        <v>291</v>
      </c>
      <c r="C1190" s="43" t="s">
        <v>265</v>
      </c>
      <c r="D1190" s="43" t="s">
        <v>582</v>
      </c>
      <c r="E1190" s="43" t="s">
        <v>595</v>
      </c>
      <c r="F1190" s="43" t="s">
        <v>585</v>
      </c>
      <c r="G1190" s="43" t="s">
        <v>233</v>
      </c>
      <c r="H1190" s="43" t="s">
        <v>218</v>
      </c>
      <c r="I1190" s="44">
        <v>45591</v>
      </c>
      <c r="J1190" s="44">
        <v>45643</v>
      </c>
      <c r="K1190" s="45">
        <v>13</v>
      </c>
      <c r="L1190" s="45">
        <v>560.3605</v>
      </c>
      <c r="M1190" s="45">
        <v>1575.31</v>
      </c>
      <c r="N1190" s="45">
        <v>12</v>
      </c>
      <c r="O1190" s="45">
        <v>525.10919999999999</v>
      </c>
      <c r="P1190" s="62">
        <f t="shared" si="19"/>
        <v>25</v>
      </c>
    </row>
    <row r="1191" spans="1:16" x14ac:dyDescent="0.25">
      <c r="A1191" s="43" t="s">
        <v>200</v>
      </c>
      <c r="B1191" s="43" t="s">
        <v>291</v>
      </c>
      <c r="C1191" s="43" t="s">
        <v>265</v>
      </c>
      <c r="D1191" s="43" t="s">
        <v>582</v>
      </c>
      <c r="E1191" s="43" t="s">
        <v>595</v>
      </c>
      <c r="F1191" s="43" t="s">
        <v>585</v>
      </c>
      <c r="G1191" s="43" t="s">
        <v>234</v>
      </c>
      <c r="H1191" s="43" t="s">
        <v>218</v>
      </c>
      <c r="I1191" s="44">
        <v>45591</v>
      </c>
      <c r="J1191" s="44">
        <v>45647</v>
      </c>
      <c r="K1191" s="45">
        <v>19</v>
      </c>
      <c r="L1191" s="45">
        <v>817.43610000000001</v>
      </c>
      <c r="M1191" s="45">
        <v>2276.9299999999998</v>
      </c>
      <c r="N1191" s="45">
        <v>9</v>
      </c>
      <c r="O1191" s="45">
        <v>396.29969999999997</v>
      </c>
      <c r="P1191" s="62">
        <f t="shared" si="19"/>
        <v>28</v>
      </c>
    </row>
    <row r="1192" spans="1:16" x14ac:dyDescent="0.25">
      <c r="A1192" s="43" t="s">
        <v>200</v>
      </c>
      <c r="B1192" s="43" t="s">
        <v>291</v>
      </c>
      <c r="C1192" s="43" t="s">
        <v>265</v>
      </c>
      <c r="D1192" s="43" t="s">
        <v>582</v>
      </c>
      <c r="E1192" s="43" t="s">
        <v>595</v>
      </c>
      <c r="F1192" s="43" t="s">
        <v>585</v>
      </c>
      <c r="G1192" s="43" t="s">
        <v>296</v>
      </c>
      <c r="H1192" s="43" t="s">
        <v>218</v>
      </c>
      <c r="I1192" s="44">
        <v>45591</v>
      </c>
      <c r="J1192" s="44">
        <v>45646</v>
      </c>
      <c r="K1192" s="45">
        <v>4</v>
      </c>
      <c r="L1192" s="45">
        <v>171.62790000000001</v>
      </c>
      <c r="M1192" s="45">
        <v>489.81</v>
      </c>
      <c r="N1192" s="45">
        <v>5</v>
      </c>
      <c r="O1192" s="45">
        <v>217.9845</v>
      </c>
      <c r="P1192" s="62">
        <f t="shared" si="19"/>
        <v>9</v>
      </c>
    </row>
    <row r="1193" spans="1:16" x14ac:dyDescent="0.25">
      <c r="A1193" s="43" t="s">
        <v>200</v>
      </c>
      <c r="B1193" s="43" t="s">
        <v>291</v>
      </c>
      <c r="C1193" s="43" t="s">
        <v>265</v>
      </c>
      <c r="D1193" s="43" t="s">
        <v>582</v>
      </c>
      <c r="E1193" s="43" t="s">
        <v>596</v>
      </c>
      <c r="F1193" s="43" t="s">
        <v>352</v>
      </c>
      <c r="G1193" s="43" t="s">
        <v>232</v>
      </c>
      <c r="H1193" s="43" t="s">
        <v>207</v>
      </c>
      <c r="I1193" s="44">
        <v>45591</v>
      </c>
      <c r="J1193" s="44">
        <v>45637</v>
      </c>
      <c r="K1193" s="45">
        <v>10</v>
      </c>
      <c r="L1193" s="45">
        <v>555.2491</v>
      </c>
      <c r="M1193" s="45">
        <v>1448.58</v>
      </c>
      <c r="N1193" s="45">
        <v>9</v>
      </c>
      <c r="O1193" s="45">
        <v>511.01280000000003</v>
      </c>
      <c r="P1193" s="62">
        <f t="shared" si="19"/>
        <v>19</v>
      </c>
    </row>
    <row r="1194" spans="1:16" x14ac:dyDescent="0.25">
      <c r="A1194" s="43" t="s">
        <v>200</v>
      </c>
      <c r="B1194" s="43" t="s">
        <v>291</v>
      </c>
      <c r="C1194" s="43" t="s">
        <v>265</v>
      </c>
      <c r="D1194" s="43" t="s">
        <v>582</v>
      </c>
      <c r="E1194" s="43" t="s">
        <v>596</v>
      </c>
      <c r="F1194" s="43" t="s">
        <v>352</v>
      </c>
      <c r="G1194" s="43" t="s">
        <v>233</v>
      </c>
      <c r="H1194" s="43" t="s">
        <v>207</v>
      </c>
      <c r="I1194" s="44">
        <v>45591</v>
      </c>
      <c r="J1194" s="44">
        <v>45644</v>
      </c>
      <c r="K1194" s="45">
        <v>26</v>
      </c>
      <c r="L1194" s="45">
        <v>1441.779</v>
      </c>
      <c r="M1194" s="45">
        <v>3750.22</v>
      </c>
      <c r="N1194" s="45">
        <v>10</v>
      </c>
      <c r="O1194" s="45">
        <v>570.18200000000002</v>
      </c>
      <c r="P1194" s="62">
        <f t="shared" si="19"/>
        <v>36</v>
      </c>
    </row>
    <row r="1195" spans="1:16" x14ac:dyDescent="0.25">
      <c r="A1195" s="43" t="s">
        <v>200</v>
      </c>
      <c r="B1195" s="43" t="s">
        <v>291</v>
      </c>
      <c r="C1195" s="43" t="s">
        <v>265</v>
      </c>
      <c r="D1195" s="43" t="s">
        <v>582</v>
      </c>
      <c r="E1195" s="43" t="s">
        <v>596</v>
      </c>
      <c r="F1195" s="43" t="s">
        <v>352</v>
      </c>
      <c r="G1195" s="43" t="s">
        <v>234</v>
      </c>
      <c r="H1195" s="43" t="s">
        <v>207</v>
      </c>
      <c r="I1195" s="44">
        <v>45591</v>
      </c>
      <c r="J1195" s="44">
        <v>45647</v>
      </c>
      <c r="K1195" s="45">
        <v>20</v>
      </c>
      <c r="L1195" s="45">
        <v>1128.0499</v>
      </c>
      <c r="M1195" s="45">
        <v>2945.46</v>
      </c>
      <c r="N1195" s="45">
        <v>6</v>
      </c>
      <c r="O1195" s="45">
        <v>344.60759999999999</v>
      </c>
      <c r="P1195" s="62">
        <f t="shared" si="19"/>
        <v>26</v>
      </c>
    </row>
    <row r="1196" spans="1:16" x14ac:dyDescent="0.25">
      <c r="A1196" s="43" t="s">
        <v>200</v>
      </c>
      <c r="B1196" s="43" t="s">
        <v>291</v>
      </c>
      <c r="C1196" s="43" t="s">
        <v>265</v>
      </c>
      <c r="D1196" s="43" t="s">
        <v>582</v>
      </c>
      <c r="E1196" s="43" t="s">
        <v>596</v>
      </c>
      <c r="F1196" s="43" t="s">
        <v>352</v>
      </c>
      <c r="G1196" s="43" t="s">
        <v>259</v>
      </c>
      <c r="H1196" s="43" t="s">
        <v>207</v>
      </c>
      <c r="I1196" s="44">
        <v>45591</v>
      </c>
      <c r="J1196" s="44">
        <v>45630</v>
      </c>
      <c r="K1196" s="45">
        <v>1</v>
      </c>
      <c r="L1196" s="45">
        <v>54.797899999999998</v>
      </c>
      <c r="M1196" s="45">
        <v>144.86000000000001</v>
      </c>
      <c r="N1196" s="45">
        <v>4</v>
      </c>
      <c r="O1196" s="45">
        <v>222.0412</v>
      </c>
      <c r="P1196" s="62">
        <f t="shared" si="19"/>
        <v>5</v>
      </c>
    </row>
    <row r="1197" spans="1:16" x14ac:dyDescent="0.25">
      <c r="A1197" s="43" t="s">
        <v>200</v>
      </c>
      <c r="B1197" s="43" t="s">
        <v>291</v>
      </c>
      <c r="C1197" s="43" t="s">
        <v>265</v>
      </c>
      <c r="D1197" s="43" t="s">
        <v>582</v>
      </c>
      <c r="E1197" s="43" t="s">
        <v>596</v>
      </c>
      <c r="F1197" s="43" t="s">
        <v>352</v>
      </c>
      <c r="G1197" s="43" t="s">
        <v>296</v>
      </c>
      <c r="H1197" s="43" t="s">
        <v>207</v>
      </c>
      <c r="I1197" s="44">
        <v>45591</v>
      </c>
      <c r="J1197" s="44">
        <v>45637</v>
      </c>
      <c r="K1197" s="45">
        <v>5</v>
      </c>
      <c r="L1197" s="45">
        <v>277.43799999999999</v>
      </c>
      <c r="M1197" s="45">
        <v>740.39</v>
      </c>
      <c r="N1197" s="45">
        <v>4</v>
      </c>
      <c r="O1197" s="45">
        <v>226.8544</v>
      </c>
      <c r="P1197" s="62">
        <f t="shared" si="19"/>
        <v>9</v>
      </c>
    </row>
    <row r="1198" spans="1:16" x14ac:dyDescent="0.25">
      <c r="A1198" s="43" t="s">
        <v>200</v>
      </c>
      <c r="B1198" s="43" t="s">
        <v>291</v>
      </c>
      <c r="C1198" s="43" t="s">
        <v>265</v>
      </c>
      <c r="D1198" s="43" t="s">
        <v>582</v>
      </c>
      <c r="E1198" s="43" t="s">
        <v>597</v>
      </c>
      <c r="F1198" s="43" t="s">
        <v>352</v>
      </c>
      <c r="G1198" s="43" t="s">
        <v>232</v>
      </c>
      <c r="H1198" s="43" t="s">
        <v>207</v>
      </c>
      <c r="I1198" s="44">
        <v>45590</v>
      </c>
      <c r="J1198" s="44">
        <v>45605</v>
      </c>
      <c r="K1198" s="45">
        <v>3</v>
      </c>
      <c r="L1198" s="45">
        <v>164.2938</v>
      </c>
      <c r="M1198" s="45">
        <v>434.58</v>
      </c>
      <c r="N1198" s="45">
        <v>6</v>
      </c>
      <c r="O1198" s="45">
        <v>328.58760000000001</v>
      </c>
      <c r="P1198" s="62">
        <f t="shared" si="19"/>
        <v>9</v>
      </c>
    </row>
    <row r="1199" spans="1:16" x14ac:dyDescent="0.25">
      <c r="A1199" s="43" t="s">
        <v>200</v>
      </c>
      <c r="B1199" s="43" t="s">
        <v>291</v>
      </c>
      <c r="C1199" s="43" t="s">
        <v>265</v>
      </c>
      <c r="D1199" s="43" t="s">
        <v>582</v>
      </c>
      <c r="E1199" s="43" t="s">
        <v>597</v>
      </c>
      <c r="F1199" s="43" t="s">
        <v>352</v>
      </c>
      <c r="G1199" s="43" t="s">
        <v>233</v>
      </c>
      <c r="H1199" s="43" t="s">
        <v>207</v>
      </c>
      <c r="I1199" s="44">
        <v>45591</v>
      </c>
      <c r="J1199" s="44">
        <v>45647</v>
      </c>
      <c r="K1199" s="45">
        <v>19</v>
      </c>
      <c r="L1199" s="45">
        <v>1051.0094999999999</v>
      </c>
      <c r="M1199" s="45">
        <v>2768.41</v>
      </c>
      <c r="N1199" s="45">
        <v>8</v>
      </c>
      <c r="O1199" s="45">
        <v>456.11919999999998</v>
      </c>
      <c r="P1199" s="62">
        <f t="shared" si="19"/>
        <v>27</v>
      </c>
    </row>
    <row r="1200" spans="1:16" x14ac:dyDescent="0.25">
      <c r="A1200" s="43" t="s">
        <v>200</v>
      </c>
      <c r="B1200" s="43" t="s">
        <v>291</v>
      </c>
      <c r="C1200" s="43" t="s">
        <v>265</v>
      </c>
      <c r="D1200" s="43" t="s">
        <v>582</v>
      </c>
      <c r="E1200" s="43" t="s">
        <v>597</v>
      </c>
      <c r="F1200" s="43" t="s">
        <v>352</v>
      </c>
      <c r="G1200" s="43" t="s">
        <v>234</v>
      </c>
      <c r="H1200" s="43" t="s">
        <v>207</v>
      </c>
      <c r="I1200" s="44">
        <v>45590</v>
      </c>
      <c r="J1200" s="44">
        <v>45647</v>
      </c>
      <c r="K1200" s="45">
        <v>15</v>
      </c>
      <c r="L1200" s="45">
        <v>838.46699999999998</v>
      </c>
      <c r="M1200" s="45">
        <v>2205.0300000000002</v>
      </c>
      <c r="N1200" s="45">
        <v>5</v>
      </c>
      <c r="O1200" s="45">
        <v>288.03149999999999</v>
      </c>
      <c r="P1200" s="62">
        <f t="shared" si="19"/>
        <v>20</v>
      </c>
    </row>
    <row r="1201" spans="1:16" x14ac:dyDescent="0.25">
      <c r="A1201" s="43" t="s">
        <v>200</v>
      </c>
      <c r="B1201" s="43" t="s">
        <v>291</v>
      </c>
      <c r="C1201" s="43" t="s">
        <v>265</v>
      </c>
      <c r="D1201" s="43" t="s">
        <v>582</v>
      </c>
      <c r="E1201" s="43" t="s">
        <v>597</v>
      </c>
      <c r="F1201" s="43" t="s">
        <v>352</v>
      </c>
      <c r="G1201" s="43" t="s">
        <v>259</v>
      </c>
      <c r="H1201" s="43" t="s">
        <v>207</v>
      </c>
      <c r="I1201" s="44">
        <v>45590</v>
      </c>
      <c r="J1201" s="44">
        <v>45590</v>
      </c>
      <c r="K1201" s="45">
        <v>1</v>
      </c>
      <c r="L1201" s="45">
        <v>54.757599999999996</v>
      </c>
      <c r="M1201" s="45">
        <v>144.86000000000001</v>
      </c>
      <c r="N1201" s="45">
        <v>2</v>
      </c>
      <c r="O1201" s="45">
        <v>109.51519999999999</v>
      </c>
      <c r="P1201" s="62">
        <f t="shared" si="19"/>
        <v>3</v>
      </c>
    </row>
    <row r="1202" spans="1:16" x14ac:dyDescent="0.25">
      <c r="A1202" s="43" t="s">
        <v>200</v>
      </c>
      <c r="B1202" s="43" t="s">
        <v>291</v>
      </c>
      <c r="C1202" s="43" t="s">
        <v>265</v>
      </c>
      <c r="D1202" s="43" t="s">
        <v>582</v>
      </c>
      <c r="E1202" s="43" t="s">
        <v>597</v>
      </c>
      <c r="F1202" s="43" t="s">
        <v>352</v>
      </c>
      <c r="G1202" s="43" t="s">
        <v>296</v>
      </c>
      <c r="H1202" s="43" t="s">
        <v>207</v>
      </c>
      <c r="I1202" s="44">
        <v>45590</v>
      </c>
      <c r="J1202" s="44">
        <v>45646</v>
      </c>
      <c r="K1202" s="45">
        <v>3</v>
      </c>
      <c r="L1202" s="45">
        <v>164.27549999999999</v>
      </c>
      <c r="M1202" s="45">
        <v>434.57</v>
      </c>
      <c r="N1202" s="45">
        <v>3</v>
      </c>
      <c r="O1202" s="45">
        <v>164.27549999999999</v>
      </c>
      <c r="P1202" s="62">
        <f t="shared" si="19"/>
        <v>6</v>
      </c>
    </row>
    <row r="1203" spans="1:16" x14ac:dyDescent="0.25">
      <c r="A1203" s="43" t="s">
        <v>200</v>
      </c>
      <c r="B1203" s="43" t="s">
        <v>291</v>
      </c>
      <c r="C1203" s="43" t="s">
        <v>265</v>
      </c>
      <c r="D1203" s="43" t="s">
        <v>582</v>
      </c>
      <c r="E1203" s="43" t="s">
        <v>598</v>
      </c>
      <c r="F1203" s="43" t="s">
        <v>352</v>
      </c>
      <c r="G1203" s="43" t="s">
        <v>234</v>
      </c>
      <c r="H1203" s="43" t="s">
        <v>207</v>
      </c>
      <c r="I1203" s="44">
        <v>45621</v>
      </c>
      <c r="J1203" s="44">
        <v>45621</v>
      </c>
      <c r="K1203" s="45">
        <v>0</v>
      </c>
      <c r="L1203" s="45">
        <v>0</v>
      </c>
      <c r="M1203" s="45">
        <v>0</v>
      </c>
      <c r="N1203" s="45">
        <v>2</v>
      </c>
      <c r="O1203" s="45">
        <v>115.2948</v>
      </c>
      <c r="P1203" s="62">
        <f t="shared" si="19"/>
        <v>2</v>
      </c>
    </row>
    <row r="1204" spans="1:16" x14ac:dyDescent="0.25">
      <c r="A1204" s="43" t="s">
        <v>200</v>
      </c>
      <c r="B1204" s="43" t="s">
        <v>291</v>
      </c>
      <c r="C1204" s="43" t="s">
        <v>265</v>
      </c>
      <c r="D1204" s="43" t="s">
        <v>582</v>
      </c>
      <c r="E1204" s="43" t="s">
        <v>599</v>
      </c>
      <c r="F1204" s="43" t="s">
        <v>352</v>
      </c>
      <c r="G1204" s="43" t="s">
        <v>232</v>
      </c>
      <c r="H1204" s="43" t="s">
        <v>226</v>
      </c>
      <c r="I1204" s="44">
        <v>45591</v>
      </c>
      <c r="J1204" s="44">
        <v>45646</v>
      </c>
      <c r="K1204" s="45">
        <v>0</v>
      </c>
      <c r="L1204" s="45">
        <v>0</v>
      </c>
      <c r="M1204" s="45">
        <v>0</v>
      </c>
      <c r="N1204" s="45">
        <v>6</v>
      </c>
      <c r="O1204" s="45">
        <v>334.73520000000002</v>
      </c>
      <c r="P1204" s="62">
        <f t="shared" si="19"/>
        <v>6</v>
      </c>
    </row>
    <row r="1205" spans="1:16" x14ac:dyDescent="0.25">
      <c r="A1205" s="43" t="s">
        <v>200</v>
      </c>
      <c r="B1205" s="43" t="s">
        <v>291</v>
      </c>
      <c r="C1205" s="43" t="s">
        <v>265</v>
      </c>
      <c r="D1205" s="43" t="s">
        <v>582</v>
      </c>
      <c r="E1205" s="43" t="s">
        <v>599</v>
      </c>
      <c r="F1205" s="43" t="s">
        <v>352</v>
      </c>
      <c r="G1205" s="43" t="s">
        <v>233</v>
      </c>
      <c r="H1205" s="43" t="s">
        <v>226</v>
      </c>
      <c r="I1205" s="44">
        <v>45591</v>
      </c>
      <c r="J1205" s="44">
        <v>45645</v>
      </c>
      <c r="K1205" s="45">
        <v>0</v>
      </c>
      <c r="L1205" s="45">
        <v>0</v>
      </c>
      <c r="M1205" s="45">
        <v>0</v>
      </c>
      <c r="N1205" s="45">
        <v>7</v>
      </c>
      <c r="O1205" s="45">
        <v>388.59100000000001</v>
      </c>
      <c r="P1205" s="62">
        <f t="shared" si="19"/>
        <v>7</v>
      </c>
    </row>
    <row r="1206" spans="1:16" x14ac:dyDescent="0.25">
      <c r="A1206" s="43" t="s">
        <v>200</v>
      </c>
      <c r="B1206" s="43" t="s">
        <v>291</v>
      </c>
      <c r="C1206" s="43" t="s">
        <v>265</v>
      </c>
      <c r="D1206" s="43" t="s">
        <v>582</v>
      </c>
      <c r="E1206" s="43" t="s">
        <v>599</v>
      </c>
      <c r="F1206" s="43" t="s">
        <v>352</v>
      </c>
      <c r="G1206" s="43" t="s">
        <v>234</v>
      </c>
      <c r="H1206" s="43" t="s">
        <v>226</v>
      </c>
      <c r="I1206" s="44">
        <v>45591</v>
      </c>
      <c r="J1206" s="44">
        <v>45645</v>
      </c>
      <c r="K1206" s="45">
        <v>0</v>
      </c>
      <c r="L1206" s="45">
        <v>0</v>
      </c>
      <c r="M1206" s="45">
        <v>0</v>
      </c>
      <c r="N1206" s="45">
        <v>6</v>
      </c>
      <c r="O1206" s="45">
        <v>342.2124</v>
      </c>
      <c r="P1206" s="62">
        <f t="shared" si="19"/>
        <v>6</v>
      </c>
    </row>
    <row r="1207" spans="1:16" x14ac:dyDescent="0.25">
      <c r="A1207" s="43" t="s">
        <v>200</v>
      </c>
      <c r="B1207" s="43" t="s">
        <v>291</v>
      </c>
      <c r="C1207" s="43" t="s">
        <v>265</v>
      </c>
      <c r="D1207" s="43" t="s">
        <v>582</v>
      </c>
      <c r="E1207" s="43" t="s">
        <v>599</v>
      </c>
      <c r="F1207" s="43" t="s">
        <v>352</v>
      </c>
      <c r="G1207" s="43" t="s">
        <v>296</v>
      </c>
      <c r="H1207" s="43" t="s">
        <v>226</v>
      </c>
      <c r="I1207" s="44">
        <v>45591</v>
      </c>
      <c r="J1207" s="44">
        <v>45640</v>
      </c>
      <c r="K1207" s="45">
        <v>1</v>
      </c>
      <c r="L1207" s="45">
        <v>55.902099999999997</v>
      </c>
      <c r="M1207" s="45">
        <v>144.85</v>
      </c>
      <c r="N1207" s="45">
        <v>3</v>
      </c>
      <c r="O1207" s="45">
        <v>169.99529999999999</v>
      </c>
      <c r="P1207" s="62">
        <f t="shared" si="19"/>
        <v>4</v>
      </c>
    </row>
    <row r="1208" spans="1:16" x14ac:dyDescent="0.25">
      <c r="A1208" s="43" t="s">
        <v>200</v>
      </c>
      <c r="B1208" s="43" t="s">
        <v>291</v>
      </c>
      <c r="C1208" s="43" t="s">
        <v>265</v>
      </c>
      <c r="D1208" s="43" t="s">
        <v>582</v>
      </c>
      <c r="E1208" s="43" t="s">
        <v>600</v>
      </c>
      <c r="F1208" s="43" t="s">
        <v>556</v>
      </c>
      <c r="G1208" s="43" t="s">
        <v>232</v>
      </c>
      <c r="H1208" s="43" t="s">
        <v>207</v>
      </c>
      <c r="I1208" s="44">
        <v>45617</v>
      </c>
      <c r="J1208" s="44">
        <v>45617</v>
      </c>
      <c r="K1208" s="45">
        <v>1</v>
      </c>
      <c r="L1208" s="45">
        <v>65.0625</v>
      </c>
      <c r="M1208" s="45">
        <v>189.52</v>
      </c>
      <c r="N1208" s="45">
        <v>0</v>
      </c>
      <c r="O1208" s="45">
        <v>0</v>
      </c>
      <c r="P1208" s="62">
        <f t="shared" si="19"/>
        <v>1</v>
      </c>
    </row>
    <row r="1209" spans="1:16" x14ac:dyDescent="0.25">
      <c r="A1209" s="43" t="s">
        <v>200</v>
      </c>
      <c r="B1209" s="43" t="s">
        <v>291</v>
      </c>
      <c r="C1209" s="43" t="s">
        <v>265</v>
      </c>
      <c r="D1209" s="43" t="s">
        <v>582</v>
      </c>
      <c r="E1209" s="43" t="s">
        <v>600</v>
      </c>
      <c r="F1209" s="43" t="s">
        <v>556</v>
      </c>
      <c r="G1209" s="43" t="s">
        <v>233</v>
      </c>
      <c r="H1209" s="43" t="s">
        <v>207</v>
      </c>
      <c r="I1209" s="44">
        <v>45617</v>
      </c>
      <c r="J1209" s="44">
        <v>45629</v>
      </c>
      <c r="K1209" s="45">
        <v>10</v>
      </c>
      <c r="L1209" s="45">
        <v>664.75710000000004</v>
      </c>
      <c r="M1209" s="45">
        <v>1696.23</v>
      </c>
      <c r="N1209" s="45">
        <v>0</v>
      </c>
      <c r="O1209" s="45">
        <v>0</v>
      </c>
      <c r="P1209" s="62">
        <f t="shared" si="19"/>
        <v>10</v>
      </c>
    </row>
    <row r="1210" spans="1:16" x14ac:dyDescent="0.25">
      <c r="A1210" s="43" t="s">
        <v>200</v>
      </c>
      <c r="B1210" s="43" t="s">
        <v>291</v>
      </c>
      <c r="C1210" s="43" t="s">
        <v>265</v>
      </c>
      <c r="D1210" s="43" t="s">
        <v>582</v>
      </c>
      <c r="E1210" s="43" t="s">
        <v>600</v>
      </c>
      <c r="F1210" s="43" t="s">
        <v>556</v>
      </c>
      <c r="G1210" s="43" t="s">
        <v>234</v>
      </c>
      <c r="H1210" s="43" t="s">
        <v>207</v>
      </c>
      <c r="I1210" s="44">
        <v>45617</v>
      </c>
      <c r="J1210" s="44">
        <v>45630</v>
      </c>
      <c r="K1210" s="45">
        <v>2</v>
      </c>
      <c r="L1210" s="45">
        <v>131.25280000000001</v>
      </c>
      <c r="M1210" s="45">
        <v>341.15</v>
      </c>
      <c r="N1210" s="45">
        <v>0</v>
      </c>
      <c r="O1210" s="45">
        <v>0</v>
      </c>
      <c r="P1210" s="62">
        <f t="shared" si="19"/>
        <v>2</v>
      </c>
    </row>
    <row r="1211" spans="1:16" x14ac:dyDescent="0.25">
      <c r="A1211" s="43" t="s">
        <v>200</v>
      </c>
      <c r="B1211" s="43" t="s">
        <v>291</v>
      </c>
      <c r="C1211" s="43" t="s">
        <v>265</v>
      </c>
      <c r="D1211" s="43" t="s">
        <v>582</v>
      </c>
      <c r="E1211" s="43" t="s">
        <v>600</v>
      </c>
      <c r="F1211" s="43" t="s">
        <v>556</v>
      </c>
      <c r="G1211" s="43" t="s">
        <v>296</v>
      </c>
      <c r="H1211" s="43" t="s">
        <v>207</v>
      </c>
      <c r="I1211" s="44">
        <v>45617</v>
      </c>
      <c r="J1211" s="44">
        <v>45625</v>
      </c>
      <c r="K1211" s="45">
        <v>1</v>
      </c>
      <c r="L1211" s="45">
        <v>64.310699999999997</v>
      </c>
      <c r="M1211" s="45">
        <v>170.57</v>
      </c>
      <c r="N1211" s="45">
        <v>1</v>
      </c>
      <c r="O1211" s="45">
        <v>66.942099999999996</v>
      </c>
      <c r="P1211" s="62">
        <f t="shared" si="19"/>
        <v>2</v>
      </c>
    </row>
    <row r="1212" spans="1:16" x14ac:dyDescent="0.25">
      <c r="A1212" s="43" t="s">
        <v>200</v>
      </c>
      <c r="B1212" s="43" t="s">
        <v>291</v>
      </c>
      <c r="C1212" s="43" t="s">
        <v>265</v>
      </c>
      <c r="D1212" s="43" t="s">
        <v>582</v>
      </c>
      <c r="E1212" s="43" t="s">
        <v>601</v>
      </c>
      <c r="F1212" s="43" t="s">
        <v>516</v>
      </c>
      <c r="G1212" s="43" t="s">
        <v>232</v>
      </c>
      <c r="H1212" s="43" t="s">
        <v>207</v>
      </c>
      <c r="I1212" s="44">
        <v>45591</v>
      </c>
      <c r="J1212" s="44">
        <v>45643</v>
      </c>
      <c r="K1212" s="45">
        <v>4</v>
      </c>
      <c r="L1212" s="45">
        <v>205.29040000000001</v>
      </c>
      <c r="M1212" s="45">
        <v>579.42999999999995</v>
      </c>
      <c r="N1212" s="45">
        <v>8</v>
      </c>
      <c r="O1212" s="45">
        <v>413.24959999999999</v>
      </c>
      <c r="P1212" s="62">
        <f t="shared" si="19"/>
        <v>12</v>
      </c>
    </row>
    <row r="1213" spans="1:16" x14ac:dyDescent="0.25">
      <c r="A1213" s="43" t="s">
        <v>200</v>
      </c>
      <c r="B1213" s="43" t="s">
        <v>291</v>
      </c>
      <c r="C1213" s="43" t="s">
        <v>265</v>
      </c>
      <c r="D1213" s="43" t="s">
        <v>582</v>
      </c>
      <c r="E1213" s="43" t="s">
        <v>601</v>
      </c>
      <c r="F1213" s="43" t="s">
        <v>516</v>
      </c>
      <c r="G1213" s="43" t="s">
        <v>233</v>
      </c>
      <c r="H1213" s="43" t="s">
        <v>207</v>
      </c>
      <c r="I1213" s="44">
        <v>45591</v>
      </c>
      <c r="J1213" s="44">
        <v>45643</v>
      </c>
      <c r="K1213" s="45">
        <v>12</v>
      </c>
      <c r="L1213" s="45">
        <v>623.54240000000004</v>
      </c>
      <c r="M1213" s="45">
        <v>1754.4</v>
      </c>
      <c r="N1213" s="45">
        <v>9</v>
      </c>
      <c r="O1213" s="45">
        <v>475.58339999999998</v>
      </c>
      <c r="P1213" s="62">
        <f t="shared" si="19"/>
        <v>21</v>
      </c>
    </row>
    <row r="1214" spans="1:16" x14ac:dyDescent="0.25">
      <c r="A1214" s="43" t="s">
        <v>200</v>
      </c>
      <c r="B1214" s="43" t="s">
        <v>291</v>
      </c>
      <c r="C1214" s="43" t="s">
        <v>265</v>
      </c>
      <c r="D1214" s="43" t="s">
        <v>582</v>
      </c>
      <c r="E1214" s="43" t="s">
        <v>601</v>
      </c>
      <c r="F1214" s="43" t="s">
        <v>516</v>
      </c>
      <c r="G1214" s="43" t="s">
        <v>234</v>
      </c>
      <c r="H1214" s="43" t="s">
        <v>207</v>
      </c>
      <c r="I1214" s="44">
        <v>45591</v>
      </c>
      <c r="J1214" s="44">
        <v>45639</v>
      </c>
      <c r="K1214" s="45">
        <v>12</v>
      </c>
      <c r="L1214" s="45">
        <v>620.40539999999999</v>
      </c>
      <c r="M1214" s="45">
        <v>1738.32</v>
      </c>
      <c r="N1214" s="45">
        <v>7</v>
      </c>
      <c r="O1214" s="45">
        <v>370.73750000000001</v>
      </c>
      <c r="P1214" s="62">
        <f t="shared" si="19"/>
        <v>19</v>
      </c>
    </row>
    <row r="1215" spans="1:16" x14ac:dyDescent="0.25">
      <c r="A1215" s="43" t="s">
        <v>200</v>
      </c>
      <c r="B1215" s="43" t="s">
        <v>291</v>
      </c>
      <c r="C1215" s="43" t="s">
        <v>265</v>
      </c>
      <c r="D1215" s="43" t="s">
        <v>582</v>
      </c>
      <c r="E1215" s="43" t="s">
        <v>601</v>
      </c>
      <c r="F1215" s="43" t="s">
        <v>516</v>
      </c>
      <c r="G1215" s="43" t="s">
        <v>259</v>
      </c>
      <c r="H1215" s="43" t="s">
        <v>207</v>
      </c>
      <c r="I1215" s="44">
        <v>45590</v>
      </c>
      <c r="J1215" s="44">
        <v>45590</v>
      </c>
      <c r="K1215" s="45">
        <v>0</v>
      </c>
      <c r="L1215" s="45">
        <v>0</v>
      </c>
      <c r="M1215" s="45">
        <v>0</v>
      </c>
      <c r="N1215" s="45">
        <v>4</v>
      </c>
      <c r="O1215" s="45">
        <v>205.29040000000001</v>
      </c>
      <c r="P1215" s="62">
        <f t="shared" si="19"/>
        <v>4</v>
      </c>
    </row>
    <row r="1216" spans="1:16" x14ac:dyDescent="0.25">
      <c r="A1216" s="43" t="s">
        <v>200</v>
      </c>
      <c r="B1216" s="43" t="s">
        <v>291</v>
      </c>
      <c r="C1216" s="43" t="s">
        <v>265</v>
      </c>
      <c r="D1216" s="43" t="s">
        <v>582</v>
      </c>
      <c r="E1216" s="43" t="s">
        <v>601</v>
      </c>
      <c r="F1216" s="43" t="s">
        <v>516</v>
      </c>
      <c r="G1216" s="43" t="s">
        <v>296</v>
      </c>
      <c r="H1216" s="43" t="s">
        <v>207</v>
      </c>
      <c r="I1216" s="44">
        <v>45591</v>
      </c>
      <c r="J1216" s="44">
        <v>45640</v>
      </c>
      <c r="K1216" s="45">
        <v>7</v>
      </c>
      <c r="L1216" s="45">
        <v>364.46030000000002</v>
      </c>
      <c r="M1216" s="45">
        <v>1030.0999999999999</v>
      </c>
      <c r="N1216" s="45">
        <v>4</v>
      </c>
      <c r="O1216" s="45">
        <v>213.4324</v>
      </c>
      <c r="P1216" s="62">
        <f t="shared" si="19"/>
        <v>11</v>
      </c>
    </row>
    <row r="1217" spans="1:16" x14ac:dyDescent="0.25">
      <c r="A1217" s="43" t="s">
        <v>200</v>
      </c>
      <c r="B1217" s="43" t="s">
        <v>291</v>
      </c>
      <c r="C1217" s="43" t="s">
        <v>265</v>
      </c>
      <c r="D1217" s="43" t="s">
        <v>582</v>
      </c>
      <c r="E1217" s="43" t="s">
        <v>602</v>
      </c>
      <c r="F1217" s="43" t="s">
        <v>516</v>
      </c>
      <c r="G1217" s="43" t="s">
        <v>232</v>
      </c>
      <c r="H1217" s="43" t="s">
        <v>207</v>
      </c>
      <c r="I1217" s="44">
        <v>45590</v>
      </c>
      <c r="J1217" s="44">
        <v>45605</v>
      </c>
      <c r="K1217" s="45">
        <v>0</v>
      </c>
      <c r="L1217" s="45">
        <v>0</v>
      </c>
      <c r="M1217" s="45">
        <v>0</v>
      </c>
      <c r="N1217" s="45">
        <v>9</v>
      </c>
      <c r="O1217" s="45">
        <v>461.90339999999998</v>
      </c>
      <c r="P1217" s="62">
        <f t="shared" si="19"/>
        <v>9</v>
      </c>
    </row>
    <row r="1218" spans="1:16" x14ac:dyDescent="0.25">
      <c r="A1218" s="43" t="s">
        <v>200</v>
      </c>
      <c r="B1218" s="43" t="s">
        <v>291</v>
      </c>
      <c r="C1218" s="43" t="s">
        <v>265</v>
      </c>
      <c r="D1218" s="43" t="s">
        <v>582</v>
      </c>
      <c r="E1218" s="43" t="s">
        <v>602</v>
      </c>
      <c r="F1218" s="43" t="s">
        <v>516</v>
      </c>
      <c r="G1218" s="43" t="s">
        <v>233</v>
      </c>
      <c r="H1218" s="43" t="s">
        <v>207</v>
      </c>
      <c r="I1218" s="44">
        <v>45590</v>
      </c>
      <c r="J1218" s="44">
        <v>45605</v>
      </c>
      <c r="K1218" s="45">
        <v>3</v>
      </c>
      <c r="L1218" s="45">
        <v>153.96780000000001</v>
      </c>
      <c r="M1218" s="45">
        <v>402.36</v>
      </c>
      <c r="N1218" s="45">
        <v>7</v>
      </c>
      <c r="O1218" s="45">
        <v>359.25819999999999</v>
      </c>
      <c r="P1218" s="62">
        <f t="shared" si="19"/>
        <v>10</v>
      </c>
    </row>
    <row r="1219" spans="1:16" x14ac:dyDescent="0.25">
      <c r="A1219" s="43" t="s">
        <v>200</v>
      </c>
      <c r="B1219" s="43" t="s">
        <v>291</v>
      </c>
      <c r="C1219" s="43" t="s">
        <v>265</v>
      </c>
      <c r="D1219" s="43" t="s">
        <v>582</v>
      </c>
      <c r="E1219" s="43" t="s">
        <v>602</v>
      </c>
      <c r="F1219" s="43" t="s">
        <v>516</v>
      </c>
      <c r="G1219" s="43" t="s">
        <v>234</v>
      </c>
      <c r="H1219" s="43" t="s">
        <v>207</v>
      </c>
      <c r="I1219" s="44">
        <v>45590</v>
      </c>
      <c r="J1219" s="44">
        <v>45643</v>
      </c>
      <c r="K1219" s="45">
        <v>8</v>
      </c>
      <c r="L1219" s="45">
        <v>414.68020000000001</v>
      </c>
      <c r="M1219" s="45">
        <v>1142.77</v>
      </c>
      <c r="N1219" s="45">
        <v>3</v>
      </c>
      <c r="O1219" s="45">
        <v>157.875</v>
      </c>
      <c r="P1219" s="62">
        <f t="shared" si="19"/>
        <v>11</v>
      </c>
    </row>
    <row r="1220" spans="1:16" x14ac:dyDescent="0.25">
      <c r="A1220" s="43" t="s">
        <v>200</v>
      </c>
      <c r="B1220" s="43" t="s">
        <v>291</v>
      </c>
      <c r="C1220" s="43" t="s">
        <v>265</v>
      </c>
      <c r="D1220" s="43" t="s">
        <v>582</v>
      </c>
      <c r="E1220" s="43" t="s">
        <v>602</v>
      </c>
      <c r="F1220" s="43" t="s">
        <v>516</v>
      </c>
      <c r="G1220" s="43" t="s">
        <v>259</v>
      </c>
      <c r="H1220" s="43" t="s">
        <v>207</v>
      </c>
      <c r="I1220" s="44">
        <v>45590</v>
      </c>
      <c r="J1220" s="44">
        <v>45590</v>
      </c>
      <c r="K1220" s="45">
        <v>0</v>
      </c>
      <c r="L1220" s="45">
        <v>0</v>
      </c>
      <c r="M1220" s="45">
        <v>0</v>
      </c>
      <c r="N1220" s="45">
        <v>3</v>
      </c>
      <c r="O1220" s="45">
        <v>153.96780000000001</v>
      </c>
      <c r="P1220" s="62">
        <f t="shared" si="19"/>
        <v>3</v>
      </c>
    </row>
    <row r="1221" spans="1:16" x14ac:dyDescent="0.25">
      <c r="A1221" s="43" t="s">
        <v>200</v>
      </c>
      <c r="B1221" s="43" t="s">
        <v>291</v>
      </c>
      <c r="C1221" s="43" t="s">
        <v>265</v>
      </c>
      <c r="D1221" s="43" t="s">
        <v>582</v>
      </c>
      <c r="E1221" s="43" t="s">
        <v>602</v>
      </c>
      <c r="F1221" s="43" t="s">
        <v>516</v>
      </c>
      <c r="G1221" s="43" t="s">
        <v>296</v>
      </c>
      <c r="H1221" s="43" t="s">
        <v>207</v>
      </c>
      <c r="I1221" s="44">
        <v>45591</v>
      </c>
      <c r="J1221" s="44">
        <v>45640</v>
      </c>
      <c r="K1221" s="45">
        <v>4</v>
      </c>
      <c r="L1221" s="45">
        <v>205.29040000000001</v>
      </c>
      <c r="M1221" s="45">
        <v>595.54</v>
      </c>
      <c r="N1221" s="45">
        <v>3</v>
      </c>
      <c r="O1221" s="45">
        <v>156.63659999999999</v>
      </c>
      <c r="P1221" s="62">
        <f t="shared" si="19"/>
        <v>7</v>
      </c>
    </row>
    <row r="1222" spans="1:16" x14ac:dyDescent="0.25">
      <c r="A1222" s="43" t="s">
        <v>200</v>
      </c>
      <c r="B1222" s="43" t="s">
        <v>291</v>
      </c>
      <c r="C1222" s="43" t="s">
        <v>265</v>
      </c>
      <c r="D1222" s="43" t="s">
        <v>582</v>
      </c>
      <c r="E1222" s="43" t="s">
        <v>603</v>
      </c>
      <c r="F1222" s="43" t="s">
        <v>516</v>
      </c>
      <c r="G1222" s="43" t="s">
        <v>234</v>
      </c>
      <c r="H1222" s="43" t="s">
        <v>207</v>
      </c>
      <c r="I1222" s="44">
        <v>45621</v>
      </c>
      <c r="J1222" s="44">
        <v>45621</v>
      </c>
      <c r="K1222" s="45">
        <v>0</v>
      </c>
      <c r="L1222" s="45">
        <v>0</v>
      </c>
      <c r="M1222" s="45">
        <v>0</v>
      </c>
      <c r="N1222" s="45">
        <v>2</v>
      </c>
      <c r="O1222" s="45">
        <v>107.9828</v>
      </c>
      <c r="P1222" s="62">
        <f t="shared" si="19"/>
        <v>2</v>
      </c>
    </row>
    <row r="1223" spans="1:16" x14ac:dyDescent="0.25">
      <c r="A1223" s="43" t="s">
        <v>200</v>
      </c>
      <c r="B1223" s="43" t="s">
        <v>291</v>
      </c>
      <c r="C1223" s="43" t="s">
        <v>265</v>
      </c>
      <c r="D1223" s="43" t="s">
        <v>582</v>
      </c>
      <c r="E1223" s="43" t="s">
        <v>604</v>
      </c>
      <c r="F1223" s="43" t="s">
        <v>585</v>
      </c>
      <c r="G1223" s="43" t="s">
        <v>232</v>
      </c>
      <c r="H1223" s="43" t="s">
        <v>207</v>
      </c>
      <c r="I1223" s="44">
        <v>45576</v>
      </c>
      <c r="J1223" s="44">
        <v>45643</v>
      </c>
      <c r="K1223" s="45">
        <v>2</v>
      </c>
      <c r="L1223" s="45">
        <v>109.8468</v>
      </c>
      <c r="M1223" s="45">
        <v>289.72000000000003</v>
      </c>
      <c r="N1223" s="45">
        <v>8</v>
      </c>
      <c r="O1223" s="45">
        <v>440.65280000000001</v>
      </c>
      <c r="P1223" s="62">
        <f t="shared" si="19"/>
        <v>10</v>
      </c>
    </row>
    <row r="1224" spans="1:16" x14ac:dyDescent="0.25">
      <c r="A1224" s="43" t="s">
        <v>200</v>
      </c>
      <c r="B1224" s="43" t="s">
        <v>291</v>
      </c>
      <c r="C1224" s="43" t="s">
        <v>265</v>
      </c>
      <c r="D1224" s="43" t="s">
        <v>582</v>
      </c>
      <c r="E1224" s="43" t="s">
        <v>604</v>
      </c>
      <c r="F1224" s="43" t="s">
        <v>585</v>
      </c>
      <c r="G1224" s="43" t="s">
        <v>233</v>
      </c>
      <c r="H1224" s="43" t="s">
        <v>207</v>
      </c>
      <c r="I1224" s="44">
        <v>45576</v>
      </c>
      <c r="J1224" s="44">
        <v>45638</v>
      </c>
      <c r="K1224" s="45">
        <v>3</v>
      </c>
      <c r="L1224" s="45">
        <v>164.8176</v>
      </c>
      <c r="M1224" s="45">
        <v>402.39</v>
      </c>
      <c r="N1224" s="45">
        <v>11</v>
      </c>
      <c r="O1224" s="45">
        <v>610.45820000000003</v>
      </c>
      <c r="P1224" s="62">
        <f t="shared" ref="P1224:P1287" si="20">K1224+N1224</f>
        <v>14</v>
      </c>
    </row>
    <row r="1225" spans="1:16" x14ac:dyDescent="0.25">
      <c r="A1225" s="43" t="s">
        <v>200</v>
      </c>
      <c r="B1225" s="43" t="s">
        <v>291</v>
      </c>
      <c r="C1225" s="43" t="s">
        <v>265</v>
      </c>
      <c r="D1225" s="43" t="s">
        <v>582</v>
      </c>
      <c r="E1225" s="43" t="s">
        <v>604</v>
      </c>
      <c r="F1225" s="43" t="s">
        <v>585</v>
      </c>
      <c r="G1225" s="43" t="s">
        <v>234</v>
      </c>
      <c r="H1225" s="43" t="s">
        <v>207</v>
      </c>
      <c r="I1225" s="44">
        <v>45576</v>
      </c>
      <c r="J1225" s="44">
        <v>45643</v>
      </c>
      <c r="K1225" s="45">
        <v>6</v>
      </c>
      <c r="L1225" s="45">
        <v>332.03109999999998</v>
      </c>
      <c r="M1225" s="45">
        <v>885.22</v>
      </c>
      <c r="N1225" s="45">
        <v>5</v>
      </c>
      <c r="O1225" s="45">
        <v>278.37349999999998</v>
      </c>
      <c r="P1225" s="62">
        <f t="shared" si="20"/>
        <v>11</v>
      </c>
    </row>
    <row r="1226" spans="1:16" x14ac:dyDescent="0.25">
      <c r="A1226" s="43" t="s">
        <v>200</v>
      </c>
      <c r="B1226" s="43" t="s">
        <v>291</v>
      </c>
      <c r="C1226" s="43" t="s">
        <v>265</v>
      </c>
      <c r="D1226" s="43" t="s">
        <v>582</v>
      </c>
      <c r="E1226" s="43" t="s">
        <v>604</v>
      </c>
      <c r="F1226" s="43" t="s">
        <v>585</v>
      </c>
      <c r="G1226" s="43" t="s">
        <v>296</v>
      </c>
      <c r="H1226" s="43" t="s">
        <v>207</v>
      </c>
      <c r="I1226" s="44">
        <v>45590</v>
      </c>
      <c r="J1226" s="44">
        <v>45642</v>
      </c>
      <c r="K1226" s="45">
        <v>3</v>
      </c>
      <c r="L1226" s="45">
        <v>166.25659999999999</v>
      </c>
      <c r="M1226" s="45">
        <v>450.66</v>
      </c>
      <c r="N1226" s="45">
        <v>4</v>
      </c>
      <c r="O1226" s="45">
        <v>225.6508</v>
      </c>
      <c r="P1226" s="62">
        <f t="shared" si="20"/>
        <v>7</v>
      </c>
    </row>
    <row r="1227" spans="1:16" x14ac:dyDescent="0.25">
      <c r="A1227" s="43" t="s">
        <v>200</v>
      </c>
      <c r="B1227" s="43" t="s">
        <v>291</v>
      </c>
      <c r="C1227" s="43" t="s">
        <v>265</v>
      </c>
      <c r="D1227" s="43" t="s">
        <v>582</v>
      </c>
      <c r="E1227" s="43" t="s">
        <v>605</v>
      </c>
      <c r="F1227" s="43" t="s">
        <v>585</v>
      </c>
      <c r="G1227" s="43" t="s">
        <v>232</v>
      </c>
      <c r="H1227" s="43" t="s">
        <v>207</v>
      </c>
      <c r="I1227" s="44">
        <v>45590</v>
      </c>
      <c r="J1227" s="44">
        <v>45630</v>
      </c>
      <c r="K1227" s="45">
        <v>1</v>
      </c>
      <c r="L1227" s="45">
        <v>54.771799999999999</v>
      </c>
      <c r="M1227" s="45">
        <v>144.86000000000001</v>
      </c>
      <c r="N1227" s="45">
        <v>9</v>
      </c>
      <c r="O1227" s="45">
        <v>495.79469999999998</v>
      </c>
      <c r="P1227" s="62">
        <f t="shared" si="20"/>
        <v>10</v>
      </c>
    </row>
    <row r="1228" spans="1:16" x14ac:dyDescent="0.25">
      <c r="A1228" s="43" t="s">
        <v>200</v>
      </c>
      <c r="B1228" s="43" t="s">
        <v>291</v>
      </c>
      <c r="C1228" s="43" t="s">
        <v>265</v>
      </c>
      <c r="D1228" s="43" t="s">
        <v>582</v>
      </c>
      <c r="E1228" s="43" t="s">
        <v>605</v>
      </c>
      <c r="F1228" s="43" t="s">
        <v>585</v>
      </c>
      <c r="G1228" s="43" t="s">
        <v>233</v>
      </c>
      <c r="H1228" s="43" t="s">
        <v>207</v>
      </c>
      <c r="I1228" s="44">
        <v>45590</v>
      </c>
      <c r="J1228" s="44">
        <v>45630</v>
      </c>
      <c r="K1228" s="45">
        <v>2</v>
      </c>
      <c r="L1228" s="45">
        <v>109.7919</v>
      </c>
      <c r="M1228" s="45">
        <v>289.72000000000003</v>
      </c>
      <c r="N1228" s="45">
        <v>11</v>
      </c>
      <c r="O1228" s="45">
        <v>607.86879999999996</v>
      </c>
      <c r="P1228" s="62">
        <f t="shared" si="20"/>
        <v>13</v>
      </c>
    </row>
    <row r="1229" spans="1:16" x14ac:dyDescent="0.25">
      <c r="A1229" s="43" t="s">
        <v>200</v>
      </c>
      <c r="B1229" s="43" t="s">
        <v>291</v>
      </c>
      <c r="C1229" s="43" t="s">
        <v>265</v>
      </c>
      <c r="D1229" s="43" t="s">
        <v>582</v>
      </c>
      <c r="E1229" s="43" t="s">
        <v>605</v>
      </c>
      <c r="F1229" s="43" t="s">
        <v>585</v>
      </c>
      <c r="G1229" s="43" t="s">
        <v>234</v>
      </c>
      <c r="H1229" s="43" t="s">
        <v>207</v>
      </c>
      <c r="I1229" s="44">
        <v>45590</v>
      </c>
      <c r="J1229" s="44">
        <v>45643</v>
      </c>
      <c r="K1229" s="45">
        <v>3</v>
      </c>
      <c r="L1229" s="45">
        <v>165.10050000000001</v>
      </c>
      <c r="M1229" s="45">
        <v>434.58</v>
      </c>
      <c r="N1229" s="45">
        <v>6</v>
      </c>
      <c r="O1229" s="45">
        <v>331.01459999999997</v>
      </c>
      <c r="P1229" s="62">
        <f t="shared" si="20"/>
        <v>9</v>
      </c>
    </row>
    <row r="1230" spans="1:16" x14ac:dyDescent="0.25">
      <c r="A1230" s="43" t="s">
        <v>200</v>
      </c>
      <c r="B1230" s="43" t="s">
        <v>291</v>
      </c>
      <c r="C1230" s="43" t="s">
        <v>265</v>
      </c>
      <c r="D1230" s="43" t="s">
        <v>582</v>
      </c>
      <c r="E1230" s="43" t="s">
        <v>605</v>
      </c>
      <c r="F1230" s="43" t="s">
        <v>585</v>
      </c>
      <c r="G1230" s="43" t="s">
        <v>296</v>
      </c>
      <c r="H1230" s="43" t="s">
        <v>207</v>
      </c>
      <c r="I1230" s="44">
        <v>45590</v>
      </c>
      <c r="J1230" s="44">
        <v>45642</v>
      </c>
      <c r="K1230" s="45">
        <v>1</v>
      </c>
      <c r="L1230" s="45">
        <v>54.762300000000003</v>
      </c>
      <c r="M1230" s="45">
        <v>144.86000000000001</v>
      </c>
      <c r="N1230" s="45">
        <v>4</v>
      </c>
      <c r="O1230" s="45">
        <v>221.89680000000001</v>
      </c>
      <c r="P1230" s="62">
        <f t="shared" si="20"/>
        <v>5</v>
      </c>
    </row>
    <row r="1231" spans="1:16" x14ac:dyDescent="0.25">
      <c r="A1231" s="43" t="s">
        <v>200</v>
      </c>
      <c r="B1231" s="43" t="s">
        <v>291</v>
      </c>
      <c r="C1231" s="43" t="s">
        <v>265</v>
      </c>
      <c r="D1231" s="43" t="s">
        <v>582</v>
      </c>
      <c r="E1231" s="43" t="s">
        <v>606</v>
      </c>
      <c r="F1231" s="43" t="s">
        <v>585</v>
      </c>
      <c r="G1231" s="43" t="s">
        <v>232</v>
      </c>
      <c r="H1231" s="43" t="s">
        <v>207</v>
      </c>
      <c r="I1231" s="44">
        <v>45590</v>
      </c>
      <c r="J1231" s="44">
        <v>45643</v>
      </c>
      <c r="K1231" s="45">
        <v>3</v>
      </c>
      <c r="L1231" s="45">
        <v>164.41800000000001</v>
      </c>
      <c r="M1231" s="45">
        <v>434.58</v>
      </c>
      <c r="N1231" s="45">
        <v>7</v>
      </c>
      <c r="O1231" s="45">
        <v>383.642</v>
      </c>
      <c r="P1231" s="62">
        <f t="shared" si="20"/>
        <v>10</v>
      </c>
    </row>
    <row r="1232" spans="1:16" x14ac:dyDescent="0.25">
      <c r="A1232" s="43" t="s">
        <v>200</v>
      </c>
      <c r="B1232" s="43" t="s">
        <v>291</v>
      </c>
      <c r="C1232" s="43" t="s">
        <v>265</v>
      </c>
      <c r="D1232" s="43" t="s">
        <v>582</v>
      </c>
      <c r="E1232" s="43" t="s">
        <v>606</v>
      </c>
      <c r="F1232" s="43" t="s">
        <v>585</v>
      </c>
      <c r="G1232" s="43" t="s">
        <v>233</v>
      </c>
      <c r="H1232" s="43" t="s">
        <v>207</v>
      </c>
      <c r="I1232" s="44">
        <v>45590</v>
      </c>
      <c r="J1232" s="44">
        <v>45643</v>
      </c>
      <c r="K1232" s="45">
        <v>13</v>
      </c>
      <c r="L1232" s="45">
        <v>713.54700000000003</v>
      </c>
      <c r="M1232" s="45">
        <v>1899.25</v>
      </c>
      <c r="N1232" s="45">
        <v>11</v>
      </c>
      <c r="O1232" s="45">
        <v>616.42349999999999</v>
      </c>
      <c r="P1232" s="62">
        <f t="shared" si="20"/>
        <v>24</v>
      </c>
    </row>
    <row r="1233" spans="1:16" x14ac:dyDescent="0.25">
      <c r="A1233" s="43" t="s">
        <v>200</v>
      </c>
      <c r="B1233" s="43" t="s">
        <v>291</v>
      </c>
      <c r="C1233" s="43" t="s">
        <v>265</v>
      </c>
      <c r="D1233" s="43" t="s">
        <v>582</v>
      </c>
      <c r="E1233" s="43" t="s">
        <v>606</v>
      </c>
      <c r="F1233" s="43" t="s">
        <v>585</v>
      </c>
      <c r="G1233" s="43" t="s">
        <v>234</v>
      </c>
      <c r="H1233" s="43" t="s">
        <v>207</v>
      </c>
      <c r="I1233" s="44">
        <v>45590</v>
      </c>
      <c r="J1233" s="44">
        <v>45643</v>
      </c>
      <c r="K1233" s="45">
        <v>14</v>
      </c>
      <c r="L1233" s="45">
        <v>773.89589999999998</v>
      </c>
      <c r="M1233" s="45">
        <v>2060.21</v>
      </c>
      <c r="N1233" s="45">
        <v>5</v>
      </c>
      <c r="O1233" s="45">
        <v>282.00599999999997</v>
      </c>
      <c r="P1233" s="62">
        <f t="shared" si="20"/>
        <v>19</v>
      </c>
    </row>
    <row r="1234" spans="1:16" x14ac:dyDescent="0.25">
      <c r="A1234" s="43" t="s">
        <v>200</v>
      </c>
      <c r="B1234" s="43" t="s">
        <v>291</v>
      </c>
      <c r="C1234" s="43" t="s">
        <v>265</v>
      </c>
      <c r="D1234" s="43" t="s">
        <v>582</v>
      </c>
      <c r="E1234" s="43" t="s">
        <v>606</v>
      </c>
      <c r="F1234" s="43" t="s">
        <v>585</v>
      </c>
      <c r="G1234" s="43" t="s">
        <v>296</v>
      </c>
      <c r="H1234" s="43" t="s">
        <v>207</v>
      </c>
      <c r="I1234" s="44">
        <v>45590</v>
      </c>
      <c r="J1234" s="44">
        <v>45630</v>
      </c>
      <c r="K1234" s="45">
        <v>3</v>
      </c>
      <c r="L1234" s="45">
        <v>164.43389999999999</v>
      </c>
      <c r="M1234" s="45">
        <v>418.48</v>
      </c>
      <c r="N1234" s="45">
        <v>4</v>
      </c>
      <c r="O1234" s="45">
        <v>222.12360000000001</v>
      </c>
      <c r="P1234" s="62">
        <f t="shared" si="20"/>
        <v>7</v>
      </c>
    </row>
    <row r="1235" spans="1:16" x14ac:dyDescent="0.25">
      <c r="A1235" s="43" t="s">
        <v>200</v>
      </c>
      <c r="B1235" s="43" t="s">
        <v>291</v>
      </c>
      <c r="C1235" s="43" t="s">
        <v>265</v>
      </c>
      <c r="D1235" s="43" t="s">
        <v>582</v>
      </c>
      <c r="E1235" s="43" t="s">
        <v>607</v>
      </c>
      <c r="F1235" s="43" t="s">
        <v>585</v>
      </c>
      <c r="G1235" s="43" t="s">
        <v>232</v>
      </c>
      <c r="H1235" s="43" t="s">
        <v>218</v>
      </c>
      <c r="I1235" s="44">
        <v>45591</v>
      </c>
      <c r="J1235" s="44">
        <v>45619</v>
      </c>
      <c r="K1235" s="45">
        <v>2</v>
      </c>
      <c r="L1235" s="45">
        <v>109.99679999999999</v>
      </c>
      <c r="M1235" s="45">
        <v>257.52999999999997</v>
      </c>
      <c r="N1235" s="45">
        <v>0</v>
      </c>
      <c r="O1235" s="45">
        <v>0</v>
      </c>
      <c r="P1235" s="62">
        <f t="shared" si="20"/>
        <v>2</v>
      </c>
    </row>
    <row r="1236" spans="1:16" x14ac:dyDescent="0.25">
      <c r="A1236" s="43" t="s">
        <v>200</v>
      </c>
      <c r="B1236" s="43" t="s">
        <v>291</v>
      </c>
      <c r="C1236" s="43" t="s">
        <v>265</v>
      </c>
      <c r="D1236" s="43" t="s">
        <v>582</v>
      </c>
      <c r="E1236" s="43" t="s">
        <v>607</v>
      </c>
      <c r="F1236" s="43" t="s">
        <v>585</v>
      </c>
      <c r="G1236" s="43" t="s">
        <v>233</v>
      </c>
      <c r="H1236" s="43" t="s">
        <v>218</v>
      </c>
      <c r="I1236" s="44">
        <v>45591</v>
      </c>
      <c r="J1236" s="44">
        <v>45630</v>
      </c>
      <c r="K1236" s="45">
        <v>6</v>
      </c>
      <c r="L1236" s="45">
        <v>333.45499999999998</v>
      </c>
      <c r="M1236" s="45">
        <v>869.14</v>
      </c>
      <c r="N1236" s="45">
        <v>0</v>
      </c>
      <c r="O1236" s="45">
        <v>0</v>
      </c>
      <c r="P1236" s="62">
        <f t="shared" si="20"/>
        <v>6</v>
      </c>
    </row>
    <row r="1237" spans="1:16" x14ac:dyDescent="0.25">
      <c r="A1237" s="43" t="s">
        <v>200</v>
      </c>
      <c r="B1237" s="43" t="s">
        <v>291</v>
      </c>
      <c r="C1237" s="43" t="s">
        <v>265</v>
      </c>
      <c r="D1237" s="43" t="s">
        <v>582</v>
      </c>
      <c r="E1237" s="43" t="s">
        <v>607</v>
      </c>
      <c r="F1237" s="43" t="s">
        <v>585</v>
      </c>
      <c r="G1237" s="43" t="s">
        <v>234</v>
      </c>
      <c r="H1237" s="43" t="s">
        <v>218</v>
      </c>
      <c r="I1237" s="44">
        <v>45591</v>
      </c>
      <c r="J1237" s="44">
        <v>45629</v>
      </c>
      <c r="K1237" s="45">
        <v>2</v>
      </c>
      <c r="L1237" s="45">
        <v>110.0932</v>
      </c>
      <c r="M1237" s="45">
        <v>289.72000000000003</v>
      </c>
      <c r="N1237" s="45">
        <v>0</v>
      </c>
      <c r="O1237" s="45">
        <v>0</v>
      </c>
      <c r="P1237" s="62">
        <f t="shared" si="20"/>
        <v>2</v>
      </c>
    </row>
    <row r="1238" spans="1:16" x14ac:dyDescent="0.25">
      <c r="A1238" s="43" t="s">
        <v>200</v>
      </c>
      <c r="B1238" s="43" t="s">
        <v>291</v>
      </c>
      <c r="C1238" s="43" t="s">
        <v>265</v>
      </c>
      <c r="D1238" s="43" t="s">
        <v>582</v>
      </c>
      <c r="E1238" s="43" t="s">
        <v>607</v>
      </c>
      <c r="F1238" s="43" t="s">
        <v>585</v>
      </c>
      <c r="G1238" s="43" t="s">
        <v>296</v>
      </c>
      <c r="H1238" s="43" t="s">
        <v>218</v>
      </c>
      <c r="I1238" s="44">
        <v>45591</v>
      </c>
      <c r="J1238" s="44">
        <v>45622</v>
      </c>
      <c r="K1238" s="45">
        <v>1</v>
      </c>
      <c r="L1238" s="45">
        <v>54.757599999999996</v>
      </c>
      <c r="M1238" s="45">
        <v>144.86000000000001</v>
      </c>
      <c r="N1238" s="45">
        <v>0</v>
      </c>
      <c r="O1238" s="45">
        <v>0</v>
      </c>
      <c r="P1238" s="62">
        <f t="shared" si="20"/>
        <v>1</v>
      </c>
    </row>
    <row r="1239" spans="1:16" x14ac:dyDescent="0.25">
      <c r="A1239" s="43" t="s">
        <v>200</v>
      </c>
      <c r="B1239" s="43" t="s">
        <v>291</v>
      </c>
      <c r="C1239" s="43" t="s">
        <v>265</v>
      </c>
      <c r="D1239" s="43" t="s">
        <v>582</v>
      </c>
      <c r="E1239" s="43" t="s">
        <v>608</v>
      </c>
      <c r="F1239" s="43" t="s">
        <v>585</v>
      </c>
      <c r="G1239" s="43" t="s">
        <v>232</v>
      </c>
      <c r="H1239" s="43" t="s">
        <v>207</v>
      </c>
      <c r="I1239" s="44">
        <v>45590</v>
      </c>
      <c r="J1239" s="44">
        <v>45645</v>
      </c>
      <c r="K1239" s="45">
        <v>0</v>
      </c>
      <c r="L1239" s="45">
        <v>0</v>
      </c>
      <c r="M1239" s="45">
        <v>0</v>
      </c>
      <c r="N1239" s="45">
        <v>8</v>
      </c>
      <c r="O1239" s="45">
        <v>438.38319999999999</v>
      </c>
      <c r="P1239" s="62">
        <f t="shared" si="20"/>
        <v>8</v>
      </c>
    </row>
    <row r="1240" spans="1:16" x14ac:dyDescent="0.25">
      <c r="A1240" s="43" t="s">
        <v>200</v>
      </c>
      <c r="B1240" s="43" t="s">
        <v>291</v>
      </c>
      <c r="C1240" s="43" t="s">
        <v>265</v>
      </c>
      <c r="D1240" s="43" t="s">
        <v>582</v>
      </c>
      <c r="E1240" s="43" t="s">
        <v>608</v>
      </c>
      <c r="F1240" s="43" t="s">
        <v>585</v>
      </c>
      <c r="G1240" s="43" t="s">
        <v>233</v>
      </c>
      <c r="H1240" s="43" t="s">
        <v>207</v>
      </c>
      <c r="I1240" s="44">
        <v>45590</v>
      </c>
      <c r="J1240" s="44">
        <v>45643</v>
      </c>
      <c r="K1240" s="45">
        <v>3</v>
      </c>
      <c r="L1240" s="45">
        <v>164.97210000000001</v>
      </c>
      <c r="M1240" s="45">
        <v>434.58</v>
      </c>
      <c r="N1240" s="45">
        <v>10</v>
      </c>
      <c r="O1240" s="45">
        <v>556.07600000000002</v>
      </c>
      <c r="P1240" s="62">
        <f t="shared" si="20"/>
        <v>13</v>
      </c>
    </row>
    <row r="1241" spans="1:16" x14ac:dyDescent="0.25">
      <c r="A1241" s="43" t="s">
        <v>200</v>
      </c>
      <c r="B1241" s="43" t="s">
        <v>291</v>
      </c>
      <c r="C1241" s="43" t="s">
        <v>265</v>
      </c>
      <c r="D1241" s="43" t="s">
        <v>582</v>
      </c>
      <c r="E1241" s="43" t="s">
        <v>608</v>
      </c>
      <c r="F1241" s="43" t="s">
        <v>585</v>
      </c>
      <c r="G1241" s="43" t="s">
        <v>234</v>
      </c>
      <c r="H1241" s="43" t="s">
        <v>207</v>
      </c>
      <c r="I1241" s="44">
        <v>45590</v>
      </c>
      <c r="J1241" s="44">
        <v>45632</v>
      </c>
      <c r="K1241" s="45">
        <v>3</v>
      </c>
      <c r="L1241" s="45">
        <v>165.2191</v>
      </c>
      <c r="M1241" s="45">
        <v>434.57</v>
      </c>
      <c r="N1241" s="45">
        <v>7</v>
      </c>
      <c r="O1241" s="45">
        <v>391.43299999999999</v>
      </c>
      <c r="P1241" s="62">
        <f t="shared" si="20"/>
        <v>10</v>
      </c>
    </row>
    <row r="1242" spans="1:16" x14ac:dyDescent="0.25">
      <c r="A1242" s="43" t="s">
        <v>200</v>
      </c>
      <c r="B1242" s="43" t="s">
        <v>291</v>
      </c>
      <c r="C1242" s="43" t="s">
        <v>265</v>
      </c>
      <c r="D1242" s="43" t="s">
        <v>582</v>
      </c>
      <c r="E1242" s="43" t="s">
        <v>608</v>
      </c>
      <c r="F1242" s="43" t="s">
        <v>585</v>
      </c>
      <c r="G1242" s="43" t="s">
        <v>259</v>
      </c>
      <c r="H1242" s="43" t="s">
        <v>207</v>
      </c>
      <c r="I1242" s="44">
        <v>45591</v>
      </c>
      <c r="J1242" s="44">
        <v>45591</v>
      </c>
      <c r="K1242" s="45">
        <v>0</v>
      </c>
      <c r="L1242" s="45">
        <v>0</v>
      </c>
      <c r="M1242" s="45">
        <v>0</v>
      </c>
      <c r="N1242" s="45">
        <v>4</v>
      </c>
      <c r="O1242" s="45">
        <v>219.19159999999999</v>
      </c>
      <c r="P1242" s="62">
        <f t="shared" si="20"/>
        <v>4</v>
      </c>
    </row>
    <row r="1243" spans="1:16" x14ac:dyDescent="0.25">
      <c r="A1243" s="43" t="s">
        <v>200</v>
      </c>
      <c r="B1243" s="43" t="s">
        <v>291</v>
      </c>
      <c r="C1243" s="43" t="s">
        <v>265</v>
      </c>
      <c r="D1243" s="43" t="s">
        <v>582</v>
      </c>
      <c r="E1243" s="43" t="s">
        <v>608</v>
      </c>
      <c r="F1243" s="43" t="s">
        <v>585</v>
      </c>
      <c r="G1243" s="43" t="s">
        <v>296</v>
      </c>
      <c r="H1243" s="43" t="s">
        <v>207</v>
      </c>
      <c r="I1243" s="44">
        <v>45590</v>
      </c>
      <c r="J1243" s="44">
        <v>45590</v>
      </c>
      <c r="K1243" s="45">
        <v>0</v>
      </c>
      <c r="L1243" s="45">
        <v>0</v>
      </c>
      <c r="M1243" s="45">
        <v>0</v>
      </c>
      <c r="N1243" s="45">
        <v>4</v>
      </c>
      <c r="O1243" s="45">
        <v>219.19159999999999</v>
      </c>
      <c r="P1243" s="62">
        <f t="shared" si="20"/>
        <v>4</v>
      </c>
    </row>
    <row r="1244" spans="1:16" x14ac:dyDescent="0.25">
      <c r="A1244" s="43" t="s">
        <v>200</v>
      </c>
      <c r="B1244" s="43" t="s">
        <v>291</v>
      </c>
      <c r="C1244" s="43" t="s">
        <v>265</v>
      </c>
      <c r="D1244" s="43" t="s">
        <v>582</v>
      </c>
      <c r="E1244" s="43" t="s">
        <v>609</v>
      </c>
      <c r="F1244" s="43" t="s">
        <v>585</v>
      </c>
      <c r="G1244" s="43" t="s">
        <v>232</v>
      </c>
      <c r="H1244" s="43" t="s">
        <v>207</v>
      </c>
      <c r="I1244" s="44">
        <v>45591</v>
      </c>
      <c r="J1244" s="44">
        <v>45591</v>
      </c>
      <c r="K1244" s="45">
        <v>0</v>
      </c>
      <c r="L1244" s="45">
        <v>0</v>
      </c>
      <c r="M1244" s="45">
        <v>0</v>
      </c>
      <c r="N1244" s="45">
        <v>6</v>
      </c>
      <c r="O1244" s="45">
        <v>257.0172</v>
      </c>
      <c r="P1244" s="62">
        <f t="shared" si="20"/>
        <v>6</v>
      </c>
    </row>
    <row r="1245" spans="1:16" x14ac:dyDescent="0.25">
      <c r="A1245" s="43" t="s">
        <v>200</v>
      </c>
      <c r="B1245" s="43" t="s">
        <v>291</v>
      </c>
      <c r="C1245" s="43" t="s">
        <v>265</v>
      </c>
      <c r="D1245" s="43" t="s">
        <v>582</v>
      </c>
      <c r="E1245" s="43" t="s">
        <v>609</v>
      </c>
      <c r="F1245" s="43" t="s">
        <v>585</v>
      </c>
      <c r="G1245" s="43" t="s">
        <v>233</v>
      </c>
      <c r="H1245" s="43" t="s">
        <v>207</v>
      </c>
      <c r="I1245" s="44">
        <v>45591</v>
      </c>
      <c r="J1245" s="44">
        <v>45591</v>
      </c>
      <c r="K1245" s="45">
        <v>0</v>
      </c>
      <c r="L1245" s="45">
        <v>0</v>
      </c>
      <c r="M1245" s="45">
        <v>0</v>
      </c>
      <c r="N1245" s="45">
        <v>7</v>
      </c>
      <c r="O1245" s="45">
        <v>299.85340000000002</v>
      </c>
      <c r="P1245" s="62">
        <f t="shared" si="20"/>
        <v>7</v>
      </c>
    </row>
    <row r="1246" spans="1:16" x14ac:dyDescent="0.25">
      <c r="A1246" s="43" t="s">
        <v>200</v>
      </c>
      <c r="B1246" s="43" t="s">
        <v>291</v>
      </c>
      <c r="C1246" s="43" t="s">
        <v>265</v>
      </c>
      <c r="D1246" s="43" t="s">
        <v>582</v>
      </c>
      <c r="E1246" s="43" t="s">
        <v>609</v>
      </c>
      <c r="F1246" s="43" t="s">
        <v>585</v>
      </c>
      <c r="G1246" s="43" t="s">
        <v>234</v>
      </c>
      <c r="H1246" s="43" t="s">
        <v>207</v>
      </c>
      <c r="I1246" s="44">
        <v>45591</v>
      </c>
      <c r="J1246" s="44">
        <v>45615</v>
      </c>
      <c r="K1246" s="45">
        <v>1</v>
      </c>
      <c r="L1246" s="45">
        <v>42.836199999999998</v>
      </c>
      <c r="M1246" s="45">
        <v>119.14</v>
      </c>
      <c r="N1246" s="45">
        <v>5</v>
      </c>
      <c r="O1246" s="45">
        <v>214.18100000000001</v>
      </c>
      <c r="P1246" s="62">
        <f t="shared" si="20"/>
        <v>6</v>
      </c>
    </row>
    <row r="1247" spans="1:16" x14ac:dyDescent="0.25">
      <c r="A1247" s="43" t="s">
        <v>200</v>
      </c>
      <c r="B1247" s="43" t="s">
        <v>291</v>
      </c>
      <c r="C1247" s="43" t="s">
        <v>265</v>
      </c>
      <c r="D1247" s="43" t="s">
        <v>582</v>
      </c>
      <c r="E1247" s="43" t="s">
        <v>609</v>
      </c>
      <c r="F1247" s="43" t="s">
        <v>585</v>
      </c>
      <c r="G1247" s="43" t="s">
        <v>259</v>
      </c>
      <c r="H1247" s="43" t="s">
        <v>207</v>
      </c>
      <c r="I1247" s="44">
        <v>45591</v>
      </c>
      <c r="J1247" s="44">
        <v>45591</v>
      </c>
      <c r="K1247" s="45">
        <v>0</v>
      </c>
      <c r="L1247" s="45">
        <v>0</v>
      </c>
      <c r="M1247" s="45">
        <v>0</v>
      </c>
      <c r="N1247" s="45">
        <v>1</v>
      </c>
      <c r="O1247" s="45">
        <v>42.836199999999998</v>
      </c>
      <c r="P1247" s="62">
        <f t="shared" si="20"/>
        <v>1</v>
      </c>
    </row>
    <row r="1248" spans="1:16" x14ac:dyDescent="0.25">
      <c r="A1248" s="43" t="s">
        <v>200</v>
      </c>
      <c r="B1248" s="43" t="s">
        <v>291</v>
      </c>
      <c r="C1248" s="43" t="s">
        <v>265</v>
      </c>
      <c r="D1248" s="43" t="s">
        <v>582</v>
      </c>
      <c r="E1248" s="43" t="s">
        <v>609</v>
      </c>
      <c r="F1248" s="43" t="s">
        <v>585</v>
      </c>
      <c r="G1248" s="43" t="s">
        <v>296</v>
      </c>
      <c r="H1248" s="43" t="s">
        <v>207</v>
      </c>
      <c r="I1248" s="44">
        <v>45591</v>
      </c>
      <c r="J1248" s="44">
        <v>45591</v>
      </c>
      <c r="K1248" s="45">
        <v>0</v>
      </c>
      <c r="L1248" s="45">
        <v>0</v>
      </c>
      <c r="M1248" s="45">
        <v>0</v>
      </c>
      <c r="N1248" s="45">
        <v>3</v>
      </c>
      <c r="O1248" s="45">
        <v>128.5086</v>
      </c>
      <c r="P1248" s="62">
        <f t="shared" si="20"/>
        <v>3</v>
      </c>
    </row>
    <row r="1249" spans="1:16" x14ac:dyDescent="0.25">
      <c r="A1249" s="43" t="s">
        <v>200</v>
      </c>
      <c r="B1249" s="43" t="s">
        <v>291</v>
      </c>
      <c r="C1249" s="43" t="s">
        <v>265</v>
      </c>
      <c r="D1249" s="43" t="s">
        <v>582</v>
      </c>
      <c r="E1249" s="43" t="s">
        <v>610</v>
      </c>
      <c r="F1249" s="43" t="s">
        <v>585</v>
      </c>
      <c r="G1249" s="43" t="s">
        <v>232</v>
      </c>
      <c r="H1249" s="43" t="s">
        <v>207</v>
      </c>
      <c r="I1249" s="44">
        <v>45591</v>
      </c>
      <c r="J1249" s="44">
        <v>45591</v>
      </c>
      <c r="K1249" s="45">
        <v>0</v>
      </c>
      <c r="L1249" s="45">
        <v>0</v>
      </c>
      <c r="M1249" s="45">
        <v>0</v>
      </c>
      <c r="N1249" s="45">
        <v>6</v>
      </c>
      <c r="O1249" s="45">
        <v>257.0172</v>
      </c>
      <c r="P1249" s="62">
        <f t="shared" si="20"/>
        <v>6</v>
      </c>
    </row>
    <row r="1250" spans="1:16" x14ac:dyDescent="0.25">
      <c r="A1250" s="43" t="s">
        <v>200</v>
      </c>
      <c r="B1250" s="43" t="s">
        <v>291</v>
      </c>
      <c r="C1250" s="43" t="s">
        <v>265</v>
      </c>
      <c r="D1250" s="43" t="s">
        <v>582</v>
      </c>
      <c r="E1250" s="43" t="s">
        <v>610</v>
      </c>
      <c r="F1250" s="43" t="s">
        <v>585</v>
      </c>
      <c r="G1250" s="43" t="s">
        <v>233</v>
      </c>
      <c r="H1250" s="43" t="s">
        <v>207</v>
      </c>
      <c r="I1250" s="44">
        <v>45591</v>
      </c>
      <c r="J1250" s="44">
        <v>45621</v>
      </c>
      <c r="K1250" s="45">
        <v>5</v>
      </c>
      <c r="L1250" s="45">
        <v>215.29490000000001</v>
      </c>
      <c r="M1250" s="45">
        <v>565.14</v>
      </c>
      <c r="N1250" s="45">
        <v>3</v>
      </c>
      <c r="O1250" s="45">
        <v>129.6225</v>
      </c>
      <c r="P1250" s="62">
        <f t="shared" si="20"/>
        <v>8</v>
      </c>
    </row>
    <row r="1251" spans="1:16" x14ac:dyDescent="0.25">
      <c r="A1251" s="43" t="s">
        <v>200</v>
      </c>
      <c r="B1251" s="43" t="s">
        <v>291</v>
      </c>
      <c r="C1251" s="43" t="s">
        <v>265</v>
      </c>
      <c r="D1251" s="43" t="s">
        <v>582</v>
      </c>
      <c r="E1251" s="43" t="s">
        <v>610</v>
      </c>
      <c r="F1251" s="43" t="s">
        <v>585</v>
      </c>
      <c r="G1251" s="43" t="s">
        <v>234</v>
      </c>
      <c r="H1251" s="43" t="s">
        <v>207</v>
      </c>
      <c r="I1251" s="44">
        <v>45591</v>
      </c>
      <c r="J1251" s="44">
        <v>45591</v>
      </c>
      <c r="K1251" s="45">
        <v>3</v>
      </c>
      <c r="L1251" s="45">
        <v>128.5086</v>
      </c>
      <c r="M1251" s="45">
        <v>331.71</v>
      </c>
      <c r="N1251" s="45">
        <v>1</v>
      </c>
      <c r="O1251" s="45">
        <v>42.836199999999998</v>
      </c>
      <c r="P1251" s="62">
        <f t="shared" si="20"/>
        <v>4</v>
      </c>
    </row>
    <row r="1252" spans="1:16" x14ac:dyDescent="0.25">
      <c r="A1252" s="43" t="s">
        <v>200</v>
      </c>
      <c r="B1252" s="43" t="s">
        <v>291</v>
      </c>
      <c r="C1252" s="43" t="s">
        <v>265</v>
      </c>
      <c r="D1252" s="43" t="s">
        <v>582</v>
      </c>
      <c r="E1252" s="43" t="s">
        <v>610</v>
      </c>
      <c r="F1252" s="43" t="s">
        <v>585</v>
      </c>
      <c r="G1252" s="43" t="s">
        <v>259</v>
      </c>
      <c r="H1252" s="43" t="s">
        <v>207</v>
      </c>
      <c r="I1252" s="44">
        <v>45591</v>
      </c>
      <c r="J1252" s="44">
        <v>45591</v>
      </c>
      <c r="K1252" s="45">
        <v>0</v>
      </c>
      <c r="L1252" s="45">
        <v>0</v>
      </c>
      <c r="M1252" s="45">
        <v>0</v>
      </c>
      <c r="N1252" s="45">
        <v>2</v>
      </c>
      <c r="O1252" s="45">
        <v>85.672399999999996</v>
      </c>
      <c r="P1252" s="62">
        <f t="shared" si="20"/>
        <v>2</v>
      </c>
    </row>
    <row r="1253" spans="1:16" x14ac:dyDescent="0.25">
      <c r="A1253" s="43" t="s">
        <v>200</v>
      </c>
      <c r="B1253" s="43" t="s">
        <v>291</v>
      </c>
      <c r="C1253" s="43" t="s">
        <v>265</v>
      </c>
      <c r="D1253" s="43" t="s">
        <v>582</v>
      </c>
      <c r="E1253" s="43" t="s">
        <v>610</v>
      </c>
      <c r="F1253" s="43" t="s">
        <v>585</v>
      </c>
      <c r="G1253" s="43" t="s">
        <v>296</v>
      </c>
      <c r="H1253" s="43" t="s">
        <v>207</v>
      </c>
      <c r="I1253" s="44">
        <v>45591</v>
      </c>
      <c r="J1253" s="44">
        <v>45591</v>
      </c>
      <c r="K1253" s="45">
        <v>1</v>
      </c>
      <c r="L1253" s="45">
        <v>42.836199999999998</v>
      </c>
      <c r="M1253" s="45">
        <v>110.57</v>
      </c>
      <c r="N1253" s="45">
        <v>0</v>
      </c>
      <c r="O1253" s="45">
        <v>0</v>
      </c>
      <c r="P1253" s="62">
        <f t="shared" si="20"/>
        <v>1</v>
      </c>
    </row>
    <row r="1254" spans="1:16" x14ac:dyDescent="0.25">
      <c r="A1254" s="43" t="s">
        <v>200</v>
      </c>
      <c r="B1254" s="43" t="s">
        <v>291</v>
      </c>
      <c r="C1254" s="43" t="s">
        <v>265</v>
      </c>
      <c r="D1254" s="43" t="s">
        <v>582</v>
      </c>
      <c r="E1254" s="43" t="s">
        <v>611</v>
      </c>
      <c r="F1254" s="43" t="s">
        <v>585</v>
      </c>
      <c r="G1254" s="43" t="s">
        <v>234</v>
      </c>
      <c r="H1254" s="43" t="s">
        <v>207</v>
      </c>
      <c r="I1254" s="44">
        <v>45621</v>
      </c>
      <c r="J1254" s="44">
        <v>45621</v>
      </c>
      <c r="K1254" s="45">
        <v>0</v>
      </c>
      <c r="L1254" s="45">
        <v>0</v>
      </c>
      <c r="M1254" s="45">
        <v>0</v>
      </c>
      <c r="N1254" s="45">
        <v>2</v>
      </c>
      <c r="O1254" s="45">
        <v>90.127399999999994</v>
      </c>
      <c r="P1254" s="62">
        <f t="shared" si="20"/>
        <v>2</v>
      </c>
    </row>
    <row r="1255" spans="1:16" x14ac:dyDescent="0.25">
      <c r="A1255" s="43" t="s">
        <v>200</v>
      </c>
      <c r="B1255" s="43" t="s">
        <v>291</v>
      </c>
      <c r="C1255" s="43" t="s">
        <v>265</v>
      </c>
      <c r="D1255" s="43" t="s">
        <v>582</v>
      </c>
      <c r="E1255" s="43" t="s">
        <v>612</v>
      </c>
      <c r="F1255" s="43" t="s">
        <v>585</v>
      </c>
      <c r="G1255" s="43" t="s">
        <v>232</v>
      </c>
      <c r="H1255" s="43" t="s">
        <v>207</v>
      </c>
      <c r="I1255" s="44">
        <v>45590</v>
      </c>
      <c r="J1255" s="44">
        <v>45644</v>
      </c>
      <c r="K1255" s="45">
        <v>4</v>
      </c>
      <c r="L1255" s="45">
        <v>192.6465</v>
      </c>
      <c r="M1255" s="45">
        <v>510.85</v>
      </c>
      <c r="N1255" s="45">
        <v>8</v>
      </c>
      <c r="O1255" s="45">
        <v>390.27760000000001</v>
      </c>
      <c r="P1255" s="62">
        <f t="shared" si="20"/>
        <v>12</v>
      </c>
    </row>
    <row r="1256" spans="1:16" x14ac:dyDescent="0.25">
      <c r="A1256" s="43" t="s">
        <v>200</v>
      </c>
      <c r="B1256" s="43" t="s">
        <v>291</v>
      </c>
      <c r="C1256" s="43" t="s">
        <v>265</v>
      </c>
      <c r="D1256" s="43" t="s">
        <v>582</v>
      </c>
      <c r="E1256" s="43" t="s">
        <v>612</v>
      </c>
      <c r="F1256" s="43" t="s">
        <v>585</v>
      </c>
      <c r="G1256" s="43" t="s">
        <v>233</v>
      </c>
      <c r="H1256" s="43" t="s">
        <v>207</v>
      </c>
      <c r="I1256" s="44">
        <v>45590</v>
      </c>
      <c r="J1256" s="44">
        <v>45640</v>
      </c>
      <c r="K1256" s="45">
        <v>27</v>
      </c>
      <c r="L1256" s="45">
        <v>1330.3285000000001</v>
      </c>
      <c r="M1256" s="45">
        <v>3434.05</v>
      </c>
      <c r="N1256" s="45">
        <v>10</v>
      </c>
      <c r="O1256" s="45">
        <v>502.80599999999998</v>
      </c>
      <c r="P1256" s="62">
        <f t="shared" si="20"/>
        <v>37</v>
      </c>
    </row>
    <row r="1257" spans="1:16" x14ac:dyDescent="0.25">
      <c r="A1257" s="43" t="s">
        <v>200</v>
      </c>
      <c r="B1257" s="43" t="s">
        <v>291</v>
      </c>
      <c r="C1257" s="43" t="s">
        <v>265</v>
      </c>
      <c r="D1257" s="43" t="s">
        <v>582</v>
      </c>
      <c r="E1257" s="43" t="s">
        <v>612</v>
      </c>
      <c r="F1257" s="43" t="s">
        <v>585</v>
      </c>
      <c r="G1257" s="43" t="s">
        <v>234</v>
      </c>
      <c r="H1257" s="43" t="s">
        <v>207</v>
      </c>
      <c r="I1257" s="44">
        <v>45590</v>
      </c>
      <c r="J1257" s="44">
        <v>45635</v>
      </c>
      <c r="K1257" s="45">
        <v>27</v>
      </c>
      <c r="L1257" s="45">
        <v>1336.825</v>
      </c>
      <c r="M1257" s="45">
        <v>3412.79</v>
      </c>
      <c r="N1257" s="45">
        <v>7</v>
      </c>
      <c r="O1257" s="45">
        <v>352.8476</v>
      </c>
      <c r="P1257" s="62">
        <f t="shared" si="20"/>
        <v>34</v>
      </c>
    </row>
    <row r="1258" spans="1:16" x14ac:dyDescent="0.25">
      <c r="A1258" s="43" t="s">
        <v>200</v>
      </c>
      <c r="B1258" s="43" t="s">
        <v>291</v>
      </c>
      <c r="C1258" s="43" t="s">
        <v>265</v>
      </c>
      <c r="D1258" s="43" t="s">
        <v>582</v>
      </c>
      <c r="E1258" s="43" t="s">
        <v>612</v>
      </c>
      <c r="F1258" s="43" t="s">
        <v>585</v>
      </c>
      <c r="G1258" s="43" t="s">
        <v>259</v>
      </c>
      <c r="H1258" s="43" t="s">
        <v>207</v>
      </c>
      <c r="I1258" s="44">
        <v>45591</v>
      </c>
      <c r="J1258" s="44">
        <v>45635</v>
      </c>
      <c r="K1258" s="45">
        <v>1</v>
      </c>
      <c r="L1258" s="45">
        <v>47.941499999999998</v>
      </c>
      <c r="M1258" s="45">
        <v>127.72</v>
      </c>
      <c r="N1258" s="45">
        <v>4</v>
      </c>
      <c r="O1258" s="45">
        <v>194.2448</v>
      </c>
      <c r="P1258" s="62">
        <f t="shared" si="20"/>
        <v>5</v>
      </c>
    </row>
    <row r="1259" spans="1:16" x14ac:dyDescent="0.25">
      <c r="A1259" s="43" t="s">
        <v>200</v>
      </c>
      <c r="B1259" s="43" t="s">
        <v>291</v>
      </c>
      <c r="C1259" s="43" t="s">
        <v>265</v>
      </c>
      <c r="D1259" s="43" t="s">
        <v>582</v>
      </c>
      <c r="E1259" s="43" t="s">
        <v>612</v>
      </c>
      <c r="F1259" s="43" t="s">
        <v>585</v>
      </c>
      <c r="G1259" s="43" t="s">
        <v>296</v>
      </c>
      <c r="H1259" s="43" t="s">
        <v>207</v>
      </c>
      <c r="I1259" s="44">
        <v>45590</v>
      </c>
      <c r="J1259" s="44">
        <v>45638</v>
      </c>
      <c r="K1259" s="45">
        <v>11</v>
      </c>
      <c r="L1259" s="45">
        <v>540.27750000000003</v>
      </c>
      <c r="M1259" s="45">
        <v>1419.04</v>
      </c>
      <c r="N1259" s="45">
        <v>4</v>
      </c>
      <c r="O1259" s="45">
        <v>200.6088</v>
      </c>
      <c r="P1259" s="62">
        <f t="shared" si="20"/>
        <v>15</v>
      </c>
    </row>
    <row r="1260" spans="1:16" x14ac:dyDescent="0.25">
      <c r="A1260" s="43" t="s">
        <v>200</v>
      </c>
      <c r="B1260" s="43" t="s">
        <v>291</v>
      </c>
      <c r="C1260" s="43" t="s">
        <v>265</v>
      </c>
      <c r="D1260" s="43" t="s">
        <v>582</v>
      </c>
      <c r="E1260" s="43" t="s">
        <v>613</v>
      </c>
      <c r="F1260" s="43" t="s">
        <v>585</v>
      </c>
      <c r="G1260" s="43" t="s">
        <v>232</v>
      </c>
      <c r="H1260" s="43" t="s">
        <v>218</v>
      </c>
      <c r="I1260" s="44">
        <v>45593</v>
      </c>
      <c r="J1260" s="44">
        <v>45630</v>
      </c>
      <c r="K1260" s="45">
        <v>6</v>
      </c>
      <c r="L1260" s="45">
        <v>290.89100000000002</v>
      </c>
      <c r="M1260" s="45">
        <v>766.27</v>
      </c>
      <c r="N1260" s="45">
        <v>6</v>
      </c>
      <c r="O1260" s="45">
        <v>299.19900000000001</v>
      </c>
      <c r="P1260" s="62">
        <f t="shared" si="20"/>
        <v>12</v>
      </c>
    </row>
    <row r="1261" spans="1:16" x14ac:dyDescent="0.25">
      <c r="A1261" s="43" t="s">
        <v>200</v>
      </c>
      <c r="B1261" s="43" t="s">
        <v>291</v>
      </c>
      <c r="C1261" s="43" t="s">
        <v>265</v>
      </c>
      <c r="D1261" s="43" t="s">
        <v>582</v>
      </c>
      <c r="E1261" s="43" t="s">
        <v>613</v>
      </c>
      <c r="F1261" s="43" t="s">
        <v>585</v>
      </c>
      <c r="G1261" s="43" t="s">
        <v>233</v>
      </c>
      <c r="H1261" s="43" t="s">
        <v>218</v>
      </c>
      <c r="I1261" s="44">
        <v>45593</v>
      </c>
      <c r="J1261" s="44">
        <v>45647</v>
      </c>
      <c r="K1261" s="45">
        <v>6</v>
      </c>
      <c r="L1261" s="45">
        <v>292.0514</v>
      </c>
      <c r="M1261" s="45">
        <v>766.3</v>
      </c>
      <c r="N1261" s="45">
        <v>7</v>
      </c>
      <c r="O1261" s="45">
        <v>345.96730000000002</v>
      </c>
      <c r="P1261" s="62">
        <f t="shared" si="20"/>
        <v>13</v>
      </c>
    </row>
    <row r="1262" spans="1:16" x14ac:dyDescent="0.25">
      <c r="A1262" s="43" t="s">
        <v>200</v>
      </c>
      <c r="B1262" s="43" t="s">
        <v>291</v>
      </c>
      <c r="C1262" s="43" t="s">
        <v>265</v>
      </c>
      <c r="D1262" s="43" t="s">
        <v>582</v>
      </c>
      <c r="E1262" s="43" t="s">
        <v>613</v>
      </c>
      <c r="F1262" s="43" t="s">
        <v>585</v>
      </c>
      <c r="G1262" s="43" t="s">
        <v>234</v>
      </c>
      <c r="H1262" s="43" t="s">
        <v>218</v>
      </c>
      <c r="I1262" s="44">
        <v>45593</v>
      </c>
      <c r="J1262" s="44">
        <v>45647</v>
      </c>
      <c r="K1262" s="45">
        <v>8</v>
      </c>
      <c r="L1262" s="45">
        <v>392.1771</v>
      </c>
      <c r="M1262" s="45">
        <v>1035.8900000000001</v>
      </c>
      <c r="N1262" s="45">
        <v>5</v>
      </c>
      <c r="O1262" s="45">
        <v>250.82550000000001</v>
      </c>
      <c r="P1262" s="62">
        <f t="shared" si="20"/>
        <v>13</v>
      </c>
    </row>
    <row r="1263" spans="1:16" x14ac:dyDescent="0.25">
      <c r="A1263" s="43" t="s">
        <v>200</v>
      </c>
      <c r="B1263" s="43" t="s">
        <v>291</v>
      </c>
      <c r="C1263" s="43" t="s">
        <v>265</v>
      </c>
      <c r="D1263" s="43" t="s">
        <v>582</v>
      </c>
      <c r="E1263" s="43" t="s">
        <v>613</v>
      </c>
      <c r="F1263" s="43" t="s">
        <v>585</v>
      </c>
      <c r="G1263" s="43" t="s">
        <v>296</v>
      </c>
      <c r="H1263" s="43" t="s">
        <v>218</v>
      </c>
      <c r="I1263" s="44">
        <v>45593</v>
      </c>
      <c r="J1263" s="44">
        <v>45647</v>
      </c>
      <c r="K1263" s="45">
        <v>2</v>
      </c>
      <c r="L1263" s="45">
        <v>95.579099999999997</v>
      </c>
      <c r="M1263" s="45">
        <v>255.42</v>
      </c>
      <c r="N1263" s="45">
        <v>4</v>
      </c>
      <c r="O1263" s="45">
        <v>199.46559999999999</v>
      </c>
      <c r="P1263" s="62">
        <f t="shared" si="20"/>
        <v>6</v>
      </c>
    </row>
    <row r="1264" spans="1:16" x14ac:dyDescent="0.25">
      <c r="A1264" s="43" t="s">
        <v>200</v>
      </c>
      <c r="B1264" s="43" t="s">
        <v>291</v>
      </c>
      <c r="C1264" s="43" t="s">
        <v>265</v>
      </c>
      <c r="D1264" s="43" t="s">
        <v>582</v>
      </c>
      <c r="E1264" s="43" t="s">
        <v>614</v>
      </c>
      <c r="F1264" s="43" t="s">
        <v>585</v>
      </c>
      <c r="G1264" s="43" t="s">
        <v>232</v>
      </c>
      <c r="H1264" s="43" t="s">
        <v>207</v>
      </c>
      <c r="I1264" s="44">
        <v>45591</v>
      </c>
      <c r="J1264" s="44">
        <v>45591</v>
      </c>
      <c r="K1264" s="45">
        <v>3</v>
      </c>
      <c r="L1264" s="45">
        <v>143.90520000000001</v>
      </c>
      <c r="M1264" s="45">
        <v>383.15</v>
      </c>
      <c r="N1264" s="45">
        <v>3</v>
      </c>
      <c r="O1264" s="45">
        <v>143.90520000000001</v>
      </c>
      <c r="P1264" s="62">
        <f t="shared" si="20"/>
        <v>6</v>
      </c>
    </row>
    <row r="1265" spans="1:16" x14ac:dyDescent="0.25">
      <c r="A1265" s="43" t="s">
        <v>200</v>
      </c>
      <c r="B1265" s="43" t="s">
        <v>291</v>
      </c>
      <c r="C1265" s="43" t="s">
        <v>265</v>
      </c>
      <c r="D1265" s="43" t="s">
        <v>582</v>
      </c>
      <c r="E1265" s="43" t="s">
        <v>614</v>
      </c>
      <c r="F1265" s="43" t="s">
        <v>585</v>
      </c>
      <c r="G1265" s="43" t="s">
        <v>233</v>
      </c>
      <c r="H1265" s="43" t="s">
        <v>207</v>
      </c>
      <c r="I1265" s="44">
        <v>45591</v>
      </c>
      <c r="J1265" s="44">
        <v>45591</v>
      </c>
      <c r="K1265" s="45">
        <v>3</v>
      </c>
      <c r="L1265" s="45">
        <v>143.90520000000001</v>
      </c>
      <c r="M1265" s="45">
        <v>383.14</v>
      </c>
      <c r="N1265" s="45">
        <v>4</v>
      </c>
      <c r="O1265" s="45">
        <v>191.87360000000001</v>
      </c>
      <c r="P1265" s="62">
        <f t="shared" si="20"/>
        <v>7</v>
      </c>
    </row>
    <row r="1266" spans="1:16" x14ac:dyDescent="0.25">
      <c r="A1266" s="43" t="s">
        <v>200</v>
      </c>
      <c r="B1266" s="43" t="s">
        <v>291</v>
      </c>
      <c r="C1266" s="43" t="s">
        <v>265</v>
      </c>
      <c r="D1266" s="43" t="s">
        <v>582</v>
      </c>
      <c r="E1266" s="43" t="s">
        <v>614</v>
      </c>
      <c r="F1266" s="43" t="s">
        <v>585</v>
      </c>
      <c r="G1266" s="43" t="s">
        <v>234</v>
      </c>
      <c r="H1266" s="43" t="s">
        <v>207</v>
      </c>
      <c r="I1266" s="44">
        <v>45591</v>
      </c>
      <c r="J1266" s="44">
        <v>45639</v>
      </c>
      <c r="K1266" s="45">
        <v>2</v>
      </c>
      <c r="L1266" s="45">
        <v>96.435699999999997</v>
      </c>
      <c r="M1266" s="45">
        <v>255.42</v>
      </c>
      <c r="N1266" s="45">
        <v>5</v>
      </c>
      <c r="O1266" s="45">
        <v>244.33199999999999</v>
      </c>
      <c r="P1266" s="62">
        <f t="shared" si="20"/>
        <v>7</v>
      </c>
    </row>
    <row r="1267" spans="1:16" x14ac:dyDescent="0.25">
      <c r="A1267" s="43" t="s">
        <v>200</v>
      </c>
      <c r="B1267" s="43" t="s">
        <v>291</v>
      </c>
      <c r="C1267" s="43" t="s">
        <v>265</v>
      </c>
      <c r="D1267" s="43" t="s">
        <v>582</v>
      </c>
      <c r="E1267" s="43" t="s">
        <v>614</v>
      </c>
      <c r="F1267" s="43" t="s">
        <v>585</v>
      </c>
      <c r="G1267" s="43" t="s">
        <v>296</v>
      </c>
      <c r="H1267" s="43" t="s">
        <v>207</v>
      </c>
      <c r="I1267" s="44">
        <v>45591</v>
      </c>
      <c r="J1267" s="44">
        <v>45591</v>
      </c>
      <c r="K1267" s="45">
        <v>0</v>
      </c>
      <c r="L1267" s="45">
        <v>0</v>
      </c>
      <c r="M1267" s="45">
        <v>0</v>
      </c>
      <c r="N1267" s="45">
        <v>3</v>
      </c>
      <c r="O1267" s="45">
        <v>143.90520000000001</v>
      </c>
      <c r="P1267" s="62">
        <f t="shared" si="20"/>
        <v>3</v>
      </c>
    </row>
    <row r="1268" spans="1:16" x14ac:dyDescent="0.25">
      <c r="A1268" s="43" t="s">
        <v>200</v>
      </c>
      <c r="B1268" s="43" t="s">
        <v>291</v>
      </c>
      <c r="C1268" s="43" t="s">
        <v>265</v>
      </c>
      <c r="D1268" s="43" t="s">
        <v>582</v>
      </c>
      <c r="E1268" s="43" t="s">
        <v>615</v>
      </c>
      <c r="F1268" s="43" t="s">
        <v>585</v>
      </c>
      <c r="G1268" s="43" t="s">
        <v>232</v>
      </c>
      <c r="H1268" s="43" t="s">
        <v>207</v>
      </c>
      <c r="I1268" s="44">
        <v>45432</v>
      </c>
      <c r="J1268" s="44">
        <v>45605</v>
      </c>
      <c r="K1268" s="45">
        <v>1</v>
      </c>
      <c r="L1268" s="45">
        <v>47.968400000000003</v>
      </c>
      <c r="M1268" s="45">
        <v>127.71</v>
      </c>
      <c r="N1268" s="45">
        <v>0</v>
      </c>
      <c r="O1268" s="45">
        <v>0</v>
      </c>
      <c r="P1268" s="62">
        <f t="shared" si="20"/>
        <v>1</v>
      </c>
    </row>
    <row r="1269" spans="1:16" x14ac:dyDescent="0.25">
      <c r="A1269" s="43" t="s">
        <v>200</v>
      </c>
      <c r="B1269" s="43" t="s">
        <v>291</v>
      </c>
      <c r="C1269" s="43" t="s">
        <v>265</v>
      </c>
      <c r="D1269" s="43" t="s">
        <v>582</v>
      </c>
      <c r="E1269" s="43" t="s">
        <v>615</v>
      </c>
      <c r="F1269" s="43" t="s">
        <v>585</v>
      </c>
      <c r="G1269" s="43" t="s">
        <v>233</v>
      </c>
      <c r="H1269" s="43" t="s">
        <v>207</v>
      </c>
      <c r="I1269" s="44">
        <v>45432</v>
      </c>
      <c r="J1269" s="44">
        <v>45605</v>
      </c>
      <c r="K1269" s="45">
        <v>7</v>
      </c>
      <c r="L1269" s="45">
        <v>335.77879999999999</v>
      </c>
      <c r="M1269" s="45">
        <v>908.2</v>
      </c>
      <c r="N1269" s="45">
        <v>0</v>
      </c>
      <c r="O1269" s="45">
        <v>0</v>
      </c>
      <c r="P1269" s="62">
        <f t="shared" si="20"/>
        <v>7</v>
      </c>
    </row>
    <row r="1270" spans="1:16" x14ac:dyDescent="0.25">
      <c r="A1270" s="43" t="s">
        <v>200</v>
      </c>
      <c r="B1270" s="43" t="s">
        <v>291</v>
      </c>
      <c r="C1270" s="43" t="s">
        <v>265</v>
      </c>
      <c r="D1270" s="43" t="s">
        <v>582</v>
      </c>
      <c r="E1270" s="43" t="s">
        <v>615</v>
      </c>
      <c r="F1270" s="43" t="s">
        <v>585</v>
      </c>
      <c r="G1270" s="43" t="s">
        <v>234</v>
      </c>
      <c r="H1270" s="43" t="s">
        <v>207</v>
      </c>
      <c r="I1270" s="44">
        <v>45432</v>
      </c>
      <c r="J1270" s="44">
        <v>45610</v>
      </c>
      <c r="K1270" s="45">
        <v>9</v>
      </c>
      <c r="L1270" s="45">
        <v>431.71559999999999</v>
      </c>
      <c r="M1270" s="45">
        <v>1149.3900000000001</v>
      </c>
      <c r="N1270" s="45">
        <v>0</v>
      </c>
      <c r="O1270" s="45">
        <v>0</v>
      </c>
      <c r="P1270" s="62">
        <f t="shared" si="20"/>
        <v>9</v>
      </c>
    </row>
    <row r="1271" spans="1:16" x14ac:dyDescent="0.25">
      <c r="A1271" s="43" t="s">
        <v>200</v>
      </c>
      <c r="B1271" s="43" t="s">
        <v>291</v>
      </c>
      <c r="C1271" s="43" t="s">
        <v>265</v>
      </c>
      <c r="D1271" s="43" t="s">
        <v>582</v>
      </c>
      <c r="E1271" s="43" t="s">
        <v>615</v>
      </c>
      <c r="F1271" s="43" t="s">
        <v>585</v>
      </c>
      <c r="G1271" s="43" t="s">
        <v>296</v>
      </c>
      <c r="H1271" s="43" t="s">
        <v>207</v>
      </c>
      <c r="I1271" s="44">
        <v>45432</v>
      </c>
      <c r="J1271" s="44">
        <v>45605</v>
      </c>
      <c r="K1271" s="45">
        <v>2</v>
      </c>
      <c r="L1271" s="45">
        <v>95.936800000000005</v>
      </c>
      <c r="M1271" s="45">
        <v>255.42</v>
      </c>
      <c r="N1271" s="45">
        <v>0</v>
      </c>
      <c r="O1271" s="45">
        <v>0</v>
      </c>
      <c r="P1271" s="62">
        <f t="shared" si="20"/>
        <v>2</v>
      </c>
    </row>
    <row r="1272" spans="1:16" x14ac:dyDescent="0.25">
      <c r="A1272" s="43" t="s">
        <v>200</v>
      </c>
      <c r="B1272" s="43" t="s">
        <v>291</v>
      </c>
      <c r="C1272" s="43" t="s">
        <v>265</v>
      </c>
      <c r="D1272" s="43" t="s">
        <v>582</v>
      </c>
      <c r="E1272" s="43" t="s">
        <v>616</v>
      </c>
      <c r="F1272" s="43" t="s">
        <v>585</v>
      </c>
      <c r="G1272" s="43" t="s">
        <v>234</v>
      </c>
      <c r="H1272" s="43" t="s">
        <v>207</v>
      </c>
      <c r="I1272" s="44">
        <v>45621</v>
      </c>
      <c r="J1272" s="44">
        <v>45621</v>
      </c>
      <c r="K1272" s="45">
        <v>0</v>
      </c>
      <c r="L1272" s="45">
        <v>0</v>
      </c>
      <c r="M1272" s="45">
        <v>0</v>
      </c>
      <c r="N1272" s="45">
        <v>2</v>
      </c>
      <c r="O1272" s="45">
        <v>100.9256</v>
      </c>
      <c r="P1272" s="62">
        <f t="shared" si="20"/>
        <v>2</v>
      </c>
    </row>
    <row r="1273" spans="1:16" x14ac:dyDescent="0.25">
      <c r="A1273" s="43" t="s">
        <v>200</v>
      </c>
      <c r="B1273" s="43" t="s">
        <v>291</v>
      </c>
      <c r="C1273" s="43" t="s">
        <v>265</v>
      </c>
      <c r="D1273" s="43" t="s">
        <v>582</v>
      </c>
      <c r="E1273" s="43" t="s">
        <v>617</v>
      </c>
      <c r="F1273" s="43" t="s">
        <v>556</v>
      </c>
      <c r="G1273" s="43" t="s">
        <v>232</v>
      </c>
      <c r="H1273" s="43" t="s">
        <v>218</v>
      </c>
      <c r="I1273" s="44">
        <v>45593</v>
      </c>
      <c r="J1273" s="44">
        <v>45593</v>
      </c>
      <c r="K1273" s="45">
        <v>1</v>
      </c>
      <c r="L1273" s="45">
        <v>65.022000000000006</v>
      </c>
      <c r="M1273" s="45">
        <v>179.14</v>
      </c>
      <c r="N1273" s="45">
        <v>0</v>
      </c>
      <c r="O1273" s="45">
        <v>0</v>
      </c>
      <c r="P1273" s="62">
        <f t="shared" si="20"/>
        <v>1</v>
      </c>
    </row>
    <row r="1274" spans="1:16" x14ac:dyDescent="0.25">
      <c r="A1274" s="43" t="s">
        <v>200</v>
      </c>
      <c r="B1274" s="43" t="s">
        <v>291</v>
      </c>
      <c r="C1274" s="43" t="s">
        <v>265</v>
      </c>
      <c r="D1274" s="43" t="s">
        <v>582</v>
      </c>
      <c r="E1274" s="43" t="s">
        <v>617</v>
      </c>
      <c r="F1274" s="43" t="s">
        <v>556</v>
      </c>
      <c r="G1274" s="43" t="s">
        <v>233</v>
      </c>
      <c r="H1274" s="43" t="s">
        <v>218</v>
      </c>
      <c r="I1274" s="44">
        <v>45593</v>
      </c>
      <c r="J1274" s="44">
        <v>45630</v>
      </c>
      <c r="K1274" s="45">
        <v>5</v>
      </c>
      <c r="L1274" s="45">
        <v>328.49099999999999</v>
      </c>
      <c r="M1274" s="45">
        <v>865.86</v>
      </c>
      <c r="N1274" s="45">
        <v>1</v>
      </c>
      <c r="O1274" s="45">
        <v>67.022999999999996</v>
      </c>
      <c r="P1274" s="62">
        <f t="shared" si="20"/>
        <v>6</v>
      </c>
    </row>
    <row r="1275" spans="1:16" x14ac:dyDescent="0.25">
      <c r="A1275" s="43" t="s">
        <v>200</v>
      </c>
      <c r="B1275" s="43" t="s">
        <v>291</v>
      </c>
      <c r="C1275" s="43" t="s">
        <v>265</v>
      </c>
      <c r="D1275" s="43" t="s">
        <v>582</v>
      </c>
      <c r="E1275" s="43" t="s">
        <v>617</v>
      </c>
      <c r="F1275" s="43" t="s">
        <v>556</v>
      </c>
      <c r="G1275" s="43" t="s">
        <v>234</v>
      </c>
      <c r="H1275" s="43" t="s">
        <v>218</v>
      </c>
      <c r="I1275" s="44">
        <v>45593</v>
      </c>
      <c r="J1275" s="44">
        <v>45630</v>
      </c>
      <c r="K1275" s="45">
        <v>5</v>
      </c>
      <c r="L1275" s="45">
        <v>330.30340000000001</v>
      </c>
      <c r="M1275" s="45">
        <v>875.79</v>
      </c>
      <c r="N1275" s="45">
        <v>1</v>
      </c>
      <c r="O1275" s="45">
        <v>67.364500000000007</v>
      </c>
      <c r="P1275" s="62">
        <f t="shared" si="20"/>
        <v>6</v>
      </c>
    </row>
    <row r="1276" spans="1:16" x14ac:dyDescent="0.25">
      <c r="A1276" s="43" t="s">
        <v>200</v>
      </c>
      <c r="B1276" s="43" t="s">
        <v>291</v>
      </c>
      <c r="C1276" s="43" t="s">
        <v>265</v>
      </c>
      <c r="D1276" s="43" t="s">
        <v>618</v>
      </c>
      <c r="E1276" s="43" t="s">
        <v>619</v>
      </c>
      <c r="F1276" s="43" t="s">
        <v>352</v>
      </c>
      <c r="G1276" s="43" t="s">
        <v>232</v>
      </c>
      <c r="H1276" s="43" t="s">
        <v>207</v>
      </c>
      <c r="I1276" s="44">
        <v>45590</v>
      </c>
      <c r="J1276" s="44">
        <v>45621</v>
      </c>
      <c r="K1276" s="45">
        <v>4</v>
      </c>
      <c r="L1276" s="45">
        <v>239.71860000000001</v>
      </c>
      <c r="M1276" s="45">
        <v>648</v>
      </c>
      <c r="N1276" s="45">
        <v>7</v>
      </c>
      <c r="O1276" s="45">
        <v>422.62220000000002</v>
      </c>
      <c r="P1276" s="62">
        <f t="shared" si="20"/>
        <v>11</v>
      </c>
    </row>
    <row r="1277" spans="1:16" x14ac:dyDescent="0.25">
      <c r="A1277" s="43" t="s">
        <v>200</v>
      </c>
      <c r="B1277" s="43" t="s">
        <v>291</v>
      </c>
      <c r="C1277" s="43" t="s">
        <v>265</v>
      </c>
      <c r="D1277" s="43" t="s">
        <v>618</v>
      </c>
      <c r="E1277" s="43" t="s">
        <v>619</v>
      </c>
      <c r="F1277" s="43" t="s">
        <v>352</v>
      </c>
      <c r="G1277" s="43" t="s">
        <v>233</v>
      </c>
      <c r="H1277" s="43" t="s">
        <v>207</v>
      </c>
      <c r="I1277" s="44">
        <v>45590</v>
      </c>
      <c r="J1277" s="44">
        <v>45630</v>
      </c>
      <c r="K1277" s="45">
        <v>16</v>
      </c>
      <c r="L1277" s="45">
        <v>968.37450000000001</v>
      </c>
      <c r="M1277" s="45">
        <v>2600.9499999999998</v>
      </c>
      <c r="N1277" s="45">
        <v>7</v>
      </c>
      <c r="O1277" s="45">
        <v>438.04739999999998</v>
      </c>
      <c r="P1277" s="62">
        <f t="shared" si="20"/>
        <v>23</v>
      </c>
    </row>
    <row r="1278" spans="1:16" x14ac:dyDescent="0.25">
      <c r="A1278" s="43" t="s">
        <v>200</v>
      </c>
      <c r="B1278" s="43" t="s">
        <v>291</v>
      </c>
      <c r="C1278" s="43" t="s">
        <v>265</v>
      </c>
      <c r="D1278" s="43" t="s">
        <v>618</v>
      </c>
      <c r="E1278" s="43" t="s">
        <v>619</v>
      </c>
      <c r="F1278" s="43" t="s">
        <v>352</v>
      </c>
      <c r="G1278" s="43" t="s">
        <v>234</v>
      </c>
      <c r="H1278" s="43" t="s">
        <v>207</v>
      </c>
      <c r="I1278" s="44">
        <v>45590</v>
      </c>
      <c r="J1278" s="44">
        <v>45626</v>
      </c>
      <c r="K1278" s="45">
        <v>18</v>
      </c>
      <c r="L1278" s="45">
        <v>1091.1805999999999</v>
      </c>
      <c r="M1278" s="45">
        <v>2934</v>
      </c>
      <c r="N1278" s="45">
        <v>6</v>
      </c>
      <c r="O1278" s="45">
        <v>378.267</v>
      </c>
      <c r="P1278" s="62">
        <f t="shared" si="20"/>
        <v>24</v>
      </c>
    </row>
    <row r="1279" spans="1:16" x14ac:dyDescent="0.25">
      <c r="A1279" s="43" t="s">
        <v>200</v>
      </c>
      <c r="B1279" s="43" t="s">
        <v>291</v>
      </c>
      <c r="C1279" s="43" t="s">
        <v>265</v>
      </c>
      <c r="D1279" s="43" t="s">
        <v>618</v>
      </c>
      <c r="E1279" s="43" t="s">
        <v>619</v>
      </c>
      <c r="F1279" s="43" t="s">
        <v>352</v>
      </c>
      <c r="G1279" s="43" t="s">
        <v>259</v>
      </c>
      <c r="H1279" s="43" t="s">
        <v>207</v>
      </c>
      <c r="I1279" s="44">
        <v>45590</v>
      </c>
      <c r="J1279" s="44">
        <v>45633</v>
      </c>
      <c r="K1279" s="45">
        <v>0</v>
      </c>
      <c r="L1279" s="45">
        <v>0</v>
      </c>
      <c r="M1279" s="45">
        <v>0</v>
      </c>
      <c r="N1279" s="45">
        <v>4</v>
      </c>
      <c r="O1279" s="45">
        <v>242.79480000000001</v>
      </c>
      <c r="P1279" s="62">
        <f t="shared" si="20"/>
        <v>4</v>
      </c>
    </row>
    <row r="1280" spans="1:16" x14ac:dyDescent="0.25">
      <c r="A1280" s="43" t="s">
        <v>200</v>
      </c>
      <c r="B1280" s="43" t="s">
        <v>291</v>
      </c>
      <c r="C1280" s="43" t="s">
        <v>265</v>
      </c>
      <c r="D1280" s="43" t="s">
        <v>618</v>
      </c>
      <c r="E1280" s="43" t="s">
        <v>619</v>
      </c>
      <c r="F1280" s="43" t="s">
        <v>352</v>
      </c>
      <c r="G1280" s="43" t="s">
        <v>296</v>
      </c>
      <c r="H1280" s="43" t="s">
        <v>207</v>
      </c>
      <c r="I1280" s="44">
        <v>45590</v>
      </c>
      <c r="J1280" s="44">
        <v>45618</v>
      </c>
      <c r="K1280" s="45">
        <v>8</v>
      </c>
      <c r="L1280" s="45">
        <v>481.7722</v>
      </c>
      <c r="M1280" s="45">
        <v>1296</v>
      </c>
      <c r="N1280" s="45">
        <v>4</v>
      </c>
      <c r="O1280" s="45">
        <v>249.84399999999999</v>
      </c>
      <c r="P1280" s="62">
        <f t="shared" si="20"/>
        <v>12</v>
      </c>
    </row>
    <row r="1281" spans="1:16" x14ac:dyDescent="0.25">
      <c r="A1281" s="43" t="s">
        <v>200</v>
      </c>
      <c r="B1281" s="43" t="s">
        <v>291</v>
      </c>
      <c r="C1281" s="43" t="s">
        <v>265</v>
      </c>
      <c r="D1281" s="43" t="s">
        <v>618</v>
      </c>
      <c r="E1281" s="43" t="s">
        <v>620</v>
      </c>
      <c r="F1281" s="43" t="s">
        <v>539</v>
      </c>
      <c r="G1281" s="43" t="s">
        <v>232</v>
      </c>
      <c r="H1281" s="43" t="s">
        <v>218</v>
      </c>
      <c r="I1281" s="44">
        <v>45591</v>
      </c>
      <c r="J1281" s="44">
        <v>45622</v>
      </c>
      <c r="K1281" s="45">
        <v>2</v>
      </c>
      <c r="L1281" s="45">
        <v>119.7796</v>
      </c>
      <c r="M1281" s="45">
        <v>324</v>
      </c>
      <c r="N1281" s="45">
        <v>1</v>
      </c>
      <c r="O1281" s="45">
        <v>60.927900000000001</v>
      </c>
      <c r="P1281" s="62">
        <f t="shared" si="20"/>
        <v>3</v>
      </c>
    </row>
    <row r="1282" spans="1:16" x14ac:dyDescent="0.25">
      <c r="A1282" s="43" t="s">
        <v>200</v>
      </c>
      <c r="B1282" s="43" t="s">
        <v>291</v>
      </c>
      <c r="C1282" s="43" t="s">
        <v>265</v>
      </c>
      <c r="D1282" s="43" t="s">
        <v>618</v>
      </c>
      <c r="E1282" s="43" t="s">
        <v>620</v>
      </c>
      <c r="F1282" s="43" t="s">
        <v>539</v>
      </c>
      <c r="G1282" s="43" t="s">
        <v>233</v>
      </c>
      <c r="H1282" s="43" t="s">
        <v>218</v>
      </c>
      <c r="I1282" s="44">
        <v>45591</v>
      </c>
      <c r="J1282" s="44">
        <v>45616</v>
      </c>
      <c r="K1282" s="45">
        <v>2</v>
      </c>
      <c r="L1282" s="45">
        <v>120.3909</v>
      </c>
      <c r="M1282" s="45">
        <v>288</v>
      </c>
      <c r="N1282" s="45">
        <v>1</v>
      </c>
      <c r="O1282" s="45">
        <v>60.455199999999998</v>
      </c>
      <c r="P1282" s="62">
        <f t="shared" si="20"/>
        <v>3</v>
      </c>
    </row>
    <row r="1283" spans="1:16" x14ac:dyDescent="0.25">
      <c r="A1283" s="43" t="s">
        <v>200</v>
      </c>
      <c r="B1283" s="43" t="s">
        <v>291</v>
      </c>
      <c r="C1283" s="43" t="s">
        <v>265</v>
      </c>
      <c r="D1283" s="43" t="s">
        <v>618</v>
      </c>
      <c r="E1283" s="43" t="s">
        <v>620</v>
      </c>
      <c r="F1283" s="43" t="s">
        <v>539</v>
      </c>
      <c r="G1283" s="43" t="s">
        <v>234</v>
      </c>
      <c r="H1283" s="43" t="s">
        <v>218</v>
      </c>
      <c r="I1283" s="44">
        <v>45591</v>
      </c>
      <c r="J1283" s="44">
        <v>45622</v>
      </c>
      <c r="K1283" s="45">
        <v>2</v>
      </c>
      <c r="L1283" s="45">
        <v>119.7796</v>
      </c>
      <c r="M1283" s="45">
        <v>324</v>
      </c>
      <c r="N1283" s="45">
        <v>1</v>
      </c>
      <c r="O1283" s="45">
        <v>61.1355</v>
      </c>
      <c r="P1283" s="62">
        <f t="shared" si="20"/>
        <v>3</v>
      </c>
    </row>
    <row r="1284" spans="1:16" x14ac:dyDescent="0.25">
      <c r="A1284" s="43" t="s">
        <v>200</v>
      </c>
      <c r="B1284" s="43" t="s">
        <v>291</v>
      </c>
      <c r="C1284" s="43" t="s">
        <v>265</v>
      </c>
      <c r="D1284" s="43" t="s">
        <v>618</v>
      </c>
      <c r="E1284" s="43" t="s">
        <v>620</v>
      </c>
      <c r="F1284" s="43" t="s">
        <v>539</v>
      </c>
      <c r="G1284" s="43" t="s">
        <v>296</v>
      </c>
      <c r="H1284" s="43" t="s">
        <v>218</v>
      </c>
      <c r="I1284" s="44">
        <v>45591</v>
      </c>
      <c r="J1284" s="44">
        <v>45622</v>
      </c>
      <c r="K1284" s="45">
        <v>1</v>
      </c>
      <c r="L1284" s="45">
        <v>59.889800000000001</v>
      </c>
      <c r="M1284" s="45">
        <v>162</v>
      </c>
      <c r="N1284" s="45">
        <v>0</v>
      </c>
      <c r="O1284" s="45">
        <v>0</v>
      </c>
      <c r="P1284" s="62">
        <f t="shared" si="20"/>
        <v>1</v>
      </c>
    </row>
    <row r="1285" spans="1:16" x14ac:dyDescent="0.25">
      <c r="A1285" s="43" t="s">
        <v>200</v>
      </c>
      <c r="B1285" s="43" t="s">
        <v>291</v>
      </c>
      <c r="C1285" s="43" t="s">
        <v>265</v>
      </c>
      <c r="D1285" s="43" t="s">
        <v>618</v>
      </c>
      <c r="E1285" s="43" t="s">
        <v>621</v>
      </c>
      <c r="F1285" s="43" t="s">
        <v>356</v>
      </c>
      <c r="G1285" s="43" t="s">
        <v>232</v>
      </c>
      <c r="H1285" s="43" t="s">
        <v>218</v>
      </c>
      <c r="I1285" s="44">
        <v>45593</v>
      </c>
      <c r="J1285" s="44">
        <v>45593</v>
      </c>
      <c r="K1285" s="45">
        <v>0</v>
      </c>
      <c r="L1285" s="45">
        <v>0</v>
      </c>
      <c r="M1285" s="45">
        <v>0</v>
      </c>
      <c r="N1285" s="45">
        <v>5</v>
      </c>
      <c r="O1285" s="45">
        <v>273.78800000000001</v>
      </c>
      <c r="P1285" s="62">
        <f t="shared" si="20"/>
        <v>5</v>
      </c>
    </row>
    <row r="1286" spans="1:16" x14ac:dyDescent="0.25">
      <c r="A1286" s="43" t="s">
        <v>200</v>
      </c>
      <c r="B1286" s="43" t="s">
        <v>291</v>
      </c>
      <c r="C1286" s="43" t="s">
        <v>265</v>
      </c>
      <c r="D1286" s="43" t="s">
        <v>618</v>
      </c>
      <c r="E1286" s="43" t="s">
        <v>621</v>
      </c>
      <c r="F1286" s="43" t="s">
        <v>356</v>
      </c>
      <c r="G1286" s="43" t="s">
        <v>233</v>
      </c>
      <c r="H1286" s="43" t="s">
        <v>218</v>
      </c>
      <c r="I1286" s="44">
        <v>45593</v>
      </c>
      <c r="J1286" s="44">
        <v>45643</v>
      </c>
      <c r="K1286" s="45">
        <v>10</v>
      </c>
      <c r="L1286" s="45">
        <v>562.3596</v>
      </c>
      <c r="M1286" s="45">
        <v>1464.68</v>
      </c>
      <c r="N1286" s="45">
        <v>5</v>
      </c>
      <c r="O1286" s="45">
        <v>287.4785</v>
      </c>
      <c r="P1286" s="62">
        <f t="shared" si="20"/>
        <v>15</v>
      </c>
    </row>
    <row r="1287" spans="1:16" x14ac:dyDescent="0.25">
      <c r="A1287" s="43" t="s">
        <v>200</v>
      </c>
      <c r="B1287" s="43" t="s">
        <v>291</v>
      </c>
      <c r="C1287" s="43" t="s">
        <v>265</v>
      </c>
      <c r="D1287" s="43" t="s">
        <v>618</v>
      </c>
      <c r="E1287" s="43" t="s">
        <v>621</v>
      </c>
      <c r="F1287" s="43" t="s">
        <v>356</v>
      </c>
      <c r="G1287" s="43" t="s">
        <v>234</v>
      </c>
      <c r="H1287" s="43" t="s">
        <v>218</v>
      </c>
      <c r="I1287" s="44">
        <v>45593</v>
      </c>
      <c r="J1287" s="44">
        <v>45643</v>
      </c>
      <c r="K1287" s="45">
        <v>6</v>
      </c>
      <c r="L1287" s="45">
        <v>335.84219999999999</v>
      </c>
      <c r="M1287" s="45">
        <v>885.25</v>
      </c>
      <c r="N1287" s="45">
        <v>4</v>
      </c>
      <c r="O1287" s="45">
        <v>228.81880000000001</v>
      </c>
      <c r="P1287" s="62">
        <f t="shared" si="20"/>
        <v>10</v>
      </c>
    </row>
    <row r="1288" spans="1:16" x14ac:dyDescent="0.25">
      <c r="A1288" s="43" t="s">
        <v>200</v>
      </c>
      <c r="B1288" s="43" t="s">
        <v>291</v>
      </c>
      <c r="C1288" s="43" t="s">
        <v>265</v>
      </c>
      <c r="D1288" s="43" t="s">
        <v>618</v>
      </c>
      <c r="E1288" s="43" t="s">
        <v>621</v>
      </c>
      <c r="F1288" s="43" t="s">
        <v>356</v>
      </c>
      <c r="G1288" s="43" t="s">
        <v>296</v>
      </c>
      <c r="H1288" s="43" t="s">
        <v>218</v>
      </c>
      <c r="I1288" s="44">
        <v>45593</v>
      </c>
      <c r="J1288" s="44">
        <v>45639</v>
      </c>
      <c r="K1288" s="45">
        <v>4</v>
      </c>
      <c r="L1288" s="45">
        <v>222.5898</v>
      </c>
      <c r="M1288" s="45">
        <v>595.53</v>
      </c>
      <c r="N1288" s="45">
        <v>3</v>
      </c>
      <c r="O1288" s="45">
        <v>171.39150000000001</v>
      </c>
      <c r="P1288" s="62">
        <f t="shared" ref="P1288:P1351" si="21">K1288+N1288</f>
        <v>7</v>
      </c>
    </row>
    <row r="1289" spans="1:16" x14ac:dyDescent="0.25">
      <c r="A1289" s="43" t="s">
        <v>200</v>
      </c>
      <c r="B1289" s="43" t="s">
        <v>291</v>
      </c>
      <c r="C1289" s="43" t="s">
        <v>265</v>
      </c>
      <c r="D1289" s="43" t="s">
        <v>618</v>
      </c>
      <c r="E1289" s="43" t="s">
        <v>622</v>
      </c>
      <c r="F1289" s="43" t="s">
        <v>356</v>
      </c>
      <c r="G1289" s="43" t="s">
        <v>232</v>
      </c>
      <c r="H1289" s="43" t="s">
        <v>218</v>
      </c>
      <c r="I1289" s="44">
        <v>45593</v>
      </c>
      <c r="J1289" s="44">
        <v>45638</v>
      </c>
      <c r="K1289" s="45">
        <v>2</v>
      </c>
      <c r="L1289" s="45">
        <v>110.0847</v>
      </c>
      <c r="M1289" s="45">
        <v>289.72000000000003</v>
      </c>
      <c r="N1289" s="45">
        <v>5</v>
      </c>
      <c r="O1289" s="45">
        <v>278.9135</v>
      </c>
      <c r="P1289" s="62">
        <f t="shared" si="21"/>
        <v>7</v>
      </c>
    </row>
    <row r="1290" spans="1:16" x14ac:dyDescent="0.25">
      <c r="A1290" s="43" t="s">
        <v>200</v>
      </c>
      <c r="B1290" s="43" t="s">
        <v>291</v>
      </c>
      <c r="C1290" s="43" t="s">
        <v>265</v>
      </c>
      <c r="D1290" s="43" t="s">
        <v>618</v>
      </c>
      <c r="E1290" s="43" t="s">
        <v>622</v>
      </c>
      <c r="F1290" s="43" t="s">
        <v>356</v>
      </c>
      <c r="G1290" s="43" t="s">
        <v>233</v>
      </c>
      <c r="H1290" s="43" t="s">
        <v>218</v>
      </c>
      <c r="I1290" s="44">
        <v>45593</v>
      </c>
      <c r="J1290" s="44">
        <v>45643</v>
      </c>
      <c r="K1290" s="45">
        <v>2</v>
      </c>
      <c r="L1290" s="45">
        <v>109.51519999999999</v>
      </c>
      <c r="M1290" s="45">
        <v>289.70999999999998</v>
      </c>
      <c r="N1290" s="45">
        <v>5</v>
      </c>
      <c r="O1290" s="45">
        <v>279.483</v>
      </c>
      <c r="P1290" s="62">
        <f t="shared" si="21"/>
        <v>7</v>
      </c>
    </row>
    <row r="1291" spans="1:16" x14ac:dyDescent="0.25">
      <c r="A1291" s="43" t="s">
        <v>200</v>
      </c>
      <c r="B1291" s="43" t="s">
        <v>291</v>
      </c>
      <c r="C1291" s="43" t="s">
        <v>265</v>
      </c>
      <c r="D1291" s="43" t="s">
        <v>618</v>
      </c>
      <c r="E1291" s="43" t="s">
        <v>622</v>
      </c>
      <c r="F1291" s="43" t="s">
        <v>356</v>
      </c>
      <c r="G1291" s="43" t="s">
        <v>234</v>
      </c>
      <c r="H1291" s="43" t="s">
        <v>218</v>
      </c>
      <c r="I1291" s="44">
        <v>45593</v>
      </c>
      <c r="J1291" s="44">
        <v>45639</v>
      </c>
      <c r="K1291" s="45">
        <v>4</v>
      </c>
      <c r="L1291" s="45">
        <v>221.87780000000001</v>
      </c>
      <c r="M1291" s="45">
        <v>579.44000000000005</v>
      </c>
      <c r="N1291" s="45">
        <v>4</v>
      </c>
      <c r="O1291" s="45">
        <v>227.5728</v>
      </c>
      <c r="P1291" s="62">
        <f t="shared" si="21"/>
        <v>8</v>
      </c>
    </row>
    <row r="1292" spans="1:16" x14ac:dyDescent="0.25">
      <c r="A1292" s="43" t="s">
        <v>200</v>
      </c>
      <c r="B1292" s="43" t="s">
        <v>291</v>
      </c>
      <c r="C1292" s="43" t="s">
        <v>265</v>
      </c>
      <c r="D1292" s="43" t="s">
        <v>618</v>
      </c>
      <c r="E1292" s="43" t="s">
        <v>622</v>
      </c>
      <c r="F1292" s="43" t="s">
        <v>356</v>
      </c>
      <c r="G1292" s="43" t="s">
        <v>296</v>
      </c>
      <c r="H1292" s="43" t="s">
        <v>218</v>
      </c>
      <c r="I1292" s="44">
        <v>45593</v>
      </c>
      <c r="J1292" s="44">
        <v>45632</v>
      </c>
      <c r="K1292" s="45">
        <v>3</v>
      </c>
      <c r="L1292" s="45">
        <v>166.17099999999999</v>
      </c>
      <c r="M1292" s="45">
        <v>434.58</v>
      </c>
      <c r="N1292" s="45">
        <v>1</v>
      </c>
      <c r="O1292" s="45">
        <v>55.706699999999998</v>
      </c>
      <c r="P1292" s="62">
        <f t="shared" si="21"/>
        <v>4</v>
      </c>
    </row>
    <row r="1293" spans="1:16" x14ac:dyDescent="0.25">
      <c r="A1293" s="43" t="s">
        <v>200</v>
      </c>
      <c r="B1293" s="43" t="s">
        <v>291</v>
      </c>
      <c r="C1293" s="43" t="s">
        <v>265</v>
      </c>
      <c r="D1293" s="43" t="s">
        <v>618</v>
      </c>
      <c r="E1293" s="43" t="s">
        <v>623</v>
      </c>
      <c r="F1293" s="43" t="s">
        <v>544</v>
      </c>
      <c r="G1293" s="43" t="s">
        <v>232</v>
      </c>
      <c r="H1293" s="43" t="s">
        <v>226</v>
      </c>
      <c r="I1293" s="44">
        <v>45638</v>
      </c>
      <c r="J1293" s="44">
        <v>45638</v>
      </c>
      <c r="K1293" s="45">
        <v>0</v>
      </c>
      <c r="L1293" s="45">
        <v>0</v>
      </c>
      <c r="M1293" s="45">
        <v>0</v>
      </c>
      <c r="N1293" s="45">
        <v>5</v>
      </c>
      <c r="O1293" s="45">
        <v>342.01549999999997</v>
      </c>
      <c r="P1293" s="62">
        <f t="shared" si="21"/>
        <v>5</v>
      </c>
    </row>
    <row r="1294" spans="1:16" x14ac:dyDescent="0.25">
      <c r="A1294" s="43" t="s">
        <v>200</v>
      </c>
      <c r="B1294" s="43" t="s">
        <v>291</v>
      </c>
      <c r="C1294" s="43" t="s">
        <v>265</v>
      </c>
      <c r="D1294" s="43" t="s">
        <v>618</v>
      </c>
      <c r="E1294" s="43" t="s">
        <v>623</v>
      </c>
      <c r="F1294" s="43" t="s">
        <v>544</v>
      </c>
      <c r="G1294" s="43" t="s">
        <v>233</v>
      </c>
      <c r="H1294" s="43" t="s">
        <v>226</v>
      </c>
      <c r="I1294" s="44">
        <v>45638</v>
      </c>
      <c r="J1294" s="44">
        <v>45647</v>
      </c>
      <c r="K1294" s="45">
        <v>0</v>
      </c>
      <c r="L1294" s="45">
        <v>0</v>
      </c>
      <c r="M1294" s="45">
        <v>0</v>
      </c>
      <c r="N1294" s="45">
        <v>5</v>
      </c>
      <c r="O1294" s="45">
        <v>342.01549999999997</v>
      </c>
      <c r="P1294" s="62">
        <f t="shared" si="21"/>
        <v>5</v>
      </c>
    </row>
    <row r="1295" spans="1:16" x14ac:dyDescent="0.25">
      <c r="A1295" s="43" t="s">
        <v>200</v>
      </c>
      <c r="B1295" s="43" t="s">
        <v>291</v>
      </c>
      <c r="C1295" s="43" t="s">
        <v>265</v>
      </c>
      <c r="D1295" s="43" t="s">
        <v>618</v>
      </c>
      <c r="E1295" s="43" t="s">
        <v>623</v>
      </c>
      <c r="F1295" s="43" t="s">
        <v>544</v>
      </c>
      <c r="G1295" s="43" t="s">
        <v>234</v>
      </c>
      <c r="H1295" s="43" t="s">
        <v>226</v>
      </c>
      <c r="I1295" s="44">
        <v>45638</v>
      </c>
      <c r="J1295" s="44">
        <v>45644</v>
      </c>
      <c r="K1295" s="45">
        <v>0</v>
      </c>
      <c r="L1295" s="45">
        <v>0</v>
      </c>
      <c r="M1295" s="45">
        <v>0</v>
      </c>
      <c r="N1295" s="45">
        <v>4</v>
      </c>
      <c r="O1295" s="45">
        <v>273.61239999999998</v>
      </c>
      <c r="P1295" s="62">
        <f t="shared" si="21"/>
        <v>4</v>
      </c>
    </row>
    <row r="1296" spans="1:16" x14ac:dyDescent="0.25">
      <c r="A1296" s="43" t="s">
        <v>200</v>
      </c>
      <c r="B1296" s="43" t="s">
        <v>291</v>
      </c>
      <c r="C1296" s="43" t="s">
        <v>265</v>
      </c>
      <c r="D1296" s="43" t="s">
        <v>618</v>
      </c>
      <c r="E1296" s="43" t="s">
        <v>623</v>
      </c>
      <c r="F1296" s="43" t="s">
        <v>544</v>
      </c>
      <c r="G1296" s="43" t="s">
        <v>296</v>
      </c>
      <c r="H1296" s="43" t="s">
        <v>226</v>
      </c>
      <c r="I1296" s="44">
        <v>45638</v>
      </c>
      <c r="J1296" s="44">
        <v>45638</v>
      </c>
      <c r="K1296" s="45">
        <v>0</v>
      </c>
      <c r="L1296" s="45">
        <v>0</v>
      </c>
      <c r="M1296" s="45">
        <v>0</v>
      </c>
      <c r="N1296" s="45">
        <v>3</v>
      </c>
      <c r="O1296" s="45">
        <v>205.20930000000001</v>
      </c>
      <c r="P1296" s="62">
        <f t="shared" si="21"/>
        <v>3</v>
      </c>
    </row>
    <row r="1297" spans="1:16" x14ac:dyDescent="0.25">
      <c r="A1297" s="43" t="s">
        <v>200</v>
      </c>
      <c r="B1297" s="43" t="s">
        <v>291</v>
      </c>
      <c r="C1297" s="43" t="s">
        <v>265</v>
      </c>
      <c r="D1297" s="43" t="s">
        <v>618</v>
      </c>
      <c r="E1297" s="43" t="s">
        <v>624</v>
      </c>
      <c r="F1297" s="43" t="s">
        <v>544</v>
      </c>
      <c r="G1297" s="43" t="s">
        <v>232</v>
      </c>
      <c r="H1297" s="43" t="s">
        <v>226</v>
      </c>
      <c r="I1297" s="44">
        <v>45638</v>
      </c>
      <c r="J1297" s="44">
        <v>45646</v>
      </c>
      <c r="K1297" s="45">
        <v>0</v>
      </c>
      <c r="L1297" s="45">
        <v>0</v>
      </c>
      <c r="M1297" s="45">
        <v>0</v>
      </c>
      <c r="N1297" s="45">
        <v>5</v>
      </c>
      <c r="O1297" s="45">
        <v>342.01549999999997</v>
      </c>
      <c r="P1297" s="62">
        <f t="shared" si="21"/>
        <v>5</v>
      </c>
    </row>
    <row r="1298" spans="1:16" x14ac:dyDescent="0.25">
      <c r="A1298" s="43" t="s">
        <v>200</v>
      </c>
      <c r="B1298" s="43" t="s">
        <v>291</v>
      </c>
      <c r="C1298" s="43" t="s">
        <v>265</v>
      </c>
      <c r="D1298" s="43" t="s">
        <v>618</v>
      </c>
      <c r="E1298" s="43" t="s">
        <v>624</v>
      </c>
      <c r="F1298" s="43" t="s">
        <v>544</v>
      </c>
      <c r="G1298" s="43" t="s">
        <v>233</v>
      </c>
      <c r="H1298" s="43" t="s">
        <v>226</v>
      </c>
      <c r="I1298" s="44">
        <v>45638</v>
      </c>
      <c r="J1298" s="44">
        <v>45646</v>
      </c>
      <c r="K1298" s="45">
        <v>0</v>
      </c>
      <c r="L1298" s="45">
        <v>0</v>
      </c>
      <c r="M1298" s="45">
        <v>0</v>
      </c>
      <c r="N1298" s="45">
        <v>5</v>
      </c>
      <c r="O1298" s="45">
        <v>342.01549999999997</v>
      </c>
      <c r="P1298" s="62">
        <f t="shared" si="21"/>
        <v>5</v>
      </c>
    </row>
    <row r="1299" spans="1:16" x14ac:dyDescent="0.25">
      <c r="A1299" s="43" t="s">
        <v>200</v>
      </c>
      <c r="B1299" s="43" t="s">
        <v>291</v>
      </c>
      <c r="C1299" s="43" t="s">
        <v>265</v>
      </c>
      <c r="D1299" s="43" t="s">
        <v>618</v>
      </c>
      <c r="E1299" s="43" t="s">
        <v>624</v>
      </c>
      <c r="F1299" s="43" t="s">
        <v>544</v>
      </c>
      <c r="G1299" s="43" t="s">
        <v>234</v>
      </c>
      <c r="H1299" s="43" t="s">
        <v>226</v>
      </c>
      <c r="I1299" s="44">
        <v>45638</v>
      </c>
      <c r="J1299" s="44">
        <v>45647</v>
      </c>
      <c r="K1299" s="45">
        <v>0</v>
      </c>
      <c r="L1299" s="45">
        <v>0</v>
      </c>
      <c r="M1299" s="45">
        <v>0</v>
      </c>
      <c r="N1299" s="45">
        <v>4</v>
      </c>
      <c r="O1299" s="45">
        <v>273.61239999999998</v>
      </c>
      <c r="P1299" s="62">
        <f t="shared" si="21"/>
        <v>4</v>
      </c>
    </row>
    <row r="1300" spans="1:16" x14ac:dyDescent="0.25">
      <c r="A1300" s="43" t="s">
        <v>200</v>
      </c>
      <c r="B1300" s="43" t="s">
        <v>291</v>
      </c>
      <c r="C1300" s="43" t="s">
        <v>265</v>
      </c>
      <c r="D1300" s="43" t="s">
        <v>618</v>
      </c>
      <c r="E1300" s="43" t="s">
        <v>624</v>
      </c>
      <c r="F1300" s="43" t="s">
        <v>544</v>
      </c>
      <c r="G1300" s="43" t="s">
        <v>296</v>
      </c>
      <c r="H1300" s="43" t="s">
        <v>226</v>
      </c>
      <c r="I1300" s="44">
        <v>45638</v>
      </c>
      <c r="J1300" s="44">
        <v>45647</v>
      </c>
      <c r="K1300" s="45">
        <v>0</v>
      </c>
      <c r="L1300" s="45">
        <v>0</v>
      </c>
      <c r="M1300" s="45">
        <v>0</v>
      </c>
      <c r="N1300" s="45">
        <v>3</v>
      </c>
      <c r="O1300" s="45">
        <v>205.20930000000001</v>
      </c>
      <c r="P1300" s="62">
        <f t="shared" si="21"/>
        <v>3</v>
      </c>
    </row>
    <row r="1301" spans="1:16" x14ac:dyDescent="0.25">
      <c r="A1301" s="43" t="s">
        <v>200</v>
      </c>
      <c r="B1301" s="43" t="s">
        <v>291</v>
      </c>
      <c r="C1301" s="43" t="s">
        <v>265</v>
      </c>
      <c r="D1301" s="43" t="s">
        <v>618</v>
      </c>
      <c r="E1301" s="43" t="s">
        <v>625</v>
      </c>
      <c r="F1301" s="43" t="s">
        <v>352</v>
      </c>
      <c r="G1301" s="43" t="s">
        <v>232</v>
      </c>
      <c r="H1301" s="43" t="s">
        <v>207</v>
      </c>
      <c r="I1301" s="44">
        <v>45432</v>
      </c>
      <c r="J1301" s="44">
        <v>45626</v>
      </c>
      <c r="K1301" s="45">
        <v>6</v>
      </c>
      <c r="L1301" s="45">
        <v>307.71769999999998</v>
      </c>
      <c r="M1301" s="45">
        <v>836.96</v>
      </c>
      <c r="N1301" s="45">
        <v>8</v>
      </c>
      <c r="O1301" s="45">
        <v>421.4744</v>
      </c>
      <c r="P1301" s="62">
        <f t="shared" si="21"/>
        <v>14</v>
      </c>
    </row>
    <row r="1302" spans="1:16" x14ac:dyDescent="0.25">
      <c r="A1302" s="43" t="s">
        <v>200</v>
      </c>
      <c r="B1302" s="43" t="s">
        <v>291</v>
      </c>
      <c r="C1302" s="43" t="s">
        <v>265</v>
      </c>
      <c r="D1302" s="43" t="s">
        <v>618</v>
      </c>
      <c r="E1302" s="43" t="s">
        <v>625</v>
      </c>
      <c r="F1302" s="43" t="s">
        <v>352</v>
      </c>
      <c r="G1302" s="43" t="s">
        <v>233</v>
      </c>
      <c r="H1302" s="43" t="s">
        <v>207</v>
      </c>
      <c r="I1302" s="44">
        <v>45432</v>
      </c>
      <c r="J1302" s="44">
        <v>45646</v>
      </c>
      <c r="K1302" s="45">
        <v>14</v>
      </c>
      <c r="L1302" s="45">
        <v>773.77909999999997</v>
      </c>
      <c r="M1302" s="45">
        <v>2044.09</v>
      </c>
      <c r="N1302" s="45">
        <v>7</v>
      </c>
      <c r="O1302" s="45">
        <v>411.80579999999998</v>
      </c>
      <c r="P1302" s="62">
        <f t="shared" si="21"/>
        <v>21</v>
      </c>
    </row>
    <row r="1303" spans="1:16" x14ac:dyDescent="0.25">
      <c r="A1303" s="43" t="s">
        <v>200</v>
      </c>
      <c r="B1303" s="43" t="s">
        <v>291</v>
      </c>
      <c r="C1303" s="43" t="s">
        <v>265</v>
      </c>
      <c r="D1303" s="43" t="s">
        <v>618</v>
      </c>
      <c r="E1303" s="43" t="s">
        <v>625</v>
      </c>
      <c r="F1303" s="43" t="s">
        <v>352</v>
      </c>
      <c r="G1303" s="43" t="s">
        <v>234</v>
      </c>
      <c r="H1303" s="43" t="s">
        <v>207</v>
      </c>
      <c r="I1303" s="44">
        <v>45432</v>
      </c>
      <c r="J1303" s="44">
        <v>45647</v>
      </c>
      <c r="K1303" s="45">
        <v>17</v>
      </c>
      <c r="L1303" s="45">
        <v>975.31479999999999</v>
      </c>
      <c r="M1303" s="45">
        <v>2446.4899999999998</v>
      </c>
      <c r="N1303" s="45">
        <v>5</v>
      </c>
      <c r="O1303" s="45">
        <v>302.70749999999998</v>
      </c>
      <c r="P1303" s="62">
        <f t="shared" si="21"/>
        <v>22</v>
      </c>
    </row>
    <row r="1304" spans="1:16" x14ac:dyDescent="0.25">
      <c r="A1304" s="43" t="s">
        <v>200</v>
      </c>
      <c r="B1304" s="43" t="s">
        <v>291</v>
      </c>
      <c r="C1304" s="43" t="s">
        <v>265</v>
      </c>
      <c r="D1304" s="43" t="s">
        <v>618</v>
      </c>
      <c r="E1304" s="43" t="s">
        <v>625</v>
      </c>
      <c r="F1304" s="43" t="s">
        <v>352</v>
      </c>
      <c r="G1304" s="43" t="s">
        <v>296</v>
      </c>
      <c r="H1304" s="43" t="s">
        <v>207</v>
      </c>
      <c r="I1304" s="44">
        <v>45432</v>
      </c>
      <c r="J1304" s="44">
        <v>45644</v>
      </c>
      <c r="K1304" s="45">
        <v>13</v>
      </c>
      <c r="L1304" s="45">
        <v>696.07349999999997</v>
      </c>
      <c r="M1304" s="45">
        <v>1899.22</v>
      </c>
      <c r="N1304" s="45">
        <v>3</v>
      </c>
      <c r="O1304" s="45">
        <v>167.2689</v>
      </c>
      <c r="P1304" s="62">
        <f t="shared" si="21"/>
        <v>16</v>
      </c>
    </row>
    <row r="1305" spans="1:16" x14ac:dyDescent="0.25">
      <c r="A1305" s="43" t="s">
        <v>200</v>
      </c>
      <c r="B1305" s="43" t="s">
        <v>291</v>
      </c>
      <c r="C1305" s="43" t="s">
        <v>265</v>
      </c>
      <c r="D1305" s="43" t="s">
        <v>618</v>
      </c>
      <c r="E1305" s="43" t="s">
        <v>626</v>
      </c>
      <c r="F1305" s="43" t="s">
        <v>352</v>
      </c>
      <c r="G1305" s="43" t="s">
        <v>232</v>
      </c>
      <c r="H1305" s="43" t="s">
        <v>218</v>
      </c>
      <c r="I1305" s="44">
        <v>45591</v>
      </c>
      <c r="J1305" s="44">
        <v>45647</v>
      </c>
      <c r="K1305" s="45">
        <v>1</v>
      </c>
      <c r="L1305" s="45">
        <v>51.322600000000001</v>
      </c>
      <c r="M1305" s="45">
        <v>144.86000000000001</v>
      </c>
      <c r="N1305" s="45">
        <v>5</v>
      </c>
      <c r="O1305" s="45">
        <v>266.05149999999998</v>
      </c>
      <c r="P1305" s="62">
        <f t="shared" si="21"/>
        <v>6</v>
      </c>
    </row>
    <row r="1306" spans="1:16" x14ac:dyDescent="0.25">
      <c r="A1306" s="43" t="s">
        <v>200</v>
      </c>
      <c r="B1306" s="43" t="s">
        <v>291</v>
      </c>
      <c r="C1306" s="43" t="s">
        <v>265</v>
      </c>
      <c r="D1306" s="43" t="s">
        <v>618</v>
      </c>
      <c r="E1306" s="43" t="s">
        <v>626</v>
      </c>
      <c r="F1306" s="43" t="s">
        <v>352</v>
      </c>
      <c r="G1306" s="43" t="s">
        <v>233</v>
      </c>
      <c r="H1306" s="43" t="s">
        <v>218</v>
      </c>
      <c r="I1306" s="44">
        <v>45591</v>
      </c>
      <c r="J1306" s="44">
        <v>45647</v>
      </c>
      <c r="K1306" s="45">
        <v>1</v>
      </c>
      <c r="L1306" s="45">
        <v>51.322600000000001</v>
      </c>
      <c r="M1306" s="45">
        <v>144.85</v>
      </c>
      <c r="N1306" s="45">
        <v>5</v>
      </c>
      <c r="O1306" s="45">
        <v>263.80149999999998</v>
      </c>
      <c r="P1306" s="62">
        <f t="shared" si="21"/>
        <v>6</v>
      </c>
    </row>
    <row r="1307" spans="1:16" x14ac:dyDescent="0.25">
      <c r="A1307" s="43" t="s">
        <v>200</v>
      </c>
      <c r="B1307" s="43" t="s">
        <v>291</v>
      </c>
      <c r="C1307" s="43" t="s">
        <v>265</v>
      </c>
      <c r="D1307" s="43" t="s">
        <v>618</v>
      </c>
      <c r="E1307" s="43" t="s">
        <v>626</v>
      </c>
      <c r="F1307" s="43" t="s">
        <v>352</v>
      </c>
      <c r="G1307" s="43" t="s">
        <v>234</v>
      </c>
      <c r="H1307" s="43" t="s">
        <v>218</v>
      </c>
      <c r="I1307" s="44">
        <v>45591</v>
      </c>
      <c r="J1307" s="44">
        <v>45647</v>
      </c>
      <c r="K1307" s="45">
        <v>2</v>
      </c>
      <c r="L1307" s="45">
        <v>102.3116</v>
      </c>
      <c r="M1307" s="45">
        <v>289.70999999999998</v>
      </c>
      <c r="N1307" s="45">
        <v>5</v>
      </c>
      <c r="O1307" s="45">
        <v>264.95299999999997</v>
      </c>
      <c r="P1307" s="62">
        <f t="shared" si="21"/>
        <v>7</v>
      </c>
    </row>
    <row r="1308" spans="1:16" x14ac:dyDescent="0.25">
      <c r="A1308" s="43" t="s">
        <v>200</v>
      </c>
      <c r="B1308" s="43" t="s">
        <v>291</v>
      </c>
      <c r="C1308" s="43" t="s">
        <v>265</v>
      </c>
      <c r="D1308" s="43" t="s">
        <v>618</v>
      </c>
      <c r="E1308" s="43" t="s">
        <v>626</v>
      </c>
      <c r="F1308" s="43" t="s">
        <v>352</v>
      </c>
      <c r="G1308" s="43" t="s">
        <v>296</v>
      </c>
      <c r="H1308" s="43" t="s">
        <v>218</v>
      </c>
      <c r="I1308" s="44">
        <v>45591</v>
      </c>
      <c r="J1308" s="44">
        <v>45647</v>
      </c>
      <c r="K1308" s="45">
        <v>1</v>
      </c>
      <c r="L1308" s="45">
        <v>51.322600000000001</v>
      </c>
      <c r="M1308" s="45">
        <v>144.86000000000001</v>
      </c>
      <c r="N1308" s="45">
        <v>3</v>
      </c>
      <c r="O1308" s="45">
        <v>158.8836</v>
      </c>
      <c r="P1308" s="62">
        <f t="shared" si="21"/>
        <v>4</v>
      </c>
    </row>
    <row r="1309" spans="1:16" x14ac:dyDescent="0.25">
      <c r="A1309" s="43" t="s">
        <v>200</v>
      </c>
      <c r="B1309" s="43" t="s">
        <v>291</v>
      </c>
      <c r="C1309" s="43" t="s">
        <v>265</v>
      </c>
      <c r="D1309" s="43" t="s">
        <v>618</v>
      </c>
      <c r="E1309" s="43" t="s">
        <v>627</v>
      </c>
      <c r="F1309" s="43" t="s">
        <v>352</v>
      </c>
      <c r="G1309" s="43" t="s">
        <v>232</v>
      </c>
      <c r="H1309" s="43" t="s">
        <v>226</v>
      </c>
      <c r="I1309" s="44">
        <v>45591</v>
      </c>
      <c r="J1309" s="44">
        <v>45591</v>
      </c>
      <c r="K1309" s="45">
        <v>0</v>
      </c>
      <c r="L1309" s="45">
        <v>0</v>
      </c>
      <c r="M1309" s="45">
        <v>0</v>
      </c>
      <c r="N1309" s="45">
        <v>5</v>
      </c>
      <c r="O1309" s="45">
        <v>256.613</v>
      </c>
      <c r="P1309" s="62">
        <f t="shared" si="21"/>
        <v>5</v>
      </c>
    </row>
    <row r="1310" spans="1:16" x14ac:dyDescent="0.25">
      <c r="A1310" s="43" t="s">
        <v>200</v>
      </c>
      <c r="B1310" s="43" t="s">
        <v>291</v>
      </c>
      <c r="C1310" s="43" t="s">
        <v>265</v>
      </c>
      <c r="D1310" s="43" t="s">
        <v>618</v>
      </c>
      <c r="E1310" s="43" t="s">
        <v>627</v>
      </c>
      <c r="F1310" s="43" t="s">
        <v>352</v>
      </c>
      <c r="G1310" s="43" t="s">
        <v>233</v>
      </c>
      <c r="H1310" s="43" t="s">
        <v>226</v>
      </c>
      <c r="I1310" s="44">
        <v>45591</v>
      </c>
      <c r="J1310" s="44">
        <v>45619</v>
      </c>
      <c r="K1310" s="45">
        <v>0</v>
      </c>
      <c r="L1310" s="45">
        <v>0</v>
      </c>
      <c r="M1310" s="45">
        <v>0</v>
      </c>
      <c r="N1310" s="45">
        <v>5</v>
      </c>
      <c r="O1310" s="45">
        <v>259.28199999999998</v>
      </c>
      <c r="P1310" s="62">
        <f t="shared" si="21"/>
        <v>5</v>
      </c>
    </row>
    <row r="1311" spans="1:16" x14ac:dyDescent="0.25">
      <c r="A1311" s="43" t="s">
        <v>200</v>
      </c>
      <c r="B1311" s="43" t="s">
        <v>291</v>
      </c>
      <c r="C1311" s="43" t="s">
        <v>265</v>
      </c>
      <c r="D1311" s="43" t="s">
        <v>618</v>
      </c>
      <c r="E1311" s="43" t="s">
        <v>627</v>
      </c>
      <c r="F1311" s="43" t="s">
        <v>352</v>
      </c>
      <c r="G1311" s="43" t="s">
        <v>234</v>
      </c>
      <c r="H1311" s="43" t="s">
        <v>226</v>
      </c>
      <c r="I1311" s="44">
        <v>45591</v>
      </c>
      <c r="J1311" s="44">
        <v>45630</v>
      </c>
      <c r="K1311" s="45">
        <v>0</v>
      </c>
      <c r="L1311" s="45">
        <v>0</v>
      </c>
      <c r="M1311" s="45">
        <v>0</v>
      </c>
      <c r="N1311" s="45">
        <v>4</v>
      </c>
      <c r="O1311" s="45">
        <v>212.9632</v>
      </c>
      <c r="P1311" s="62">
        <f t="shared" si="21"/>
        <v>4</v>
      </c>
    </row>
    <row r="1312" spans="1:16" x14ac:dyDescent="0.25">
      <c r="A1312" s="43" t="s">
        <v>200</v>
      </c>
      <c r="B1312" s="43" t="s">
        <v>291</v>
      </c>
      <c r="C1312" s="43" t="s">
        <v>265</v>
      </c>
      <c r="D1312" s="43" t="s">
        <v>618</v>
      </c>
      <c r="E1312" s="43" t="s">
        <v>627</v>
      </c>
      <c r="F1312" s="43" t="s">
        <v>352</v>
      </c>
      <c r="G1312" s="43" t="s">
        <v>296</v>
      </c>
      <c r="H1312" s="43" t="s">
        <v>226</v>
      </c>
      <c r="I1312" s="44">
        <v>45591</v>
      </c>
      <c r="J1312" s="44">
        <v>45626</v>
      </c>
      <c r="K1312" s="45">
        <v>0</v>
      </c>
      <c r="L1312" s="45">
        <v>0</v>
      </c>
      <c r="M1312" s="45">
        <v>0</v>
      </c>
      <c r="N1312" s="45">
        <v>6</v>
      </c>
      <c r="O1312" s="45">
        <v>322.76220000000001</v>
      </c>
      <c r="P1312" s="62">
        <f t="shared" si="21"/>
        <v>6</v>
      </c>
    </row>
    <row r="1313" spans="1:16" x14ac:dyDescent="0.25">
      <c r="A1313" s="43" t="s">
        <v>200</v>
      </c>
      <c r="B1313" s="43" t="s">
        <v>291</v>
      </c>
      <c r="C1313" s="43" t="s">
        <v>265</v>
      </c>
      <c r="D1313" s="43" t="s">
        <v>618</v>
      </c>
      <c r="E1313" s="43" t="s">
        <v>628</v>
      </c>
      <c r="F1313" s="43" t="s">
        <v>510</v>
      </c>
      <c r="G1313" s="43" t="s">
        <v>232</v>
      </c>
      <c r="H1313" s="43" t="s">
        <v>207</v>
      </c>
      <c r="I1313" s="44">
        <v>45633</v>
      </c>
      <c r="J1313" s="44">
        <v>45633</v>
      </c>
      <c r="K1313" s="45">
        <v>0</v>
      </c>
      <c r="L1313" s="45">
        <v>0</v>
      </c>
      <c r="M1313" s="45">
        <v>0</v>
      </c>
      <c r="N1313" s="45">
        <v>5</v>
      </c>
      <c r="O1313" s="45">
        <v>180.042</v>
      </c>
      <c r="P1313" s="62">
        <f t="shared" si="21"/>
        <v>5</v>
      </c>
    </row>
    <row r="1314" spans="1:16" x14ac:dyDescent="0.25">
      <c r="A1314" s="43" t="s">
        <v>200</v>
      </c>
      <c r="B1314" s="43" t="s">
        <v>291</v>
      </c>
      <c r="C1314" s="43" t="s">
        <v>265</v>
      </c>
      <c r="D1314" s="43" t="s">
        <v>618</v>
      </c>
      <c r="E1314" s="43" t="s">
        <v>628</v>
      </c>
      <c r="F1314" s="43" t="s">
        <v>510</v>
      </c>
      <c r="G1314" s="43" t="s">
        <v>233</v>
      </c>
      <c r="H1314" s="43" t="s">
        <v>207</v>
      </c>
      <c r="I1314" s="44">
        <v>45633</v>
      </c>
      <c r="J1314" s="44">
        <v>45633</v>
      </c>
      <c r="K1314" s="45">
        <v>0</v>
      </c>
      <c r="L1314" s="45">
        <v>0</v>
      </c>
      <c r="M1314" s="45">
        <v>0</v>
      </c>
      <c r="N1314" s="45">
        <v>5</v>
      </c>
      <c r="O1314" s="45">
        <v>180.042</v>
      </c>
      <c r="P1314" s="62">
        <f t="shared" si="21"/>
        <v>5</v>
      </c>
    </row>
    <row r="1315" spans="1:16" x14ac:dyDescent="0.25">
      <c r="A1315" s="43" t="s">
        <v>200</v>
      </c>
      <c r="B1315" s="43" t="s">
        <v>291</v>
      </c>
      <c r="C1315" s="43" t="s">
        <v>265</v>
      </c>
      <c r="D1315" s="43" t="s">
        <v>618</v>
      </c>
      <c r="E1315" s="43" t="s">
        <v>628</v>
      </c>
      <c r="F1315" s="43" t="s">
        <v>510</v>
      </c>
      <c r="G1315" s="43" t="s">
        <v>234</v>
      </c>
      <c r="H1315" s="43" t="s">
        <v>207</v>
      </c>
      <c r="I1315" s="44">
        <v>45633</v>
      </c>
      <c r="J1315" s="44">
        <v>45638</v>
      </c>
      <c r="K1315" s="45">
        <v>4</v>
      </c>
      <c r="L1315" s="45">
        <v>144.03360000000001</v>
      </c>
      <c r="M1315" s="45">
        <v>384.1</v>
      </c>
      <c r="N1315" s="45">
        <v>3</v>
      </c>
      <c r="O1315" s="45">
        <v>108.0252</v>
      </c>
      <c r="P1315" s="62">
        <f t="shared" si="21"/>
        <v>7</v>
      </c>
    </row>
    <row r="1316" spans="1:16" x14ac:dyDescent="0.25">
      <c r="A1316" s="43" t="s">
        <v>200</v>
      </c>
      <c r="B1316" s="43" t="s">
        <v>291</v>
      </c>
      <c r="C1316" s="43" t="s">
        <v>265</v>
      </c>
      <c r="D1316" s="43" t="s">
        <v>618</v>
      </c>
      <c r="E1316" s="43" t="s">
        <v>628</v>
      </c>
      <c r="F1316" s="43" t="s">
        <v>510</v>
      </c>
      <c r="G1316" s="43" t="s">
        <v>296</v>
      </c>
      <c r="H1316" s="43" t="s">
        <v>207</v>
      </c>
      <c r="I1316" s="44">
        <v>45633</v>
      </c>
      <c r="J1316" s="44">
        <v>45637</v>
      </c>
      <c r="K1316" s="45">
        <v>2</v>
      </c>
      <c r="L1316" s="45">
        <v>72.016800000000003</v>
      </c>
      <c r="M1316" s="45">
        <v>186.86</v>
      </c>
      <c r="N1316" s="45">
        <v>3</v>
      </c>
      <c r="O1316" s="45">
        <v>108.0252</v>
      </c>
      <c r="P1316" s="62">
        <f t="shared" si="21"/>
        <v>5</v>
      </c>
    </row>
    <row r="1317" spans="1:16" x14ac:dyDescent="0.25">
      <c r="A1317" s="43" t="s">
        <v>200</v>
      </c>
      <c r="B1317" s="43" t="s">
        <v>291</v>
      </c>
      <c r="C1317" s="43" t="s">
        <v>265</v>
      </c>
      <c r="D1317" s="43" t="s">
        <v>618</v>
      </c>
      <c r="E1317" s="43" t="s">
        <v>629</v>
      </c>
      <c r="F1317" s="43" t="s">
        <v>510</v>
      </c>
      <c r="G1317" s="43" t="s">
        <v>232</v>
      </c>
      <c r="H1317" s="43" t="s">
        <v>218</v>
      </c>
      <c r="I1317" s="44">
        <v>45633</v>
      </c>
      <c r="J1317" s="44">
        <v>45633</v>
      </c>
      <c r="K1317" s="45">
        <v>0</v>
      </c>
      <c r="L1317" s="45">
        <v>0</v>
      </c>
      <c r="M1317" s="45">
        <v>0</v>
      </c>
      <c r="N1317" s="45">
        <v>5</v>
      </c>
      <c r="O1317" s="45">
        <v>180.042</v>
      </c>
      <c r="P1317" s="62">
        <f t="shared" si="21"/>
        <v>5</v>
      </c>
    </row>
    <row r="1318" spans="1:16" x14ac:dyDescent="0.25">
      <c r="A1318" s="43" t="s">
        <v>200</v>
      </c>
      <c r="B1318" s="43" t="s">
        <v>291</v>
      </c>
      <c r="C1318" s="43" t="s">
        <v>265</v>
      </c>
      <c r="D1318" s="43" t="s">
        <v>618</v>
      </c>
      <c r="E1318" s="43" t="s">
        <v>629</v>
      </c>
      <c r="F1318" s="43" t="s">
        <v>510</v>
      </c>
      <c r="G1318" s="43" t="s">
        <v>233</v>
      </c>
      <c r="H1318" s="43" t="s">
        <v>218</v>
      </c>
      <c r="I1318" s="44">
        <v>45633</v>
      </c>
      <c r="J1318" s="44">
        <v>45633</v>
      </c>
      <c r="K1318" s="45">
        <v>0</v>
      </c>
      <c r="L1318" s="45">
        <v>0</v>
      </c>
      <c r="M1318" s="45">
        <v>0</v>
      </c>
      <c r="N1318" s="45">
        <v>5</v>
      </c>
      <c r="O1318" s="45">
        <v>180.042</v>
      </c>
      <c r="P1318" s="62">
        <f t="shared" si="21"/>
        <v>5</v>
      </c>
    </row>
    <row r="1319" spans="1:16" x14ac:dyDescent="0.25">
      <c r="A1319" s="43" t="s">
        <v>200</v>
      </c>
      <c r="B1319" s="43" t="s">
        <v>291</v>
      </c>
      <c r="C1319" s="43" t="s">
        <v>265</v>
      </c>
      <c r="D1319" s="43" t="s">
        <v>618</v>
      </c>
      <c r="E1319" s="43" t="s">
        <v>629</v>
      </c>
      <c r="F1319" s="43" t="s">
        <v>510</v>
      </c>
      <c r="G1319" s="43" t="s">
        <v>234</v>
      </c>
      <c r="H1319" s="43" t="s">
        <v>218</v>
      </c>
      <c r="I1319" s="44">
        <v>45633</v>
      </c>
      <c r="J1319" s="44">
        <v>45633</v>
      </c>
      <c r="K1319" s="45">
        <v>0</v>
      </c>
      <c r="L1319" s="45">
        <v>0</v>
      </c>
      <c r="M1319" s="45">
        <v>0</v>
      </c>
      <c r="N1319" s="45">
        <v>4</v>
      </c>
      <c r="O1319" s="45">
        <v>144.03360000000001</v>
      </c>
      <c r="P1319" s="62">
        <f t="shared" si="21"/>
        <v>4</v>
      </c>
    </row>
    <row r="1320" spans="1:16" x14ac:dyDescent="0.25">
      <c r="A1320" s="43" t="s">
        <v>200</v>
      </c>
      <c r="B1320" s="43" t="s">
        <v>291</v>
      </c>
      <c r="C1320" s="43" t="s">
        <v>265</v>
      </c>
      <c r="D1320" s="43" t="s">
        <v>618</v>
      </c>
      <c r="E1320" s="43" t="s">
        <v>629</v>
      </c>
      <c r="F1320" s="43" t="s">
        <v>510</v>
      </c>
      <c r="G1320" s="43" t="s">
        <v>296</v>
      </c>
      <c r="H1320" s="43" t="s">
        <v>218</v>
      </c>
      <c r="I1320" s="44">
        <v>45633</v>
      </c>
      <c r="J1320" s="44">
        <v>45633</v>
      </c>
      <c r="K1320" s="45">
        <v>0</v>
      </c>
      <c r="L1320" s="45">
        <v>0</v>
      </c>
      <c r="M1320" s="45">
        <v>0</v>
      </c>
      <c r="N1320" s="45">
        <v>3</v>
      </c>
      <c r="O1320" s="45">
        <v>108.0252</v>
      </c>
      <c r="P1320" s="62">
        <f t="shared" si="21"/>
        <v>3</v>
      </c>
    </row>
    <row r="1321" spans="1:16" x14ac:dyDescent="0.25">
      <c r="A1321" s="43" t="s">
        <v>200</v>
      </c>
      <c r="B1321" s="43" t="s">
        <v>291</v>
      </c>
      <c r="C1321" s="43" t="s">
        <v>265</v>
      </c>
      <c r="D1321" s="43" t="s">
        <v>618</v>
      </c>
      <c r="E1321" s="43" t="s">
        <v>630</v>
      </c>
      <c r="F1321" s="43" t="s">
        <v>510</v>
      </c>
      <c r="G1321" s="43" t="s">
        <v>232</v>
      </c>
      <c r="H1321" s="43" t="s">
        <v>207</v>
      </c>
      <c r="I1321" s="44">
        <v>45633</v>
      </c>
      <c r="J1321" s="44">
        <v>45633</v>
      </c>
      <c r="K1321" s="45">
        <v>0</v>
      </c>
      <c r="L1321" s="45">
        <v>0</v>
      </c>
      <c r="M1321" s="45">
        <v>0</v>
      </c>
      <c r="N1321" s="45">
        <v>5</v>
      </c>
      <c r="O1321" s="45">
        <v>180.042</v>
      </c>
      <c r="P1321" s="62">
        <f t="shared" si="21"/>
        <v>5</v>
      </c>
    </row>
    <row r="1322" spans="1:16" x14ac:dyDescent="0.25">
      <c r="A1322" s="43" t="s">
        <v>200</v>
      </c>
      <c r="B1322" s="43" t="s">
        <v>291</v>
      </c>
      <c r="C1322" s="43" t="s">
        <v>265</v>
      </c>
      <c r="D1322" s="43" t="s">
        <v>618</v>
      </c>
      <c r="E1322" s="43" t="s">
        <v>630</v>
      </c>
      <c r="F1322" s="43" t="s">
        <v>510</v>
      </c>
      <c r="G1322" s="43" t="s">
        <v>233</v>
      </c>
      <c r="H1322" s="43" t="s">
        <v>207</v>
      </c>
      <c r="I1322" s="44">
        <v>45633</v>
      </c>
      <c r="J1322" s="44">
        <v>45633</v>
      </c>
      <c r="K1322" s="45">
        <v>0</v>
      </c>
      <c r="L1322" s="45">
        <v>0</v>
      </c>
      <c r="M1322" s="45">
        <v>0</v>
      </c>
      <c r="N1322" s="45">
        <v>5</v>
      </c>
      <c r="O1322" s="45">
        <v>180.042</v>
      </c>
      <c r="P1322" s="62">
        <f t="shared" si="21"/>
        <v>5</v>
      </c>
    </row>
    <row r="1323" spans="1:16" x14ac:dyDescent="0.25">
      <c r="A1323" s="43" t="s">
        <v>200</v>
      </c>
      <c r="B1323" s="43" t="s">
        <v>291</v>
      </c>
      <c r="C1323" s="43" t="s">
        <v>265</v>
      </c>
      <c r="D1323" s="43" t="s">
        <v>618</v>
      </c>
      <c r="E1323" s="43" t="s">
        <v>630</v>
      </c>
      <c r="F1323" s="43" t="s">
        <v>510</v>
      </c>
      <c r="G1323" s="43" t="s">
        <v>234</v>
      </c>
      <c r="H1323" s="43" t="s">
        <v>207</v>
      </c>
      <c r="I1323" s="44">
        <v>45633</v>
      </c>
      <c r="J1323" s="44">
        <v>45638</v>
      </c>
      <c r="K1323" s="45">
        <v>2</v>
      </c>
      <c r="L1323" s="45">
        <v>72.016800000000003</v>
      </c>
      <c r="M1323" s="45">
        <v>186.85</v>
      </c>
      <c r="N1323" s="45">
        <v>4</v>
      </c>
      <c r="O1323" s="45">
        <v>144.03360000000001</v>
      </c>
      <c r="P1323" s="62">
        <f t="shared" si="21"/>
        <v>6</v>
      </c>
    </row>
    <row r="1324" spans="1:16" x14ac:dyDescent="0.25">
      <c r="A1324" s="43" t="s">
        <v>200</v>
      </c>
      <c r="B1324" s="43" t="s">
        <v>291</v>
      </c>
      <c r="C1324" s="43" t="s">
        <v>265</v>
      </c>
      <c r="D1324" s="43" t="s">
        <v>618</v>
      </c>
      <c r="E1324" s="43" t="s">
        <v>630</v>
      </c>
      <c r="F1324" s="43" t="s">
        <v>510</v>
      </c>
      <c r="G1324" s="43" t="s">
        <v>296</v>
      </c>
      <c r="H1324" s="43" t="s">
        <v>207</v>
      </c>
      <c r="I1324" s="44">
        <v>45633</v>
      </c>
      <c r="J1324" s="44">
        <v>45633</v>
      </c>
      <c r="K1324" s="45">
        <v>0</v>
      </c>
      <c r="L1324" s="45">
        <v>0</v>
      </c>
      <c r="M1324" s="45">
        <v>0</v>
      </c>
      <c r="N1324" s="45">
        <v>3</v>
      </c>
      <c r="O1324" s="45">
        <v>108.0252</v>
      </c>
      <c r="P1324" s="62">
        <f t="shared" si="21"/>
        <v>3</v>
      </c>
    </row>
    <row r="1325" spans="1:16" x14ac:dyDescent="0.25">
      <c r="A1325" s="43" t="s">
        <v>200</v>
      </c>
      <c r="B1325" s="43" t="s">
        <v>291</v>
      </c>
      <c r="C1325" s="43" t="s">
        <v>265</v>
      </c>
      <c r="D1325" s="43" t="s">
        <v>618</v>
      </c>
      <c r="E1325" s="43" t="s">
        <v>631</v>
      </c>
      <c r="F1325" s="43" t="s">
        <v>529</v>
      </c>
      <c r="G1325" s="43" t="s">
        <v>296</v>
      </c>
      <c r="H1325" s="43" t="s">
        <v>349</v>
      </c>
      <c r="I1325" s="44">
        <v>45603</v>
      </c>
      <c r="J1325" s="44">
        <v>45603</v>
      </c>
      <c r="K1325" s="45">
        <v>0</v>
      </c>
      <c r="L1325" s="45">
        <v>0</v>
      </c>
      <c r="M1325" s="45">
        <v>0</v>
      </c>
      <c r="N1325" s="45">
        <v>1</v>
      </c>
      <c r="O1325" s="45">
        <v>59.930199999999999</v>
      </c>
      <c r="P1325" s="62">
        <f t="shared" si="21"/>
        <v>1</v>
      </c>
    </row>
    <row r="1326" spans="1:16" x14ac:dyDescent="0.25">
      <c r="A1326" s="43" t="s">
        <v>200</v>
      </c>
      <c r="B1326" s="43" t="s">
        <v>291</v>
      </c>
      <c r="C1326" s="43" t="s">
        <v>265</v>
      </c>
      <c r="D1326" s="43" t="s">
        <v>618</v>
      </c>
      <c r="E1326" s="43" t="s">
        <v>632</v>
      </c>
      <c r="F1326" s="43" t="s">
        <v>516</v>
      </c>
      <c r="G1326" s="43" t="s">
        <v>232</v>
      </c>
      <c r="H1326" s="43" t="s">
        <v>218</v>
      </c>
      <c r="I1326" s="44">
        <v>45593</v>
      </c>
      <c r="J1326" s="44">
        <v>45632</v>
      </c>
      <c r="K1326" s="45">
        <v>3</v>
      </c>
      <c r="L1326" s="45">
        <v>145.1798</v>
      </c>
      <c r="M1326" s="45">
        <v>383.13</v>
      </c>
      <c r="N1326" s="45">
        <v>5</v>
      </c>
      <c r="O1326" s="45">
        <v>245.72149999999999</v>
      </c>
      <c r="P1326" s="62">
        <f t="shared" si="21"/>
        <v>8</v>
      </c>
    </row>
    <row r="1327" spans="1:16" x14ac:dyDescent="0.25">
      <c r="A1327" s="43" t="s">
        <v>200</v>
      </c>
      <c r="B1327" s="43" t="s">
        <v>291</v>
      </c>
      <c r="C1327" s="43" t="s">
        <v>265</v>
      </c>
      <c r="D1327" s="43" t="s">
        <v>618</v>
      </c>
      <c r="E1327" s="43" t="s">
        <v>632</v>
      </c>
      <c r="F1327" s="43" t="s">
        <v>516</v>
      </c>
      <c r="G1327" s="43" t="s">
        <v>233</v>
      </c>
      <c r="H1327" s="43" t="s">
        <v>218</v>
      </c>
      <c r="I1327" s="44">
        <v>45593</v>
      </c>
      <c r="J1327" s="44">
        <v>45636</v>
      </c>
      <c r="K1327" s="45">
        <v>6</v>
      </c>
      <c r="L1327" s="45">
        <v>293.00069999999999</v>
      </c>
      <c r="M1327" s="45">
        <v>766.26</v>
      </c>
      <c r="N1327" s="45">
        <v>6</v>
      </c>
      <c r="O1327" s="45">
        <v>299.58179999999999</v>
      </c>
      <c r="P1327" s="62">
        <f t="shared" si="21"/>
        <v>12</v>
      </c>
    </row>
    <row r="1328" spans="1:16" x14ac:dyDescent="0.25">
      <c r="A1328" s="43" t="s">
        <v>200</v>
      </c>
      <c r="B1328" s="43" t="s">
        <v>291</v>
      </c>
      <c r="C1328" s="43" t="s">
        <v>265</v>
      </c>
      <c r="D1328" s="43" t="s">
        <v>618</v>
      </c>
      <c r="E1328" s="43" t="s">
        <v>632</v>
      </c>
      <c r="F1328" s="43" t="s">
        <v>516</v>
      </c>
      <c r="G1328" s="43" t="s">
        <v>234</v>
      </c>
      <c r="H1328" s="43" t="s">
        <v>218</v>
      </c>
      <c r="I1328" s="44">
        <v>45593</v>
      </c>
      <c r="J1328" s="44">
        <v>45636</v>
      </c>
      <c r="K1328" s="45">
        <v>8</v>
      </c>
      <c r="L1328" s="45">
        <v>394.18189999999998</v>
      </c>
      <c r="M1328" s="45">
        <v>1007.5</v>
      </c>
      <c r="N1328" s="45">
        <v>4</v>
      </c>
      <c r="O1328" s="45">
        <v>200.89279999999999</v>
      </c>
      <c r="P1328" s="62">
        <f t="shared" si="21"/>
        <v>12</v>
      </c>
    </row>
    <row r="1329" spans="1:16" x14ac:dyDescent="0.25">
      <c r="A1329" s="43" t="s">
        <v>200</v>
      </c>
      <c r="B1329" s="43" t="s">
        <v>291</v>
      </c>
      <c r="C1329" s="43" t="s">
        <v>265</v>
      </c>
      <c r="D1329" s="43" t="s">
        <v>618</v>
      </c>
      <c r="E1329" s="43" t="s">
        <v>632</v>
      </c>
      <c r="F1329" s="43" t="s">
        <v>516</v>
      </c>
      <c r="G1329" s="43" t="s">
        <v>296</v>
      </c>
      <c r="H1329" s="43" t="s">
        <v>218</v>
      </c>
      <c r="I1329" s="44">
        <v>45593</v>
      </c>
      <c r="J1329" s="44">
        <v>45636</v>
      </c>
      <c r="K1329" s="45">
        <v>5</v>
      </c>
      <c r="L1329" s="45">
        <v>245.60919999999999</v>
      </c>
      <c r="M1329" s="45">
        <v>638.58000000000004</v>
      </c>
      <c r="N1329" s="45">
        <v>3</v>
      </c>
      <c r="O1329" s="45">
        <v>150.27629999999999</v>
      </c>
      <c r="P1329" s="62">
        <f t="shared" si="21"/>
        <v>8</v>
      </c>
    </row>
    <row r="1330" spans="1:16" x14ac:dyDescent="0.25">
      <c r="A1330" s="43" t="s">
        <v>200</v>
      </c>
      <c r="B1330" s="43" t="s">
        <v>291</v>
      </c>
      <c r="C1330" s="43" t="s">
        <v>265</v>
      </c>
      <c r="D1330" s="43" t="s">
        <v>618</v>
      </c>
      <c r="E1330" s="43" t="s">
        <v>633</v>
      </c>
      <c r="F1330" s="43" t="s">
        <v>516</v>
      </c>
      <c r="G1330" s="43" t="s">
        <v>232</v>
      </c>
      <c r="H1330" s="43" t="s">
        <v>207</v>
      </c>
      <c r="I1330" s="44">
        <v>45591</v>
      </c>
      <c r="J1330" s="44">
        <v>45591</v>
      </c>
      <c r="K1330" s="45">
        <v>0</v>
      </c>
      <c r="L1330" s="45">
        <v>0</v>
      </c>
      <c r="M1330" s="45">
        <v>0</v>
      </c>
      <c r="N1330" s="45">
        <v>5</v>
      </c>
      <c r="O1330" s="45">
        <v>239.84200000000001</v>
      </c>
      <c r="P1330" s="62">
        <f t="shared" si="21"/>
        <v>5</v>
      </c>
    </row>
    <row r="1331" spans="1:16" x14ac:dyDescent="0.25">
      <c r="A1331" s="43" t="s">
        <v>200</v>
      </c>
      <c r="B1331" s="43" t="s">
        <v>291</v>
      </c>
      <c r="C1331" s="43" t="s">
        <v>265</v>
      </c>
      <c r="D1331" s="43" t="s">
        <v>618</v>
      </c>
      <c r="E1331" s="43" t="s">
        <v>633</v>
      </c>
      <c r="F1331" s="43" t="s">
        <v>516</v>
      </c>
      <c r="G1331" s="43" t="s">
        <v>233</v>
      </c>
      <c r="H1331" s="43" t="s">
        <v>207</v>
      </c>
      <c r="I1331" s="44">
        <v>45591</v>
      </c>
      <c r="J1331" s="44">
        <v>45591</v>
      </c>
      <c r="K1331" s="45">
        <v>0</v>
      </c>
      <c r="L1331" s="45">
        <v>0</v>
      </c>
      <c r="M1331" s="45">
        <v>0</v>
      </c>
      <c r="N1331" s="45">
        <v>5</v>
      </c>
      <c r="O1331" s="45">
        <v>239.84200000000001</v>
      </c>
      <c r="P1331" s="62">
        <f t="shared" si="21"/>
        <v>5</v>
      </c>
    </row>
    <row r="1332" spans="1:16" x14ac:dyDescent="0.25">
      <c r="A1332" s="43" t="s">
        <v>200</v>
      </c>
      <c r="B1332" s="43" t="s">
        <v>291</v>
      </c>
      <c r="C1332" s="43" t="s">
        <v>265</v>
      </c>
      <c r="D1332" s="43" t="s">
        <v>618</v>
      </c>
      <c r="E1332" s="43" t="s">
        <v>633</v>
      </c>
      <c r="F1332" s="43" t="s">
        <v>516</v>
      </c>
      <c r="G1332" s="43" t="s">
        <v>234</v>
      </c>
      <c r="H1332" s="43" t="s">
        <v>207</v>
      </c>
      <c r="I1332" s="44">
        <v>45591</v>
      </c>
      <c r="J1332" s="44">
        <v>45591</v>
      </c>
      <c r="K1332" s="45">
        <v>0</v>
      </c>
      <c r="L1332" s="45">
        <v>0</v>
      </c>
      <c r="M1332" s="45">
        <v>0</v>
      </c>
      <c r="N1332" s="45">
        <v>4</v>
      </c>
      <c r="O1332" s="45">
        <v>191.87360000000001</v>
      </c>
      <c r="P1332" s="62">
        <f t="shared" si="21"/>
        <v>4</v>
      </c>
    </row>
    <row r="1333" spans="1:16" x14ac:dyDescent="0.25">
      <c r="A1333" s="43" t="s">
        <v>200</v>
      </c>
      <c r="B1333" s="43" t="s">
        <v>291</v>
      </c>
      <c r="C1333" s="43" t="s">
        <v>265</v>
      </c>
      <c r="D1333" s="43" t="s">
        <v>618</v>
      </c>
      <c r="E1333" s="43" t="s">
        <v>633</v>
      </c>
      <c r="F1333" s="43" t="s">
        <v>516</v>
      </c>
      <c r="G1333" s="43" t="s">
        <v>296</v>
      </c>
      <c r="H1333" s="43" t="s">
        <v>207</v>
      </c>
      <c r="I1333" s="44">
        <v>45591</v>
      </c>
      <c r="J1333" s="44">
        <v>45591</v>
      </c>
      <c r="K1333" s="45">
        <v>0</v>
      </c>
      <c r="L1333" s="45">
        <v>0</v>
      </c>
      <c r="M1333" s="45">
        <v>0</v>
      </c>
      <c r="N1333" s="45">
        <v>3</v>
      </c>
      <c r="O1333" s="45">
        <v>143.90520000000001</v>
      </c>
      <c r="P1333" s="62">
        <f t="shared" si="21"/>
        <v>3</v>
      </c>
    </row>
    <row r="1334" spans="1:16" x14ac:dyDescent="0.25">
      <c r="A1334" s="43" t="s">
        <v>200</v>
      </c>
      <c r="B1334" s="43" t="s">
        <v>291</v>
      </c>
      <c r="C1334" s="43" t="s">
        <v>265</v>
      </c>
      <c r="D1334" s="43" t="s">
        <v>618</v>
      </c>
      <c r="E1334" s="43" t="s">
        <v>634</v>
      </c>
      <c r="F1334" s="43" t="s">
        <v>516</v>
      </c>
      <c r="G1334" s="43" t="s">
        <v>232</v>
      </c>
      <c r="H1334" s="43" t="s">
        <v>207</v>
      </c>
      <c r="I1334" s="44">
        <v>45590</v>
      </c>
      <c r="J1334" s="44">
        <v>45590</v>
      </c>
      <c r="K1334" s="45">
        <v>0</v>
      </c>
      <c r="L1334" s="45">
        <v>0</v>
      </c>
      <c r="M1334" s="45">
        <v>0</v>
      </c>
      <c r="N1334" s="45">
        <v>5</v>
      </c>
      <c r="O1334" s="45">
        <v>214.18100000000001</v>
      </c>
      <c r="P1334" s="62">
        <f t="shared" si="21"/>
        <v>5</v>
      </c>
    </row>
    <row r="1335" spans="1:16" x14ac:dyDescent="0.25">
      <c r="A1335" s="43" t="s">
        <v>200</v>
      </c>
      <c r="B1335" s="43" t="s">
        <v>291</v>
      </c>
      <c r="C1335" s="43" t="s">
        <v>265</v>
      </c>
      <c r="D1335" s="43" t="s">
        <v>618</v>
      </c>
      <c r="E1335" s="43" t="s">
        <v>634</v>
      </c>
      <c r="F1335" s="43" t="s">
        <v>516</v>
      </c>
      <c r="G1335" s="43" t="s">
        <v>233</v>
      </c>
      <c r="H1335" s="43" t="s">
        <v>207</v>
      </c>
      <c r="I1335" s="44">
        <v>45590</v>
      </c>
      <c r="J1335" s="44">
        <v>45631</v>
      </c>
      <c r="K1335" s="45">
        <v>4</v>
      </c>
      <c r="L1335" s="45">
        <v>171.34479999999999</v>
      </c>
      <c r="M1335" s="45">
        <v>442.28</v>
      </c>
      <c r="N1335" s="45">
        <v>5</v>
      </c>
      <c r="O1335" s="45">
        <v>216.4085</v>
      </c>
      <c r="P1335" s="62">
        <f t="shared" si="21"/>
        <v>9</v>
      </c>
    </row>
    <row r="1336" spans="1:16" x14ac:dyDescent="0.25">
      <c r="A1336" s="43" t="s">
        <v>200</v>
      </c>
      <c r="B1336" s="43" t="s">
        <v>291</v>
      </c>
      <c r="C1336" s="43" t="s">
        <v>265</v>
      </c>
      <c r="D1336" s="43" t="s">
        <v>618</v>
      </c>
      <c r="E1336" s="43" t="s">
        <v>634</v>
      </c>
      <c r="F1336" s="43" t="s">
        <v>516</v>
      </c>
      <c r="G1336" s="43" t="s">
        <v>234</v>
      </c>
      <c r="H1336" s="43" t="s">
        <v>207</v>
      </c>
      <c r="I1336" s="44">
        <v>45590</v>
      </c>
      <c r="J1336" s="44">
        <v>45605</v>
      </c>
      <c r="K1336" s="45">
        <v>4</v>
      </c>
      <c r="L1336" s="45">
        <v>171.34479999999999</v>
      </c>
      <c r="M1336" s="45">
        <v>442.29</v>
      </c>
      <c r="N1336" s="45">
        <v>3</v>
      </c>
      <c r="O1336" s="45">
        <v>128.5086</v>
      </c>
      <c r="P1336" s="62">
        <f t="shared" si="21"/>
        <v>7</v>
      </c>
    </row>
    <row r="1337" spans="1:16" x14ac:dyDescent="0.25">
      <c r="A1337" s="43" t="s">
        <v>200</v>
      </c>
      <c r="B1337" s="43" t="s">
        <v>291</v>
      </c>
      <c r="C1337" s="43" t="s">
        <v>265</v>
      </c>
      <c r="D1337" s="43" t="s">
        <v>618</v>
      </c>
      <c r="E1337" s="43" t="s">
        <v>634</v>
      </c>
      <c r="F1337" s="43" t="s">
        <v>516</v>
      </c>
      <c r="G1337" s="43" t="s">
        <v>259</v>
      </c>
      <c r="H1337" s="43" t="s">
        <v>207</v>
      </c>
      <c r="I1337" s="44">
        <v>45590</v>
      </c>
      <c r="J1337" s="44">
        <v>45590</v>
      </c>
      <c r="K1337" s="45">
        <v>0</v>
      </c>
      <c r="L1337" s="45">
        <v>0</v>
      </c>
      <c r="M1337" s="45">
        <v>0</v>
      </c>
      <c r="N1337" s="45">
        <v>2</v>
      </c>
      <c r="O1337" s="45">
        <v>85.672399999999996</v>
      </c>
      <c r="P1337" s="62">
        <f t="shared" si="21"/>
        <v>2</v>
      </c>
    </row>
    <row r="1338" spans="1:16" x14ac:dyDescent="0.25">
      <c r="A1338" s="43" t="s">
        <v>200</v>
      </c>
      <c r="B1338" s="43" t="s">
        <v>291</v>
      </c>
      <c r="C1338" s="43" t="s">
        <v>265</v>
      </c>
      <c r="D1338" s="43" t="s">
        <v>618</v>
      </c>
      <c r="E1338" s="43" t="s">
        <v>634</v>
      </c>
      <c r="F1338" s="43" t="s">
        <v>516</v>
      </c>
      <c r="G1338" s="43" t="s">
        <v>296</v>
      </c>
      <c r="H1338" s="43" t="s">
        <v>207</v>
      </c>
      <c r="I1338" s="44">
        <v>45590</v>
      </c>
      <c r="J1338" s="44">
        <v>45629</v>
      </c>
      <c r="K1338" s="45">
        <v>5</v>
      </c>
      <c r="L1338" s="45">
        <v>217.39850000000001</v>
      </c>
      <c r="M1338" s="45">
        <v>577.44000000000005</v>
      </c>
      <c r="N1338" s="45">
        <v>1</v>
      </c>
      <c r="O1338" s="45">
        <v>44.073700000000002</v>
      </c>
      <c r="P1338" s="62">
        <f t="shared" si="21"/>
        <v>6</v>
      </c>
    </row>
    <row r="1339" spans="1:16" x14ac:dyDescent="0.25">
      <c r="A1339" s="43" t="s">
        <v>200</v>
      </c>
      <c r="B1339" s="43" t="s">
        <v>291</v>
      </c>
      <c r="C1339" s="43" t="s">
        <v>265</v>
      </c>
      <c r="D1339" s="43" t="s">
        <v>618</v>
      </c>
      <c r="E1339" s="43" t="s">
        <v>635</v>
      </c>
      <c r="F1339" s="43" t="s">
        <v>352</v>
      </c>
      <c r="G1339" s="43" t="s">
        <v>232</v>
      </c>
      <c r="H1339" s="43" t="s">
        <v>218</v>
      </c>
      <c r="I1339" s="44">
        <v>45593</v>
      </c>
      <c r="J1339" s="44">
        <v>45643</v>
      </c>
      <c r="K1339" s="45">
        <v>0</v>
      </c>
      <c r="L1339" s="45">
        <v>0</v>
      </c>
      <c r="M1339" s="45">
        <v>0</v>
      </c>
      <c r="N1339" s="45">
        <v>5</v>
      </c>
      <c r="O1339" s="45">
        <v>359.25799999999998</v>
      </c>
      <c r="P1339" s="62">
        <f t="shared" si="21"/>
        <v>5</v>
      </c>
    </row>
    <row r="1340" spans="1:16" x14ac:dyDescent="0.25">
      <c r="A1340" s="43" t="s">
        <v>200</v>
      </c>
      <c r="B1340" s="43" t="s">
        <v>291</v>
      </c>
      <c r="C1340" s="43" t="s">
        <v>265</v>
      </c>
      <c r="D1340" s="43" t="s">
        <v>618</v>
      </c>
      <c r="E1340" s="43" t="s">
        <v>635</v>
      </c>
      <c r="F1340" s="43" t="s">
        <v>352</v>
      </c>
      <c r="G1340" s="43" t="s">
        <v>233</v>
      </c>
      <c r="H1340" s="43" t="s">
        <v>218</v>
      </c>
      <c r="I1340" s="44">
        <v>45593</v>
      </c>
      <c r="J1340" s="44">
        <v>45643</v>
      </c>
      <c r="K1340" s="45">
        <v>3</v>
      </c>
      <c r="L1340" s="45">
        <v>217.04939999999999</v>
      </c>
      <c r="M1340" s="45">
        <v>632.48</v>
      </c>
      <c r="N1340" s="45">
        <v>3</v>
      </c>
      <c r="O1340" s="45">
        <v>217.79669999999999</v>
      </c>
      <c r="P1340" s="62">
        <f t="shared" si="21"/>
        <v>6</v>
      </c>
    </row>
    <row r="1341" spans="1:16" x14ac:dyDescent="0.25">
      <c r="A1341" s="43" t="s">
        <v>200</v>
      </c>
      <c r="B1341" s="43" t="s">
        <v>291</v>
      </c>
      <c r="C1341" s="43" t="s">
        <v>265</v>
      </c>
      <c r="D1341" s="43" t="s">
        <v>618</v>
      </c>
      <c r="E1341" s="43" t="s">
        <v>635</v>
      </c>
      <c r="F1341" s="43" t="s">
        <v>352</v>
      </c>
      <c r="G1341" s="43" t="s">
        <v>234</v>
      </c>
      <c r="H1341" s="43" t="s">
        <v>218</v>
      </c>
      <c r="I1341" s="44">
        <v>45593</v>
      </c>
      <c r="J1341" s="44">
        <v>45640</v>
      </c>
      <c r="K1341" s="45">
        <v>3</v>
      </c>
      <c r="L1341" s="45">
        <v>217.423</v>
      </c>
      <c r="M1341" s="45">
        <v>610.65</v>
      </c>
      <c r="N1341" s="45">
        <v>4</v>
      </c>
      <c r="O1341" s="45">
        <v>296.74720000000002</v>
      </c>
      <c r="P1341" s="62">
        <f t="shared" si="21"/>
        <v>7</v>
      </c>
    </row>
    <row r="1342" spans="1:16" x14ac:dyDescent="0.25">
      <c r="A1342" s="43" t="s">
        <v>200</v>
      </c>
      <c r="B1342" s="43" t="s">
        <v>291</v>
      </c>
      <c r="C1342" s="43" t="s">
        <v>265</v>
      </c>
      <c r="D1342" s="43" t="s">
        <v>618</v>
      </c>
      <c r="E1342" s="43" t="s">
        <v>635</v>
      </c>
      <c r="F1342" s="43" t="s">
        <v>352</v>
      </c>
      <c r="G1342" s="43" t="s">
        <v>296</v>
      </c>
      <c r="H1342" s="43" t="s">
        <v>218</v>
      </c>
      <c r="I1342" s="44">
        <v>45593</v>
      </c>
      <c r="J1342" s="44">
        <v>45643</v>
      </c>
      <c r="K1342" s="45">
        <v>2</v>
      </c>
      <c r="L1342" s="45">
        <v>143.70320000000001</v>
      </c>
      <c r="M1342" s="45">
        <v>414.39</v>
      </c>
      <c r="N1342" s="45">
        <v>1</v>
      </c>
      <c r="O1342" s="45">
        <v>71.851600000000005</v>
      </c>
      <c r="P1342" s="62">
        <f t="shared" si="21"/>
        <v>3</v>
      </c>
    </row>
    <row r="1343" spans="1:16" x14ac:dyDescent="0.25">
      <c r="A1343" s="43" t="s">
        <v>200</v>
      </c>
      <c r="B1343" s="43" t="s">
        <v>291</v>
      </c>
      <c r="C1343" s="43" t="s">
        <v>265</v>
      </c>
      <c r="D1343" s="43" t="s">
        <v>618</v>
      </c>
      <c r="E1343" s="43" t="s">
        <v>636</v>
      </c>
      <c r="F1343" s="43" t="s">
        <v>352</v>
      </c>
      <c r="G1343" s="43" t="s">
        <v>232</v>
      </c>
      <c r="H1343" s="43" t="s">
        <v>218</v>
      </c>
      <c r="I1343" s="44">
        <v>45593</v>
      </c>
      <c r="J1343" s="44">
        <v>45642</v>
      </c>
      <c r="K1343" s="45">
        <v>1</v>
      </c>
      <c r="L1343" s="45">
        <v>71.851600000000005</v>
      </c>
      <c r="M1343" s="45">
        <v>196.29</v>
      </c>
      <c r="N1343" s="45">
        <v>5</v>
      </c>
      <c r="O1343" s="45">
        <v>362.99450000000002</v>
      </c>
      <c r="P1343" s="62">
        <f t="shared" si="21"/>
        <v>6</v>
      </c>
    </row>
    <row r="1344" spans="1:16" x14ac:dyDescent="0.25">
      <c r="A1344" s="43" t="s">
        <v>200</v>
      </c>
      <c r="B1344" s="43" t="s">
        <v>291</v>
      </c>
      <c r="C1344" s="43" t="s">
        <v>265</v>
      </c>
      <c r="D1344" s="43" t="s">
        <v>618</v>
      </c>
      <c r="E1344" s="43" t="s">
        <v>636</v>
      </c>
      <c r="F1344" s="43" t="s">
        <v>352</v>
      </c>
      <c r="G1344" s="43" t="s">
        <v>233</v>
      </c>
      <c r="H1344" s="43" t="s">
        <v>218</v>
      </c>
      <c r="I1344" s="44">
        <v>45593</v>
      </c>
      <c r="J1344" s="44">
        <v>45643</v>
      </c>
      <c r="K1344" s="45">
        <v>3</v>
      </c>
      <c r="L1344" s="45">
        <v>217.04939999999999</v>
      </c>
      <c r="M1344" s="45">
        <v>632.49</v>
      </c>
      <c r="N1344" s="45">
        <v>3</v>
      </c>
      <c r="O1344" s="45">
        <v>217.79669999999999</v>
      </c>
      <c r="P1344" s="62">
        <f t="shared" si="21"/>
        <v>6</v>
      </c>
    </row>
    <row r="1345" spans="1:16" x14ac:dyDescent="0.25">
      <c r="A1345" s="43" t="s">
        <v>200</v>
      </c>
      <c r="B1345" s="43" t="s">
        <v>291</v>
      </c>
      <c r="C1345" s="43" t="s">
        <v>265</v>
      </c>
      <c r="D1345" s="43" t="s">
        <v>618</v>
      </c>
      <c r="E1345" s="43" t="s">
        <v>636</v>
      </c>
      <c r="F1345" s="43" t="s">
        <v>352</v>
      </c>
      <c r="G1345" s="43" t="s">
        <v>234</v>
      </c>
      <c r="H1345" s="43" t="s">
        <v>218</v>
      </c>
      <c r="I1345" s="44">
        <v>45593</v>
      </c>
      <c r="J1345" s="44">
        <v>45642</v>
      </c>
      <c r="K1345" s="45">
        <v>4</v>
      </c>
      <c r="L1345" s="45">
        <v>291.60980000000001</v>
      </c>
      <c r="M1345" s="45">
        <v>806.97</v>
      </c>
      <c r="N1345" s="45">
        <v>4</v>
      </c>
      <c r="O1345" s="45">
        <v>298.14839999999998</v>
      </c>
      <c r="P1345" s="62">
        <f t="shared" si="21"/>
        <v>8</v>
      </c>
    </row>
    <row r="1346" spans="1:16" x14ac:dyDescent="0.25">
      <c r="A1346" s="43" t="s">
        <v>200</v>
      </c>
      <c r="B1346" s="43" t="s">
        <v>291</v>
      </c>
      <c r="C1346" s="43" t="s">
        <v>265</v>
      </c>
      <c r="D1346" s="43" t="s">
        <v>618</v>
      </c>
      <c r="E1346" s="43" t="s">
        <v>636</v>
      </c>
      <c r="F1346" s="43" t="s">
        <v>352</v>
      </c>
      <c r="G1346" s="43" t="s">
        <v>296</v>
      </c>
      <c r="H1346" s="43" t="s">
        <v>218</v>
      </c>
      <c r="I1346" s="44">
        <v>45593</v>
      </c>
      <c r="J1346" s="44">
        <v>45642</v>
      </c>
      <c r="K1346" s="45">
        <v>2</v>
      </c>
      <c r="L1346" s="45">
        <v>144.9486</v>
      </c>
      <c r="M1346" s="45">
        <v>392.57</v>
      </c>
      <c r="N1346" s="45">
        <v>3</v>
      </c>
      <c r="O1346" s="45">
        <v>221.78190000000001</v>
      </c>
      <c r="P1346" s="62">
        <f t="shared" si="21"/>
        <v>5</v>
      </c>
    </row>
    <row r="1347" spans="1:16" x14ac:dyDescent="0.25">
      <c r="A1347" s="43" t="s">
        <v>200</v>
      </c>
      <c r="B1347" s="43" t="s">
        <v>291</v>
      </c>
      <c r="C1347" s="43" t="s">
        <v>265</v>
      </c>
      <c r="D1347" s="43" t="s">
        <v>618</v>
      </c>
      <c r="E1347" s="43" t="s">
        <v>637</v>
      </c>
      <c r="F1347" s="43" t="s">
        <v>352</v>
      </c>
      <c r="G1347" s="43" t="s">
        <v>232</v>
      </c>
      <c r="H1347" s="43" t="s">
        <v>218</v>
      </c>
      <c r="I1347" s="44">
        <v>45593</v>
      </c>
      <c r="J1347" s="44">
        <v>45593</v>
      </c>
      <c r="K1347" s="45">
        <v>0</v>
      </c>
      <c r="L1347" s="45">
        <v>0</v>
      </c>
      <c r="M1347" s="45">
        <v>0</v>
      </c>
      <c r="N1347" s="45">
        <v>2</v>
      </c>
      <c r="O1347" s="45">
        <v>143.70320000000001</v>
      </c>
      <c r="P1347" s="62">
        <f t="shared" si="21"/>
        <v>2</v>
      </c>
    </row>
    <row r="1348" spans="1:16" x14ac:dyDescent="0.25">
      <c r="A1348" s="43" t="s">
        <v>200</v>
      </c>
      <c r="B1348" s="43" t="s">
        <v>291</v>
      </c>
      <c r="C1348" s="43" t="s">
        <v>265</v>
      </c>
      <c r="D1348" s="43" t="s">
        <v>618</v>
      </c>
      <c r="E1348" s="43" t="s">
        <v>637</v>
      </c>
      <c r="F1348" s="43" t="s">
        <v>352</v>
      </c>
      <c r="G1348" s="43" t="s">
        <v>233</v>
      </c>
      <c r="H1348" s="43" t="s">
        <v>218</v>
      </c>
      <c r="I1348" s="44">
        <v>45593</v>
      </c>
      <c r="J1348" s="44">
        <v>45593</v>
      </c>
      <c r="K1348" s="45">
        <v>0</v>
      </c>
      <c r="L1348" s="45">
        <v>0</v>
      </c>
      <c r="M1348" s="45">
        <v>0</v>
      </c>
      <c r="N1348" s="45">
        <v>4</v>
      </c>
      <c r="O1348" s="45">
        <v>287.40640000000002</v>
      </c>
      <c r="P1348" s="62">
        <f t="shared" si="21"/>
        <v>4</v>
      </c>
    </row>
    <row r="1349" spans="1:16" x14ac:dyDescent="0.25">
      <c r="A1349" s="43" t="s">
        <v>200</v>
      </c>
      <c r="B1349" s="43" t="s">
        <v>291</v>
      </c>
      <c r="C1349" s="43" t="s">
        <v>265</v>
      </c>
      <c r="D1349" s="43" t="s">
        <v>618</v>
      </c>
      <c r="E1349" s="43" t="s">
        <v>637</v>
      </c>
      <c r="F1349" s="43" t="s">
        <v>352</v>
      </c>
      <c r="G1349" s="43" t="s">
        <v>234</v>
      </c>
      <c r="H1349" s="43" t="s">
        <v>218</v>
      </c>
      <c r="I1349" s="44">
        <v>45593</v>
      </c>
      <c r="J1349" s="44">
        <v>45593</v>
      </c>
      <c r="K1349" s="45">
        <v>0</v>
      </c>
      <c r="L1349" s="45">
        <v>0</v>
      </c>
      <c r="M1349" s="45">
        <v>0</v>
      </c>
      <c r="N1349" s="45">
        <v>4</v>
      </c>
      <c r="O1349" s="45">
        <v>287.40640000000002</v>
      </c>
      <c r="P1349" s="62">
        <f t="shared" si="21"/>
        <v>4</v>
      </c>
    </row>
    <row r="1350" spans="1:16" x14ac:dyDescent="0.25">
      <c r="A1350" s="43" t="s">
        <v>200</v>
      </c>
      <c r="B1350" s="43" t="s">
        <v>291</v>
      </c>
      <c r="C1350" s="43" t="s">
        <v>265</v>
      </c>
      <c r="D1350" s="43" t="s">
        <v>618</v>
      </c>
      <c r="E1350" s="43" t="s">
        <v>637</v>
      </c>
      <c r="F1350" s="43" t="s">
        <v>352</v>
      </c>
      <c r="G1350" s="43" t="s">
        <v>296</v>
      </c>
      <c r="H1350" s="43" t="s">
        <v>218</v>
      </c>
      <c r="I1350" s="44">
        <v>45593</v>
      </c>
      <c r="J1350" s="44">
        <v>45593</v>
      </c>
      <c r="K1350" s="45">
        <v>0</v>
      </c>
      <c r="L1350" s="45">
        <v>0</v>
      </c>
      <c r="M1350" s="45">
        <v>0</v>
      </c>
      <c r="N1350" s="45">
        <v>1</v>
      </c>
      <c r="O1350" s="45">
        <v>71.851600000000005</v>
      </c>
      <c r="P1350" s="62">
        <f t="shared" si="21"/>
        <v>1</v>
      </c>
    </row>
    <row r="1351" spans="1:16" x14ac:dyDescent="0.25">
      <c r="A1351" s="43" t="s">
        <v>200</v>
      </c>
      <c r="B1351" s="43" t="s">
        <v>291</v>
      </c>
      <c r="C1351" s="43" t="s">
        <v>265</v>
      </c>
      <c r="D1351" s="43" t="s">
        <v>618</v>
      </c>
      <c r="E1351" s="43" t="s">
        <v>638</v>
      </c>
      <c r="F1351" s="43" t="s">
        <v>539</v>
      </c>
      <c r="G1351" s="43" t="s">
        <v>232</v>
      </c>
      <c r="H1351" s="43" t="s">
        <v>218</v>
      </c>
      <c r="I1351" s="44">
        <v>45591</v>
      </c>
      <c r="J1351" s="44">
        <v>45622</v>
      </c>
      <c r="K1351" s="45">
        <v>4</v>
      </c>
      <c r="L1351" s="45">
        <v>241.98150000000001</v>
      </c>
      <c r="M1351" s="45">
        <v>648</v>
      </c>
      <c r="N1351" s="45">
        <v>4</v>
      </c>
      <c r="O1351" s="45">
        <v>246.2492</v>
      </c>
      <c r="P1351" s="62">
        <f t="shared" si="21"/>
        <v>8</v>
      </c>
    </row>
    <row r="1352" spans="1:16" x14ac:dyDescent="0.25">
      <c r="A1352" s="43" t="s">
        <v>200</v>
      </c>
      <c r="B1352" s="43" t="s">
        <v>291</v>
      </c>
      <c r="C1352" s="43" t="s">
        <v>265</v>
      </c>
      <c r="D1352" s="43" t="s">
        <v>618</v>
      </c>
      <c r="E1352" s="43" t="s">
        <v>638</v>
      </c>
      <c r="F1352" s="43" t="s">
        <v>539</v>
      </c>
      <c r="G1352" s="43" t="s">
        <v>233</v>
      </c>
      <c r="H1352" s="43" t="s">
        <v>218</v>
      </c>
      <c r="I1352" s="44">
        <v>45591</v>
      </c>
      <c r="J1352" s="44">
        <v>45626</v>
      </c>
      <c r="K1352" s="45">
        <v>8</v>
      </c>
      <c r="L1352" s="45">
        <v>488.23059999999998</v>
      </c>
      <c r="M1352" s="45">
        <v>1296</v>
      </c>
      <c r="N1352" s="45">
        <v>5</v>
      </c>
      <c r="O1352" s="45">
        <v>316.83</v>
      </c>
      <c r="P1352" s="62">
        <f t="shared" ref="P1352:P1415" si="22">K1352+N1352</f>
        <v>13</v>
      </c>
    </row>
    <row r="1353" spans="1:16" x14ac:dyDescent="0.25">
      <c r="A1353" s="43" t="s">
        <v>200</v>
      </c>
      <c r="B1353" s="43" t="s">
        <v>291</v>
      </c>
      <c r="C1353" s="43" t="s">
        <v>265</v>
      </c>
      <c r="D1353" s="43" t="s">
        <v>618</v>
      </c>
      <c r="E1353" s="43" t="s">
        <v>638</v>
      </c>
      <c r="F1353" s="43" t="s">
        <v>539</v>
      </c>
      <c r="G1353" s="43" t="s">
        <v>234</v>
      </c>
      <c r="H1353" s="43" t="s">
        <v>218</v>
      </c>
      <c r="I1353" s="44">
        <v>45591</v>
      </c>
      <c r="J1353" s="44">
        <v>45626</v>
      </c>
      <c r="K1353" s="45">
        <v>5</v>
      </c>
      <c r="L1353" s="45">
        <v>304.23270000000002</v>
      </c>
      <c r="M1353" s="45">
        <v>810</v>
      </c>
      <c r="N1353" s="45">
        <v>5</v>
      </c>
      <c r="O1353" s="45">
        <v>315.14999999999998</v>
      </c>
      <c r="P1353" s="62">
        <f t="shared" si="22"/>
        <v>10</v>
      </c>
    </row>
    <row r="1354" spans="1:16" x14ac:dyDescent="0.25">
      <c r="A1354" s="43" t="s">
        <v>200</v>
      </c>
      <c r="B1354" s="43" t="s">
        <v>291</v>
      </c>
      <c r="C1354" s="43" t="s">
        <v>265</v>
      </c>
      <c r="D1354" s="43" t="s">
        <v>618</v>
      </c>
      <c r="E1354" s="43" t="s">
        <v>638</v>
      </c>
      <c r="F1354" s="43" t="s">
        <v>539</v>
      </c>
      <c r="G1354" s="43" t="s">
        <v>296</v>
      </c>
      <c r="H1354" s="43" t="s">
        <v>218</v>
      </c>
      <c r="I1354" s="44">
        <v>45591</v>
      </c>
      <c r="J1354" s="44">
        <v>45621</v>
      </c>
      <c r="K1354" s="45">
        <v>2</v>
      </c>
      <c r="L1354" s="45">
        <v>120.8177</v>
      </c>
      <c r="M1354" s="45">
        <v>288</v>
      </c>
      <c r="N1354" s="45">
        <v>1</v>
      </c>
      <c r="O1354" s="45">
        <v>61.62</v>
      </c>
      <c r="P1354" s="62">
        <f t="shared" si="22"/>
        <v>3</v>
      </c>
    </row>
    <row r="1355" spans="1:16" x14ac:dyDescent="0.25">
      <c r="A1355" s="43" t="s">
        <v>200</v>
      </c>
      <c r="B1355" s="43" t="s">
        <v>291</v>
      </c>
      <c r="C1355" s="43" t="s">
        <v>265</v>
      </c>
      <c r="D1355" s="43" t="s">
        <v>618</v>
      </c>
      <c r="E1355" s="43" t="s">
        <v>639</v>
      </c>
      <c r="F1355" s="43" t="s">
        <v>539</v>
      </c>
      <c r="G1355" s="43" t="s">
        <v>232</v>
      </c>
      <c r="H1355" s="43" t="s">
        <v>218</v>
      </c>
      <c r="I1355" s="44">
        <v>45591</v>
      </c>
      <c r="J1355" s="44">
        <v>45619</v>
      </c>
      <c r="K1355" s="45">
        <v>3</v>
      </c>
      <c r="L1355" s="45">
        <v>181.14009999999999</v>
      </c>
      <c r="M1355" s="45">
        <v>486</v>
      </c>
      <c r="N1355" s="45">
        <v>1</v>
      </c>
      <c r="O1355" s="45">
        <v>61.201900000000002</v>
      </c>
      <c r="P1355" s="62">
        <f t="shared" si="22"/>
        <v>4</v>
      </c>
    </row>
    <row r="1356" spans="1:16" x14ac:dyDescent="0.25">
      <c r="A1356" s="43" t="s">
        <v>200</v>
      </c>
      <c r="B1356" s="43" t="s">
        <v>291</v>
      </c>
      <c r="C1356" s="43" t="s">
        <v>265</v>
      </c>
      <c r="D1356" s="43" t="s">
        <v>618</v>
      </c>
      <c r="E1356" s="43" t="s">
        <v>639</v>
      </c>
      <c r="F1356" s="43" t="s">
        <v>539</v>
      </c>
      <c r="G1356" s="43" t="s">
        <v>233</v>
      </c>
      <c r="H1356" s="43" t="s">
        <v>218</v>
      </c>
      <c r="I1356" s="44">
        <v>45591</v>
      </c>
      <c r="J1356" s="44">
        <v>45617</v>
      </c>
      <c r="K1356" s="45">
        <v>1</v>
      </c>
      <c r="L1356" s="45">
        <v>59.457299999999996</v>
      </c>
      <c r="M1356" s="45">
        <v>162.1</v>
      </c>
      <c r="N1356" s="45">
        <v>1</v>
      </c>
      <c r="O1356" s="45">
        <v>60.8414</v>
      </c>
      <c r="P1356" s="62">
        <f t="shared" si="22"/>
        <v>2</v>
      </c>
    </row>
    <row r="1357" spans="1:16" x14ac:dyDescent="0.25">
      <c r="A1357" s="43" t="s">
        <v>200</v>
      </c>
      <c r="B1357" s="43" t="s">
        <v>291</v>
      </c>
      <c r="C1357" s="43" t="s">
        <v>265</v>
      </c>
      <c r="D1357" s="43" t="s">
        <v>618</v>
      </c>
      <c r="E1357" s="43" t="s">
        <v>639</v>
      </c>
      <c r="F1357" s="43" t="s">
        <v>539</v>
      </c>
      <c r="G1357" s="43" t="s">
        <v>234</v>
      </c>
      <c r="H1357" s="43" t="s">
        <v>218</v>
      </c>
      <c r="I1357" s="44">
        <v>45591</v>
      </c>
      <c r="J1357" s="44">
        <v>45622</v>
      </c>
      <c r="K1357" s="45">
        <v>1</v>
      </c>
      <c r="L1357" s="45">
        <v>59.889800000000001</v>
      </c>
      <c r="M1357" s="45">
        <v>162</v>
      </c>
      <c r="N1357" s="45">
        <v>1</v>
      </c>
      <c r="O1357" s="45">
        <v>60.512700000000002</v>
      </c>
      <c r="P1357" s="62">
        <f t="shared" si="22"/>
        <v>2</v>
      </c>
    </row>
    <row r="1358" spans="1:16" x14ac:dyDescent="0.25">
      <c r="A1358" s="43" t="s">
        <v>200</v>
      </c>
      <c r="B1358" s="43" t="s">
        <v>291</v>
      </c>
      <c r="C1358" s="43" t="s">
        <v>265</v>
      </c>
      <c r="D1358" s="43" t="s">
        <v>618</v>
      </c>
      <c r="E1358" s="43" t="s">
        <v>639</v>
      </c>
      <c r="F1358" s="43" t="s">
        <v>539</v>
      </c>
      <c r="G1358" s="43" t="s">
        <v>296</v>
      </c>
      <c r="H1358" s="43" t="s">
        <v>218</v>
      </c>
      <c r="I1358" s="44">
        <v>45591</v>
      </c>
      <c r="J1358" s="44">
        <v>45619</v>
      </c>
      <c r="K1358" s="45">
        <v>2</v>
      </c>
      <c r="L1358" s="45">
        <v>120.8177</v>
      </c>
      <c r="M1358" s="45">
        <v>324</v>
      </c>
      <c r="N1358" s="45">
        <v>0</v>
      </c>
      <c r="O1358" s="45">
        <v>0</v>
      </c>
      <c r="P1358" s="62">
        <f t="shared" si="22"/>
        <v>2</v>
      </c>
    </row>
    <row r="1359" spans="1:16" x14ac:dyDescent="0.25">
      <c r="A1359" s="43" t="s">
        <v>200</v>
      </c>
      <c r="B1359" s="43" t="s">
        <v>291</v>
      </c>
      <c r="C1359" s="43" t="s">
        <v>265</v>
      </c>
      <c r="D1359" s="43" t="s">
        <v>640</v>
      </c>
      <c r="E1359" s="43" t="s">
        <v>641</v>
      </c>
      <c r="F1359" s="43" t="s">
        <v>516</v>
      </c>
      <c r="G1359" s="43" t="s">
        <v>232</v>
      </c>
      <c r="H1359" s="43" t="s">
        <v>226</v>
      </c>
      <c r="I1359" s="44">
        <v>45590</v>
      </c>
      <c r="J1359" s="44">
        <v>45636</v>
      </c>
      <c r="K1359" s="45">
        <v>0</v>
      </c>
      <c r="L1359" s="45">
        <v>0</v>
      </c>
      <c r="M1359" s="45">
        <v>0</v>
      </c>
      <c r="N1359" s="45">
        <v>6</v>
      </c>
      <c r="O1359" s="45">
        <v>423.8664</v>
      </c>
      <c r="P1359" s="62">
        <f t="shared" si="22"/>
        <v>6</v>
      </c>
    </row>
    <row r="1360" spans="1:16" x14ac:dyDescent="0.25">
      <c r="A1360" s="43" t="s">
        <v>200</v>
      </c>
      <c r="B1360" s="43" t="s">
        <v>291</v>
      </c>
      <c r="C1360" s="43" t="s">
        <v>265</v>
      </c>
      <c r="D1360" s="43" t="s">
        <v>640</v>
      </c>
      <c r="E1360" s="43" t="s">
        <v>641</v>
      </c>
      <c r="F1360" s="43" t="s">
        <v>516</v>
      </c>
      <c r="G1360" s="43" t="s">
        <v>233</v>
      </c>
      <c r="H1360" s="43" t="s">
        <v>226</v>
      </c>
      <c r="I1360" s="44">
        <v>45591</v>
      </c>
      <c r="J1360" s="44">
        <v>45646</v>
      </c>
      <c r="K1360" s="45">
        <v>1</v>
      </c>
      <c r="L1360" s="45">
        <v>71.101900000000001</v>
      </c>
      <c r="M1360" s="45">
        <v>208.57</v>
      </c>
      <c r="N1360" s="45">
        <v>7</v>
      </c>
      <c r="O1360" s="45">
        <v>498.62819999999999</v>
      </c>
      <c r="P1360" s="62">
        <f t="shared" si="22"/>
        <v>8</v>
      </c>
    </row>
    <row r="1361" spans="1:16" x14ac:dyDescent="0.25">
      <c r="A1361" s="43" t="s">
        <v>200</v>
      </c>
      <c r="B1361" s="43" t="s">
        <v>291</v>
      </c>
      <c r="C1361" s="43" t="s">
        <v>265</v>
      </c>
      <c r="D1361" s="43" t="s">
        <v>640</v>
      </c>
      <c r="E1361" s="43" t="s">
        <v>641</v>
      </c>
      <c r="F1361" s="43" t="s">
        <v>516</v>
      </c>
      <c r="G1361" s="43" t="s">
        <v>234</v>
      </c>
      <c r="H1361" s="43" t="s">
        <v>226</v>
      </c>
      <c r="I1361" s="44">
        <v>45591</v>
      </c>
      <c r="J1361" s="44">
        <v>45644</v>
      </c>
      <c r="K1361" s="45">
        <v>6</v>
      </c>
      <c r="L1361" s="45">
        <v>432.10140000000001</v>
      </c>
      <c r="M1361" s="45">
        <v>1167.99</v>
      </c>
      <c r="N1361" s="45">
        <v>4</v>
      </c>
      <c r="O1361" s="45">
        <v>288.06760000000003</v>
      </c>
      <c r="P1361" s="62">
        <f t="shared" si="22"/>
        <v>10</v>
      </c>
    </row>
    <row r="1362" spans="1:16" x14ac:dyDescent="0.25">
      <c r="A1362" s="43" t="s">
        <v>200</v>
      </c>
      <c r="B1362" s="43" t="s">
        <v>291</v>
      </c>
      <c r="C1362" s="43" t="s">
        <v>265</v>
      </c>
      <c r="D1362" s="43" t="s">
        <v>640</v>
      </c>
      <c r="E1362" s="43" t="s">
        <v>641</v>
      </c>
      <c r="F1362" s="43" t="s">
        <v>516</v>
      </c>
      <c r="G1362" s="43" t="s">
        <v>296</v>
      </c>
      <c r="H1362" s="43" t="s">
        <v>226</v>
      </c>
      <c r="I1362" s="44">
        <v>45590</v>
      </c>
      <c r="J1362" s="44">
        <v>45629</v>
      </c>
      <c r="K1362" s="45">
        <v>1</v>
      </c>
      <c r="L1362" s="45">
        <v>71.349500000000006</v>
      </c>
      <c r="M1362" s="45">
        <v>187.71</v>
      </c>
      <c r="N1362" s="45">
        <v>0</v>
      </c>
      <c r="O1362" s="45">
        <v>0</v>
      </c>
      <c r="P1362" s="62">
        <f t="shared" si="22"/>
        <v>1</v>
      </c>
    </row>
    <row r="1363" spans="1:16" x14ac:dyDescent="0.25">
      <c r="A1363" s="43" t="s">
        <v>200</v>
      </c>
      <c r="B1363" s="43" t="s">
        <v>291</v>
      </c>
      <c r="C1363" s="43" t="s">
        <v>265</v>
      </c>
      <c r="D1363" s="43" t="s">
        <v>640</v>
      </c>
      <c r="E1363" s="43" t="s">
        <v>642</v>
      </c>
      <c r="F1363" s="43" t="s">
        <v>352</v>
      </c>
      <c r="G1363" s="43" t="s">
        <v>232</v>
      </c>
      <c r="H1363" s="43" t="s">
        <v>207</v>
      </c>
      <c r="I1363" s="44">
        <v>45591</v>
      </c>
      <c r="J1363" s="44">
        <v>45630</v>
      </c>
      <c r="K1363" s="45">
        <v>11</v>
      </c>
      <c r="L1363" s="45">
        <v>858.02779999999996</v>
      </c>
      <c r="M1363" s="45">
        <v>2207.92</v>
      </c>
      <c r="N1363" s="45">
        <v>6</v>
      </c>
      <c r="O1363" s="45">
        <v>478.71899999999999</v>
      </c>
      <c r="P1363" s="62">
        <f t="shared" si="22"/>
        <v>17</v>
      </c>
    </row>
    <row r="1364" spans="1:16" x14ac:dyDescent="0.25">
      <c r="A1364" s="43" t="s">
        <v>200</v>
      </c>
      <c r="B1364" s="43" t="s">
        <v>291</v>
      </c>
      <c r="C1364" s="43" t="s">
        <v>265</v>
      </c>
      <c r="D1364" s="43" t="s">
        <v>640</v>
      </c>
      <c r="E1364" s="43" t="s">
        <v>642</v>
      </c>
      <c r="F1364" s="43" t="s">
        <v>352</v>
      </c>
      <c r="G1364" s="43" t="s">
        <v>233</v>
      </c>
      <c r="H1364" s="43" t="s">
        <v>207</v>
      </c>
      <c r="I1364" s="44">
        <v>45591</v>
      </c>
      <c r="J1364" s="44">
        <v>45643</v>
      </c>
      <c r="K1364" s="45">
        <v>35</v>
      </c>
      <c r="L1364" s="45">
        <v>2766.8672000000001</v>
      </c>
      <c r="M1364" s="45">
        <v>7124.51</v>
      </c>
      <c r="N1364" s="45">
        <v>6</v>
      </c>
      <c r="O1364" s="45">
        <v>485.62200000000001</v>
      </c>
      <c r="P1364" s="62">
        <f t="shared" si="22"/>
        <v>41</v>
      </c>
    </row>
    <row r="1365" spans="1:16" x14ac:dyDescent="0.25">
      <c r="A1365" s="43" t="s">
        <v>200</v>
      </c>
      <c r="B1365" s="43" t="s">
        <v>291</v>
      </c>
      <c r="C1365" s="43" t="s">
        <v>265</v>
      </c>
      <c r="D1365" s="43" t="s">
        <v>640</v>
      </c>
      <c r="E1365" s="43" t="s">
        <v>642</v>
      </c>
      <c r="F1365" s="43" t="s">
        <v>352</v>
      </c>
      <c r="G1365" s="43" t="s">
        <v>234</v>
      </c>
      <c r="H1365" s="43" t="s">
        <v>207</v>
      </c>
      <c r="I1365" s="44">
        <v>45591</v>
      </c>
      <c r="J1365" s="44">
        <v>45644</v>
      </c>
      <c r="K1365" s="45">
        <v>31</v>
      </c>
      <c r="L1365" s="45">
        <v>2454.5835999999999</v>
      </c>
      <c r="M1365" s="45">
        <v>6327.85</v>
      </c>
      <c r="N1365" s="45">
        <v>4</v>
      </c>
      <c r="O1365" s="45">
        <v>323.91680000000002</v>
      </c>
      <c r="P1365" s="62">
        <f t="shared" si="22"/>
        <v>35</v>
      </c>
    </row>
    <row r="1366" spans="1:16" x14ac:dyDescent="0.25">
      <c r="A1366" s="43" t="s">
        <v>200</v>
      </c>
      <c r="B1366" s="43" t="s">
        <v>291</v>
      </c>
      <c r="C1366" s="43" t="s">
        <v>265</v>
      </c>
      <c r="D1366" s="43" t="s">
        <v>640</v>
      </c>
      <c r="E1366" s="43" t="s">
        <v>642</v>
      </c>
      <c r="F1366" s="43" t="s">
        <v>352</v>
      </c>
      <c r="G1366" s="43" t="s">
        <v>259</v>
      </c>
      <c r="H1366" s="43" t="s">
        <v>207</v>
      </c>
      <c r="I1366" s="44">
        <v>45591</v>
      </c>
      <c r="J1366" s="44">
        <v>45591</v>
      </c>
      <c r="K1366" s="45">
        <v>2</v>
      </c>
      <c r="L1366" s="45">
        <v>153.9676</v>
      </c>
      <c r="M1366" s="45">
        <v>409.71</v>
      </c>
      <c r="N1366" s="45">
        <v>0</v>
      </c>
      <c r="O1366" s="45">
        <v>0</v>
      </c>
      <c r="P1366" s="62">
        <f t="shared" si="22"/>
        <v>2</v>
      </c>
    </row>
    <row r="1367" spans="1:16" x14ac:dyDescent="0.25">
      <c r="A1367" s="43" t="s">
        <v>200</v>
      </c>
      <c r="B1367" s="43" t="s">
        <v>291</v>
      </c>
      <c r="C1367" s="43" t="s">
        <v>265</v>
      </c>
      <c r="D1367" s="43" t="s">
        <v>640</v>
      </c>
      <c r="E1367" s="43" t="s">
        <v>642</v>
      </c>
      <c r="F1367" s="43" t="s">
        <v>352</v>
      </c>
      <c r="G1367" s="43" t="s">
        <v>296</v>
      </c>
      <c r="H1367" s="43" t="s">
        <v>207</v>
      </c>
      <c r="I1367" s="44">
        <v>45591</v>
      </c>
      <c r="J1367" s="44">
        <v>45622</v>
      </c>
      <c r="K1367" s="45">
        <v>13</v>
      </c>
      <c r="L1367" s="45">
        <v>1024.8087</v>
      </c>
      <c r="M1367" s="45">
        <v>2663.12</v>
      </c>
      <c r="N1367" s="45">
        <v>0</v>
      </c>
      <c r="O1367" s="45">
        <v>0</v>
      </c>
      <c r="P1367" s="62">
        <f t="shared" si="22"/>
        <v>13</v>
      </c>
    </row>
    <row r="1368" spans="1:16" x14ac:dyDescent="0.25">
      <c r="A1368" s="43" t="s">
        <v>200</v>
      </c>
      <c r="B1368" s="43" t="s">
        <v>291</v>
      </c>
      <c r="C1368" s="43" t="s">
        <v>265</v>
      </c>
      <c r="D1368" s="43" t="s">
        <v>640</v>
      </c>
      <c r="E1368" s="43" t="s">
        <v>643</v>
      </c>
      <c r="F1368" s="43" t="s">
        <v>352</v>
      </c>
      <c r="G1368" s="43" t="s">
        <v>232</v>
      </c>
      <c r="H1368" s="43" t="s">
        <v>218</v>
      </c>
      <c r="I1368" s="44">
        <v>45593</v>
      </c>
      <c r="J1368" s="44">
        <v>45625</v>
      </c>
      <c r="K1368" s="45">
        <v>3</v>
      </c>
      <c r="L1368" s="45">
        <v>232.55260000000001</v>
      </c>
      <c r="M1368" s="45">
        <v>580.41999999999996</v>
      </c>
      <c r="N1368" s="45">
        <v>3</v>
      </c>
      <c r="O1368" s="45">
        <v>233.35319999999999</v>
      </c>
      <c r="P1368" s="62">
        <f t="shared" si="22"/>
        <v>6</v>
      </c>
    </row>
    <row r="1369" spans="1:16" x14ac:dyDescent="0.25">
      <c r="A1369" s="43" t="s">
        <v>200</v>
      </c>
      <c r="B1369" s="43" t="s">
        <v>291</v>
      </c>
      <c r="C1369" s="43" t="s">
        <v>265</v>
      </c>
      <c r="D1369" s="43" t="s">
        <v>640</v>
      </c>
      <c r="E1369" s="43" t="s">
        <v>643</v>
      </c>
      <c r="F1369" s="43" t="s">
        <v>352</v>
      </c>
      <c r="G1369" s="43" t="s">
        <v>233</v>
      </c>
      <c r="H1369" s="43" t="s">
        <v>218</v>
      </c>
      <c r="I1369" s="44">
        <v>45593</v>
      </c>
      <c r="J1369" s="44">
        <v>45643</v>
      </c>
      <c r="K1369" s="45">
        <v>4</v>
      </c>
      <c r="L1369" s="45">
        <v>312.13040000000001</v>
      </c>
      <c r="M1369" s="45">
        <v>819.43</v>
      </c>
      <c r="N1369" s="45">
        <v>5</v>
      </c>
      <c r="O1369" s="45">
        <v>396.73599999999999</v>
      </c>
      <c r="P1369" s="62">
        <f t="shared" si="22"/>
        <v>9</v>
      </c>
    </row>
    <row r="1370" spans="1:16" x14ac:dyDescent="0.25">
      <c r="A1370" s="43" t="s">
        <v>200</v>
      </c>
      <c r="B1370" s="43" t="s">
        <v>291</v>
      </c>
      <c r="C1370" s="43" t="s">
        <v>265</v>
      </c>
      <c r="D1370" s="43" t="s">
        <v>640</v>
      </c>
      <c r="E1370" s="43" t="s">
        <v>643</v>
      </c>
      <c r="F1370" s="43" t="s">
        <v>352</v>
      </c>
      <c r="G1370" s="43" t="s">
        <v>234</v>
      </c>
      <c r="H1370" s="43" t="s">
        <v>218</v>
      </c>
      <c r="I1370" s="44">
        <v>45593</v>
      </c>
      <c r="J1370" s="44">
        <v>45643</v>
      </c>
      <c r="K1370" s="45">
        <v>10</v>
      </c>
      <c r="L1370" s="45">
        <v>794.33240000000001</v>
      </c>
      <c r="M1370" s="45">
        <v>2094.12</v>
      </c>
      <c r="N1370" s="45">
        <v>3</v>
      </c>
      <c r="O1370" s="45">
        <v>242.48609999999999</v>
      </c>
      <c r="P1370" s="62">
        <f t="shared" si="22"/>
        <v>13</v>
      </c>
    </row>
    <row r="1371" spans="1:16" x14ac:dyDescent="0.25">
      <c r="A1371" s="43" t="s">
        <v>200</v>
      </c>
      <c r="B1371" s="43" t="s">
        <v>291</v>
      </c>
      <c r="C1371" s="43" t="s">
        <v>265</v>
      </c>
      <c r="D1371" s="43" t="s">
        <v>640</v>
      </c>
      <c r="E1371" s="43" t="s">
        <v>643</v>
      </c>
      <c r="F1371" s="43" t="s">
        <v>352</v>
      </c>
      <c r="G1371" s="43" t="s">
        <v>296</v>
      </c>
      <c r="H1371" s="43" t="s">
        <v>218</v>
      </c>
      <c r="I1371" s="44">
        <v>45593</v>
      </c>
      <c r="J1371" s="44">
        <v>45637</v>
      </c>
      <c r="K1371" s="45">
        <v>5</v>
      </c>
      <c r="L1371" s="45">
        <v>393.815</v>
      </c>
      <c r="M1371" s="45">
        <v>1024.28</v>
      </c>
      <c r="N1371" s="45">
        <v>1</v>
      </c>
      <c r="O1371" s="45">
        <v>80.097399999999993</v>
      </c>
      <c r="P1371" s="62">
        <f t="shared" si="22"/>
        <v>6</v>
      </c>
    </row>
    <row r="1372" spans="1:16" x14ac:dyDescent="0.25">
      <c r="A1372" s="43" t="s">
        <v>200</v>
      </c>
      <c r="B1372" s="43" t="s">
        <v>291</v>
      </c>
      <c r="C1372" s="43" t="s">
        <v>265</v>
      </c>
      <c r="D1372" s="43" t="s">
        <v>644</v>
      </c>
      <c r="E1372" s="43" t="s">
        <v>645</v>
      </c>
      <c r="F1372" s="43" t="s">
        <v>516</v>
      </c>
      <c r="G1372" s="43" t="s">
        <v>232</v>
      </c>
      <c r="H1372" s="43" t="s">
        <v>218</v>
      </c>
      <c r="I1372" s="44">
        <v>45593</v>
      </c>
      <c r="J1372" s="44">
        <v>45593</v>
      </c>
      <c r="K1372" s="45">
        <v>0</v>
      </c>
      <c r="L1372" s="45">
        <v>0</v>
      </c>
      <c r="M1372" s="45">
        <v>0</v>
      </c>
      <c r="N1372" s="45">
        <v>3</v>
      </c>
      <c r="O1372" s="45">
        <v>195.066</v>
      </c>
      <c r="P1372" s="62">
        <f t="shared" si="22"/>
        <v>3</v>
      </c>
    </row>
    <row r="1373" spans="1:16" x14ac:dyDescent="0.25">
      <c r="A1373" s="43" t="s">
        <v>200</v>
      </c>
      <c r="B1373" s="43" t="s">
        <v>291</v>
      </c>
      <c r="C1373" s="43" t="s">
        <v>265</v>
      </c>
      <c r="D1373" s="43" t="s">
        <v>644</v>
      </c>
      <c r="E1373" s="43" t="s">
        <v>645</v>
      </c>
      <c r="F1373" s="43" t="s">
        <v>516</v>
      </c>
      <c r="G1373" s="43" t="s">
        <v>233</v>
      </c>
      <c r="H1373" s="43" t="s">
        <v>218</v>
      </c>
      <c r="I1373" s="44">
        <v>45593</v>
      </c>
      <c r="J1373" s="44">
        <v>45623</v>
      </c>
      <c r="K1373" s="45">
        <v>1</v>
      </c>
      <c r="L1373" s="45">
        <v>65.022000000000006</v>
      </c>
      <c r="M1373" s="45">
        <v>179.14</v>
      </c>
      <c r="N1373" s="45">
        <v>3</v>
      </c>
      <c r="O1373" s="45">
        <v>198.447</v>
      </c>
      <c r="P1373" s="62">
        <f t="shared" si="22"/>
        <v>4</v>
      </c>
    </row>
    <row r="1374" spans="1:16" x14ac:dyDescent="0.25">
      <c r="A1374" s="43" t="s">
        <v>200</v>
      </c>
      <c r="B1374" s="43" t="s">
        <v>291</v>
      </c>
      <c r="C1374" s="43" t="s">
        <v>265</v>
      </c>
      <c r="D1374" s="43" t="s">
        <v>644</v>
      </c>
      <c r="E1374" s="43" t="s">
        <v>645</v>
      </c>
      <c r="F1374" s="43" t="s">
        <v>516</v>
      </c>
      <c r="G1374" s="43" t="s">
        <v>234</v>
      </c>
      <c r="H1374" s="43" t="s">
        <v>218</v>
      </c>
      <c r="I1374" s="44">
        <v>45593</v>
      </c>
      <c r="J1374" s="44">
        <v>45630</v>
      </c>
      <c r="K1374" s="45">
        <v>2</v>
      </c>
      <c r="L1374" s="45">
        <v>131.7346</v>
      </c>
      <c r="M1374" s="45">
        <v>358.28</v>
      </c>
      <c r="N1374" s="45">
        <v>2</v>
      </c>
      <c r="O1374" s="45">
        <v>135.11580000000001</v>
      </c>
      <c r="P1374" s="62">
        <f t="shared" si="22"/>
        <v>4</v>
      </c>
    </row>
    <row r="1375" spans="1:16" x14ac:dyDescent="0.25">
      <c r="A1375" s="43" t="s">
        <v>200</v>
      </c>
      <c r="B1375" s="43" t="s">
        <v>291</v>
      </c>
      <c r="C1375" s="43" t="s">
        <v>265</v>
      </c>
      <c r="D1375" s="43" t="s">
        <v>644</v>
      </c>
      <c r="E1375" s="43" t="s">
        <v>646</v>
      </c>
      <c r="F1375" s="43" t="s">
        <v>544</v>
      </c>
      <c r="G1375" s="43" t="s">
        <v>232</v>
      </c>
      <c r="H1375" s="43" t="s">
        <v>226</v>
      </c>
      <c r="I1375" s="44">
        <v>45638</v>
      </c>
      <c r="J1375" s="44">
        <v>45638</v>
      </c>
      <c r="K1375" s="45">
        <v>0</v>
      </c>
      <c r="L1375" s="45">
        <v>0</v>
      </c>
      <c r="M1375" s="45">
        <v>0</v>
      </c>
      <c r="N1375" s="45">
        <v>5</v>
      </c>
      <c r="O1375" s="45">
        <v>449.99900000000002</v>
      </c>
      <c r="P1375" s="62">
        <f t="shared" si="22"/>
        <v>5</v>
      </c>
    </row>
    <row r="1376" spans="1:16" x14ac:dyDescent="0.25">
      <c r="A1376" s="43" t="s">
        <v>200</v>
      </c>
      <c r="B1376" s="43" t="s">
        <v>291</v>
      </c>
      <c r="C1376" s="43" t="s">
        <v>265</v>
      </c>
      <c r="D1376" s="43" t="s">
        <v>644</v>
      </c>
      <c r="E1376" s="43" t="s">
        <v>646</v>
      </c>
      <c r="F1376" s="43" t="s">
        <v>544</v>
      </c>
      <c r="G1376" s="43" t="s">
        <v>233</v>
      </c>
      <c r="H1376" s="43" t="s">
        <v>226</v>
      </c>
      <c r="I1376" s="44">
        <v>45638</v>
      </c>
      <c r="J1376" s="44">
        <v>45646</v>
      </c>
      <c r="K1376" s="45">
        <v>0</v>
      </c>
      <c r="L1376" s="45">
        <v>0</v>
      </c>
      <c r="M1376" s="45">
        <v>0</v>
      </c>
      <c r="N1376" s="45">
        <v>3</v>
      </c>
      <c r="O1376" s="45">
        <v>269.99939999999998</v>
      </c>
      <c r="P1376" s="62">
        <f t="shared" si="22"/>
        <v>3</v>
      </c>
    </row>
    <row r="1377" spans="1:16" x14ac:dyDescent="0.25">
      <c r="A1377" s="43" t="s">
        <v>200</v>
      </c>
      <c r="B1377" s="43" t="s">
        <v>291</v>
      </c>
      <c r="C1377" s="43" t="s">
        <v>265</v>
      </c>
      <c r="D1377" s="43" t="s">
        <v>644</v>
      </c>
      <c r="E1377" s="43" t="s">
        <v>646</v>
      </c>
      <c r="F1377" s="43" t="s">
        <v>544</v>
      </c>
      <c r="G1377" s="43" t="s">
        <v>234</v>
      </c>
      <c r="H1377" s="43" t="s">
        <v>226</v>
      </c>
      <c r="I1377" s="44">
        <v>45638</v>
      </c>
      <c r="J1377" s="44">
        <v>45638</v>
      </c>
      <c r="K1377" s="45">
        <v>0</v>
      </c>
      <c r="L1377" s="45">
        <v>0</v>
      </c>
      <c r="M1377" s="45">
        <v>0</v>
      </c>
      <c r="N1377" s="45">
        <v>5</v>
      </c>
      <c r="O1377" s="45">
        <v>449.99900000000002</v>
      </c>
      <c r="P1377" s="62">
        <f t="shared" si="22"/>
        <v>5</v>
      </c>
    </row>
    <row r="1378" spans="1:16" x14ac:dyDescent="0.25">
      <c r="A1378" s="43" t="s">
        <v>200</v>
      </c>
      <c r="B1378" s="43" t="s">
        <v>291</v>
      </c>
      <c r="C1378" s="43" t="s">
        <v>265</v>
      </c>
      <c r="D1378" s="43" t="s">
        <v>644</v>
      </c>
      <c r="E1378" s="43" t="s">
        <v>646</v>
      </c>
      <c r="F1378" s="43" t="s">
        <v>544</v>
      </c>
      <c r="G1378" s="43" t="s">
        <v>296</v>
      </c>
      <c r="H1378" s="43" t="s">
        <v>226</v>
      </c>
      <c r="I1378" s="44">
        <v>45638</v>
      </c>
      <c r="J1378" s="44">
        <v>45638</v>
      </c>
      <c r="K1378" s="45">
        <v>0</v>
      </c>
      <c r="L1378" s="45">
        <v>0</v>
      </c>
      <c r="M1378" s="45">
        <v>0</v>
      </c>
      <c r="N1378" s="45">
        <v>3</v>
      </c>
      <c r="O1378" s="45">
        <v>269.99939999999998</v>
      </c>
      <c r="P1378" s="62">
        <f t="shared" si="22"/>
        <v>3</v>
      </c>
    </row>
    <row r="1379" spans="1:16" x14ac:dyDescent="0.25">
      <c r="A1379" s="43" t="s">
        <v>200</v>
      </c>
      <c r="B1379" s="43" t="s">
        <v>291</v>
      </c>
      <c r="C1379" s="43" t="s">
        <v>265</v>
      </c>
      <c r="D1379" s="43" t="s">
        <v>644</v>
      </c>
      <c r="E1379" s="43" t="s">
        <v>647</v>
      </c>
      <c r="F1379" s="43" t="s">
        <v>352</v>
      </c>
      <c r="G1379" s="43" t="s">
        <v>232</v>
      </c>
      <c r="H1379" s="43" t="s">
        <v>207</v>
      </c>
      <c r="I1379" s="44">
        <v>45638</v>
      </c>
      <c r="J1379" s="44">
        <v>45638</v>
      </c>
      <c r="K1379" s="45">
        <v>0</v>
      </c>
      <c r="L1379" s="45">
        <v>0</v>
      </c>
      <c r="M1379" s="45">
        <v>0</v>
      </c>
      <c r="N1379" s="45">
        <v>5</v>
      </c>
      <c r="O1379" s="45">
        <v>360.29649999999998</v>
      </c>
      <c r="P1379" s="62">
        <f t="shared" si="22"/>
        <v>5</v>
      </c>
    </row>
    <row r="1380" spans="1:16" x14ac:dyDescent="0.25">
      <c r="A1380" s="43" t="s">
        <v>200</v>
      </c>
      <c r="B1380" s="43" t="s">
        <v>291</v>
      </c>
      <c r="C1380" s="43" t="s">
        <v>265</v>
      </c>
      <c r="D1380" s="43" t="s">
        <v>644</v>
      </c>
      <c r="E1380" s="43" t="s">
        <v>647</v>
      </c>
      <c r="F1380" s="43" t="s">
        <v>352</v>
      </c>
      <c r="G1380" s="43" t="s">
        <v>233</v>
      </c>
      <c r="H1380" s="43" t="s">
        <v>207</v>
      </c>
      <c r="I1380" s="44">
        <v>45638</v>
      </c>
      <c r="J1380" s="44">
        <v>45638</v>
      </c>
      <c r="K1380" s="45">
        <v>0</v>
      </c>
      <c r="L1380" s="45">
        <v>0</v>
      </c>
      <c r="M1380" s="45">
        <v>0</v>
      </c>
      <c r="N1380" s="45">
        <v>3</v>
      </c>
      <c r="O1380" s="45">
        <v>216.17789999999999</v>
      </c>
      <c r="P1380" s="62">
        <f t="shared" si="22"/>
        <v>3</v>
      </c>
    </row>
    <row r="1381" spans="1:16" x14ac:dyDescent="0.25">
      <c r="A1381" s="43" t="s">
        <v>200</v>
      </c>
      <c r="B1381" s="43" t="s">
        <v>291</v>
      </c>
      <c r="C1381" s="43" t="s">
        <v>265</v>
      </c>
      <c r="D1381" s="43" t="s">
        <v>644</v>
      </c>
      <c r="E1381" s="43" t="s">
        <v>647</v>
      </c>
      <c r="F1381" s="43" t="s">
        <v>352</v>
      </c>
      <c r="G1381" s="43" t="s">
        <v>234</v>
      </c>
      <c r="H1381" s="43" t="s">
        <v>207</v>
      </c>
      <c r="I1381" s="44">
        <v>45638</v>
      </c>
      <c r="J1381" s="44">
        <v>45645</v>
      </c>
      <c r="K1381" s="45">
        <v>0</v>
      </c>
      <c r="L1381" s="45">
        <v>0</v>
      </c>
      <c r="M1381" s="45">
        <v>0</v>
      </c>
      <c r="N1381" s="45">
        <v>5</v>
      </c>
      <c r="O1381" s="45">
        <v>360.29649999999998</v>
      </c>
      <c r="P1381" s="62">
        <f t="shared" si="22"/>
        <v>5</v>
      </c>
    </row>
    <row r="1382" spans="1:16" x14ac:dyDescent="0.25">
      <c r="A1382" s="43" t="s">
        <v>200</v>
      </c>
      <c r="B1382" s="43" t="s">
        <v>291</v>
      </c>
      <c r="C1382" s="43" t="s">
        <v>265</v>
      </c>
      <c r="D1382" s="43" t="s">
        <v>644</v>
      </c>
      <c r="E1382" s="43" t="s">
        <v>647</v>
      </c>
      <c r="F1382" s="43" t="s">
        <v>352</v>
      </c>
      <c r="G1382" s="43" t="s">
        <v>259</v>
      </c>
      <c r="H1382" s="43" t="s">
        <v>207</v>
      </c>
      <c r="I1382" s="44">
        <v>45638</v>
      </c>
      <c r="J1382" s="44">
        <v>45640</v>
      </c>
      <c r="K1382" s="45">
        <v>0</v>
      </c>
      <c r="L1382" s="45">
        <v>0</v>
      </c>
      <c r="M1382" s="45">
        <v>0</v>
      </c>
      <c r="N1382" s="45">
        <v>2</v>
      </c>
      <c r="O1382" s="45">
        <v>144.11859999999999</v>
      </c>
      <c r="P1382" s="62">
        <f t="shared" si="22"/>
        <v>2</v>
      </c>
    </row>
    <row r="1383" spans="1:16" x14ac:dyDescent="0.25">
      <c r="A1383" s="43" t="s">
        <v>200</v>
      </c>
      <c r="B1383" s="43" t="s">
        <v>291</v>
      </c>
      <c r="C1383" s="43" t="s">
        <v>265</v>
      </c>
      <c r="D1383" s="43" t="s">
        <v>644</v>
      </c>
      <c r="E1383" s="43" t="s">
        <v>647</v>
      </c>
      <c r="F1383" s="43" t="s">
        <v>352</v>
      </c>
      <c r="G1383" s="43" t="s">
        <v>296</v>
      </c>
      <c r="H1383" s="43" t="s">
        <v>207</v>
      </c>
      <c r="I1383" s="44">
        <v>45638</v>
      </c>
      <c r="J1383" s="44">
        <v>45647</v>
      </c>
      <c r="K1383" s="45">
        <v>0</v>
      </c>
      <c r="L1383" s="45">
        <v>0</v>
      </c>
      <c r="M1383" s="45">
        <v>0</v>
      </c>
      <c r="N1383" s="45">
        <v>2</v>
      </c>
      <c r="O1383" s="45">
        <v>144.11859999999999</v>
      </c>
      <c r="P1383" s="62">
        <f t="shared" si="22"/>
        <v>2</v>
      </c>
    </row>
    <row r="1384" spans="1:16" x14ac:dyDescent="0.25">
      <c r="A1384" s="43" t="s">
        <v>200</v>
      </c>
      <c r="B1384" s="43" t="s">
        <v>291</v>
      </c>
      <c r="C1384" s="43" t="s">
        <v>265</v>
      </c>
      <c r="D1384" s="43" t="s">
        <v>407</v>
      </c>
      <c r="E1384" s="43" t="s">
        <v>648</v>
      </c>
      <c r="F1384" s="43" t="s">
        <v>356</v>
      </c>
      <c r="G1384" s="43" t="s">
        <v>232</v>
      </c>
      <c r="H1384" s="43" t="s">
        <v>218</v>
      </c>
      <c r="I1384" s="44">
        <v>45593</v>
      </c>
      <c r="J1384" s="44">
        <v>45644</v>
      </c>
      <c r="K1384" s="45">
        <v>3</v>
      </c>
      <c r="L1384" s="45">
        <v>284.3125</v>
      </c>
      <c r="M1384" s="45">
        <v>825.82</v>
      </c>
      <c r="N1384" s="45">
        <v>3</v>
      </c>
      <c r="O1384" s="45">
        <v>285.29129999999998</v>
      </c>
      <c r="P1384" s="62">
        <f t="shared" si="22"/>
        <v>6</v>
      </c>
    </row>
    <row r="1385" spans="1:16" x14ac:dyDescent="0.25">
      <c r="A1385" s="43" t="s">
        <v>200</v>
      </c>
      <c r="B1385" s="43" t="s">
        <v>291</v>
      </c>
      <c r="C1385" s="43" t="s">
        <v>265</v>
      </c>
      <c r="D1385" s="43" t="s">
        <v>407</v>
      </c>
      <c r="E1385" s="43" t="s">
        <v>648</v>
      </c>
      <c r="F1385" s="43" t="s">
        <v>356</v>
      </c>
      <c r="G1385" s="43" t="s">
        <v>233</v>
      </c>
      <c r="H1385" s="43" t="s">
        <v>218</v>
      </c>
      <c r="I1385" s="44">
        <v>45593</v>
      </c>
      <c r="J1385" s="44">
        <v>45645</v>
      </c>
      <c r="K1385" s="45">
        <v>9</v>
      </c>
      <c r="L1385" s="45">
        <v>870.96780000000001</v>
      </c>
      <c r="M1385" s="45">
        <v>2334.96</v>
      </c>
      <c r="N1385" s="45">
        <v>5</v>
      </c>
      <c r="O1385" s="45">
        <v>493.18299999999999</v>
      </c>
      <c r="P1385" s="62">
        <f t="shared" si="22"/>
        <v>14</v>
      </c>
    </row>
    <row r="1386" spans="1:16" x14ac:dyDescent="0.25">
      <c r="A1386" s="43" t="s">
        <v>200</v>
      </c>
      <c r="B1386" s="43" t="s">
        <v>291</v>
      </c>
      <c r="C1386" s="43" t="s">
        <v>265</v>
      </c>
      <c r="D1386" s="43" t="s">
        <v>407</v>
      </c>
      <c r="E1386" s="43" t="s">
        <v>648</v>
      </c>
      <c r="F1386" s="43" t="s">
        <v>356</v>
      </c>
      <c r="G1386" s="43" t="s">
        <v>234</v>
      </c>
      <c r="H1386" s="43" t="s">
        <v>218</v>
      </c>
      <c r="I1386" s="44">
        <v>45593</v>
      </c>
      <c r="J1386" s="44">
        <v>45645</v>
      </c>
      <c r="K1386" s="45">
        <v>8</v>
      </c>
      <c r="L1386" s="45">
        <v>775.93920000000003</v>
      </c>
      <c r="M1386" s="45">
        <v>2078.77</v>
      </c>
      <c r="N1386" s="45">
        <v>4</v>
      </c>
      <c r="O1386" s="45">
        <v>394.67360000000002</v>
      </c>
      <c r="P1386" s="62">
        <f t="shared" si="22"/>
        <v>12</v>
      </c>
    </row>
    <row r="1387" spans="1:16" x14ac:dyDescent="0.25">
      <c r="A1387" s="43" t="s">
        <v>200</v>
      </c>
      <c r="B1387" s="43" t="s">
        <v>291</v>
      </c>
      <c r="C1387" s="43" t="s">
        <v>265</v>
      </c>
      <c r="D1387" s="43" t="s">
        <v>407</v>
      </c>
      <c r="E1387" s="43" t="s">
        <v>648</v>
      </c>
      <c r="F1387" s="43" t="s">
        <v>356</v>
      </c>
      <c r="G1387" s="43" t="s">
        <v>296</v>
      </c>
      <c r="H1387" s="43" t="s">
        <v>218</v>
      </c>
      <c r="I1387" s="44">
        <v>45593</v>
      </c>
      <c r="J1387" s="44">
        <v>45643</v>
      </c>
      <c r="K1387" s="45">
        <v>8</v>
      </c>
      <c r="L1387" s="45">
        <v>777.84709999999995</v>
      </c>
      <c r="M1387" s="45">
        <v>2107.2399999999998</v>
      </c>
      <c r="N1387" s="45">
        <v>1</v>
      </c>
      <c r="O1387" s="45">
        <v>98.582800000000006</v>
      </c>
      <c r="P1387" s="62">
        <f t="shared" si="22"/>
        <v>9</v>
      </c>
    </row>
    <row r="1388" spans="1:16" x14ac:dyDescent="0.25">
      <c r="A1388" s="43" t="s">
        <v>200</v>
      </c>
      <c r="B1388" s="43" t="s">
        <v>291</v>
      </c>
      <c r="C1388" s="43" t="s">
        <v>265</v>
      </c>
      <c r="D1388" s="43" t="s">
        <v>407</v>
      </c>
      <c r="E1388" s="43" t="s">
        <v>649</v>
      </c>
      <c r="F1388" s="43" t="s">
        <v>488</v>
      </c>
      <c r="G1388" s="43" t="s">
        <v>232</v>
      </c>
      <c r="H1388" s="43" t="s">
        <v>218</v>
      </c>
      <c r="I1388" s="44">
        <v>45638</v>
      </c>
      <c r="J1388" s="44">
        <v>45638</v>
      </c>
      <c r="K1388" s="45">
        <v>0</v>
      </c>
      <c r="L1388" s="45">
        <v>0</v>
      </c>
      <c r="M1388" s="45">
        <v>0</v>
      </c>
      <c r="N1388" s="45">
        <v>5</v>
      </c>
      <c r="O1388" s="45">
        <v>431.93049999999999</v>
      </c>
      <c r="P1388" s="62">
        <f t="shared" si="22"/>
        <v>5</v>
      </c>
    </row>
    <row r="1389" spans="1:16" x14ac:dyDescent="0.25">
      <c r="A1389" s="43" t="s">
        <v>200</v>
      </c>
      <c r="B1389" s="43" t="s">
        <v>291</v>
      </c>
      <c r="C1389" s="43" t="s">
        <v>265</v>
      </c>
      <c r="D1389" s="43" t="s">
        <v>407</v>
      </c>
      <c r="E1389" s="43" t="s">
        <v>649</v>
      </c>
      <c r="F1389" s="43" t="s">
        <v>488</v>
      </c>
      <c r="G1389" s="43" t="s">
        <v>233</v>
      </c>
      <c r="H1389" s="43" t="s">
        <v>218</v>
      </c>
      <c r="I1389" s="44">
        <v>45638</v>
      </c>
      <c r="J1389" s="44">
        <v>45646</v>
      </c>
      <c r="K1389" s="45">
        <v>0</v>
      </c>
      <c r="L1389" s="45">
        <v>0</v>
      </c>
      <c r="M1389" s="45">
        <v>0</v>
      </c>
      <c r="N1389" s="45">
        <v>5</v>
      </c>
      <c r="O1389" s="45">
        <v>431.93049999999999</v>
      </c>
      <c r="P1389" s="62">
        <f t="shared" si="22"/>
        <v>5</v>
      </c>
    </row>
    <row r="1390" spans="1:16" x14ac:dyDescent="0.25">
      <c r="A1390" s="43" t="s">
        <v>200</v>
      </c>
      <c r="B1390" s="43" t="s">
        <v>291</v>
      </c>
      <c r="C1390" s="43" t="s">
        <v>265</v>
      </c>
      <c r="D1390" s="43" t="s">
        <v>407</v>
      </c>
      <c r="E1390" s="43" t="s">
        <v>649</v>
      </c>
      <c r="F1390" s="43" t="s">
        <v>488</v>
      </c>
      <c r="G1390" s="43" t="s">
        <v>234</v>
      </c>
      <c r="H1390" s="43" t="s">
        <v>218</v>
      </c>
      <c r="I1390" s="44">
        <v>45638</v>
      </c>
      <c r="J1390" s="44">
        <v>45647</v>
      </c>
      <c r="K1390" s="45">
        <v>0</v>
      </c>
      <c r="L1390" s="45">
        <v>0</v>
      </c>
      <c r="M1390" s="45">
        <v>0</v>
      </c>
      <c r="N1390" s="45">
        <v>4</v>
      </c>
      <c r="O1390" s="45">
        <v>345.5444</v>
      </c>
      <c r="P1390" s="62">
        <f t="shared" si="22"/>
        <v>4</v>
      </c>
    </row>
    <row r="1391" spans="1:16" x14ac:dyDescent="0.25">
      <c r="A1391" s="43" t="s">
        <v>200</v>
      </c>
      <c r="B1391" s="43" t="s">
        <v>291</v>
      </c>
      <c r="C1391" s="43" t="s">
        <v>265</v>
      </c>
      <c r="D1391" s="43" t="s">
        <v>407</v>
      </c>
      <c r="E1391" s="43" t="s">
        <v>649</v>
      </c>
      <c r="F1391" s="43" t="s">
        <v>488</v>
      </c>
      <c r="G1391" s="43" t="s">
        <v>296</v>
      </c>
      <c r="H1391" s="43" t="s">
        <v>218</v>
      </c>
      <c r="I1391" s="44">
        <v>45638</v>
      </c>
      <c r="J1391" s="44">
        <v>45647</v>
      </c>
      <c r="K1391" s="45">
        <v>0</v>
      </c>
      <c r="L1391" s="45">
        <v>0</v>
      </c>
      <c r="M1391" s="45">
        <v>0</v>
      </c>
      <c r="N1391" s="45">
        <v>3</v>
      </c>
      <c r="O1391" s="45">
        <v>259.1583</v>
      </c>
      <c r="P1391" s="62">
        <f t="shared" si="22"/>
        <v>3</v>
      </c>
    </row>
    <row r="1392" spans="1:16" x14ac:dyDescent="0.25">
      <c r="A1392" s="43" t="s">
        <v>200</v>
      </c>
      <c r="B1392" s="43" t="s">
        <v>291</v>
      </c>
      <c r="C1392" s="43" t="s">
        <v>265</v>
      </c>
      <c r="D1392" s="43" t="s">
        <v>407</v>
      </c>
      <c r="E1392" s="43" t="s">
        <v>650</v>
      </c>
      <c r="F1392" s="43" t="s">
        <v>488</v>
      </c>
      <c r="G1392" s="43" t="s">
        <v>232</v>
      </c>
      <c r="H1392" s="43" t="s">
        <v>218</v>
      </c>
      <c r="I1392" s="44">
        <v>45638</v>
      </c>
      <c r="J1392" s="44">
        <v>45646</v>
      </c>
      <c r="K1392" s="45">
        <v>0</v>
      </c>
      <c r="L1392" s="45">
        <v>0</v>
      </c>
      <c r="M1392" s="45">
        <v>0</v>
      </c>
      <c r="N1392" s="45">
        <v>5</v>
      </c>
      <c r="O1392" s="45">
        <v>431.93049999999999</v>
      </c>
      <c r="P1392" s="62">
        <f t="shared" si="22"/>
        <v>5</v>
      </c>
    </row>
    <row r="1393" spans="1:16" x14ac:dyDescent="0.25">
      <c r="A1393" s="43" t="s">
        <v>200</v>
      </c>
      <c r="B1393" s="43" t="s">
        <v>291</v>
      </c>
      <c r="C1393" s="43" t="s">
        <v>265</v>
      </c>
      <c r="D1393" s="43" t="s">
        <v>407</v>
      </c>
      <c r="E1393" s="43" t="s">
        <v>650</v>
      </c>
      <c r="F1393" s="43" t="s">
        <v>488</v>
      </c>
      <c r="G1393" s="43" t="s">
        <v>233</v>
      </c>
      <c r="H1393" s="43" t="s">
        <v>218</v>
      </c>
      <c r="I1393" s="44">
        <v>45638</v>
      </c>
      <c r="J1393" s="44">
        <v>45647</v>
      </c>
      <c r="K1393" s="45">
        <v>0</v>
      </c>
      <c r="L1393" s="45">
        <v>0</v>
      </c>
      <c r="M1393" s="45">
        <v>0</v>
      </c>
      <c r="N1393" s="45">
        <v>5</v>
      </c>
      <c r="O1393" s="45">
        <v>431.93049999999999</v>
      </c>
      <c r="P1393" s="62">
        <f t="shared" si="22"/>
        <v>5</v>
      </c>
    </row>
    <row r="1394" spans="1:16" x14ac:dyDescent="0.25">
      <c r="A1394" s="43" t="s">
        <v>200</v>
      </c>
      <c r="B1394" s="43" t="s">
        <v>291</v>
      </c>
      <c r="C1394" s="43" t="s">
        <v>265</v>
      </c>
      <c r="D1394" s="43" t="s">
        <v>407</v>
      </c>
      <c r="E1394" s="43" t="s">
        <v>650</v>
      </c>
      <c r="F1394" s="43" t="s">
        <v>488</v>
      </c>
      <c r="G1394" s="43" t="s">
        <v>234</v>
      </c>
      <c r="H1394" s="43" t="s">
        <v>218</v>
      </c>
      <c r="I1394" s="44">
        <v>45638</v>
      </c>
      <c r="J1394" s="44">
        <v>45647</v>
      </c>
      <c r="K1394" s="45">
        <v>0</v>
      </c>
      <c r="L1394" s="45">
        <v>0</v>
      </c>
      <c r="M1394" s="45">
        <v>0</v>
      </c>
      <c r="N1394" s="45">
        <v>4</v>
      </c>
      <c r="O1394" s="45">
        <v>345.5444</v>
      </c>
      <c r="P1394" s="62">
        <f t="shared" si="22"/>
        <v>4</v>
      </c>
    </row>
    <row r="1395" spans="1:16" x14ac:dyDescent="0.25">
      <c r="A1395" s="43" t="s">
        <v>200</v>
      </c>
      <c r="B1395" s="43" t="s">
        <v>291</v>
      </c>
      <c r="C1395" s="43" t="s">
        <v>265</v>
      </c>
      <c r="D1395" s="43" t="s">
        <v>407</v>
      </c>
      <c r="E1395" s="43" t="s">
        <v>650</v>
      </c>
      <c r="F1395" s="43" t="s">
        <v>488</v>
      </c>
      <c r="G1395" s="43" t="s">
        <v>296</v>
      </c>
      <c r="H1395" s="43" t="s">
        <v>218</v>
      </c>
      <c r="I1395" s="44">
        <v>45638</v>
      </c>
      <c r="J1395" s="44">
        <v>45645</v>
      </c>
      <c r="K1395" s="45">
        <v>0</v>
      </c>
      <c r="L1395" s="45">
        <v>0</v>
      </c>
      <c r="M1395" s="45">
        <v>0</v>
      </c>
      <c r="N1395" s="45">
        <v>3</v>
      </c>
      <c r="O1395" s="45">
        <v>259.1583</v>
      </c>
      <c r="P1395" s="62">
        <f t="shared" si="22"/>
        <v>3</v>
      </c>
    </row>
    <row r="1396" spans="1:16" x14ac:dyDescent="0.25">
      <c r="A1396" s="43" t="s">
        <v>200</v>
      </c>
      <c r="B1396" s="43" t="s">
        <v>291</v>
      </c>
      <c r="C1396" s="43" t="s">
        <v>265</v>
      </c>
      <c r="D1396" s="43" t="s">
        <v>407</v>
      </c>
      <c r="E1396" s="43" t="s">
        <v>651</v>
      </c>
      <c r="F1396" s="43" t="s">
        <v>484</v>
      </c>
      <c r="G1396" s="43" t="s">
        <v>232</v>
      </c>
      <c r="H1396" s="43" t="s">
        <v>207</v>
      </c>
      <c r="I1396" s="44">
        <v>45591</v>
      </c>
      <c r="J1396" s="44">
        <v>45645</v>
      </c>
      <c r="K1396" s="45">
        <v>3</v>
      </c>
      <c r="L1396" s="45">
        <v>179.6694</v>
      </c>
      <c r="M1396" s="45">
        <v>450</v>
      </c>
      <c r="N1396" s="45">
        <v>7</v>
      </c>
      <c r="O1396" s="45">
        <v>422.34289999999999</v>
      </c>
      <c r="P1396" s="62">
        <f t="shared" si="22"/>
        <v>10</v>
      </c>
    </row>
    <row r="1397" spans="1:16" x14ac:dyDescent="0.25">
      <c r="A1397" s="43" t="s">
        <v>200</v>
      </c>
      <c r="B1397" s="43" t="s">
        <v>291</v>
      </c>
      <c r="C1397" s="43" t="s">
        <v>265</v>
      </c>
      <c r="D1397" s="43" t="s">
        <v>407</v>
      </c>
      <c r="E1397" s="43" t="s">
        <v>651</v>
      </c>
      <c r="F1397" s="43" t="s">
        <v>484</v>
      </c>
      <c r="G1397" s="43" t="s">
        <v>233</v>
      </c>
      <c r="H1397" s="43" t="s">
        <v>207</v>
      </c>
      <c r="I1397" s="44">
        <v>45591</v>
      </c>
      <c r="J1397" s="44">
        <v>45647</v>
      </c>
      <c r="K1397" s="45">
        <v>18</v>
      </c>
      <c r="L1397" s="45">
        <v>1082.7831000000001</v>
      </c>
      <c r="M1397" s="45">
        <v>2880</v>
      </c>
      <c r="N1397" s="45">
        <v>7</v>
      </c>
      <c r="O1397" s="45">
        <v>433.4015</v>
      </c>
      <c r="P1397" s="62">
        <f t="shared" si="22"/>
        <v>25</v>
      </c>
    </row>
    <row r="1398" spans="1:16" x14ac:dyDescent="0.25">
      <c r="A1398" s="43" t="s">
        <v>200</v>
      </c>
      <c r="B1398" s="43" t="s">
        <v>291</v>
      </c>
      <c r="C1398" s="43" t="s">
        <v>265</v>
      </c>
      <c r="D1398" s="43" t="s">
        <v>407</v>
      </c>
      <c r="E1398" s="43" t="s">
        <v>651</v>
      </c>
      <c r="F1398" s="43" t="s">
        <v>484</v>
      </c>
      <c r="G1398" s="43" t="s">
        <v>234</v>
      </c>
      <c r="H1398" s="43" t="s">
        <v>207</v>
      </c>
      <c r="I1398" s="44">
        <v>45591</v>
      </c>
      <c r="J1398" s="44">
        <v>45646</v>
      </c>
      <c r="K1398" s="45">
        <v>19</v>
      </c>
      <c r="L1398" s="45">
        <v>1150.4385</v>
      </c>
      <c r="M1398" s="45">
        <v>3042</v>
      </c>
      <c r="N1398" s="45">
        <v>5</v>
      </c>
      <c r="O1398" s="45">
        <v>311.83150000000001</v>
      </c>
      <c r="P1398" s="62">
        <f t="shared" si="22"/>
        <v>24</v>
      </c>
    </row>
    <row r="1399" spans="1:16" x14ac:dyDescent="0.25">
      <c r="A1399" s="43" t="s">
        <v>200</v>
      </c>
      <c r="B1399" s="43" t="s">
        <v>291</v>
      </c>
      <c r="C1399" s="43" t="s">
        <v>265</v>
      </c>
      <c r="D1399" s="43" t="s">
        <v>407</v>
      </c>
      <c r="E1399" s="43" t="s">
        <v>651</v>
      </c>
      <c r="F1399" s="43" t="s">
        <v>484</v>
      </c>
      <c r="G1399" s="43" t="s">
        <v>296</v>
      </c>
      <c r="H1399" s="43" t="s">
        <v>207</v>
      </c>
      <c r="I1399" s="44">
        <v>45591</v>
      </c>
      <c r="J1399" s="44">
        <v>45630</v>
      </c>
      <c r="K1399" s="45">
        <v>16</v>
      </c>
      <c r="L1399" s="45">
        <v>968.89380000000006</v>
      </c>
      <c r="M1399" s="45">
        <v>2610</v>
      </c>
      <c r="N1399" s="45">
        <v>2</v>
      </c>
      <c r="O1399" s="45">
        <v>124.6944</v>
      </c>
      <c r="P1399" s="62">
        <f t="shared" si="22"/>
        <v>18</v>
      </c>
    </row>
    <row r="1400" spans="1:16" x14ac:dyDescent="0.25">
      <c r="A1400" s="43" t="s">
        <v>200</v>
      </c>
      <c r="B1400" s="43" t="s">
        <v>291</v>
      </c>
      <c r="C1400" s="43" t="s">
        <v>265</v>
      </c>
      <c r="D1400" s="43" t="s">
        <v>435</v>
      </c>
      <c r="E1400" s="43" t="s">
        <v>652</v>
      </c>
      <c r="F1400" s="43" t="s">
        <v>491</v>
      </c>
      <c r="G1400" s="43" t="s">
        <v>232</v>
      </c>
      <c r="H1400" s="43" t="s">
        <v>218</v>
      </c>
      <c r="I1400" s="44">
        <v>45633</v>
      </c>
      <c r="J1400" s="44">
        <v>45647</v>
      </c>
      <c r="K1400" s="45">
        <v>3</v>
      </c>
      <c r="L1400" s="45">
        <v>297.03750000000002</v>
      </c>
      <c r="M1400" s="45">
        <v>825.8</v>
      </c>
      <c r="N1400" s="45">
        <v>3</v>
      </c>
      <c r="O1400" s="45">
        <v>297.03750000000002</v>
      </c>
      <c r="P1400" s="62">
        <f t="shared" si="22"/>
        <v>6</v>
      </c>
    </row>
    <row r="1401" spans="1:16" x14ac:dyDescent="0.25">
      <c r="A1401" s="43" t="s">
        <v>200</v>
      </c>
      <c r="B1401" s="43" t="s">
        <v>291</v>
      </c>
      <c r="C1401" s="43" t="s">
        <v>265</v>
      </c>
      <c r="D1401" s="43" t="s">
        <v>435</v>
      </c>
      <c r="E1401" s="43" t="s">
        <v>652</v>
      </c>
      <c r="F1401" s="43" t="s">
        <v>491</v>
      </c>
      <c r="G1401" s="43" t="s">
        <v>233</v>
      </c>
      <c r="H1401" s="43" t="s">
        <v>218</v>
      </c>
      <c r="I1401" s="44">
        <v>45633</v>
      </c>
      <c r="J1401" s="44">
        <v>45647</v>
      </c>
      <c r="K1401" s="45">
        <v>5</v>
      </c>
      <c r="L1401" s="45">
        <v>495.0625</v>
      </c>
      <c r="M1401" s="45">
        <v>1281.45</v>
      </c>
      <c r="N1401" s="45">
        <v>4</v>
      </c>
      <c r="O1401" s="45">
        <v>396.05</v>
      </c>
      <c r="P1401" s="62">
        <f t="shared" si="22"/>
        <v>9</v>
      </c>
    </row>
    <row r="1402" spans="1:16" x14ac:dyDescent="0.25">
      <c r="A1402" s="43" t="s">
        <v>200</v>
      </c>
      <c r="B1402" s="43" t="s">
        <v>291</v>
      </c>
      <c r="C1402" s="43" t="s">
        <v>265</v>
      </c>
      <c r="D1402" s="43" t="s">
        <v>435</v>
      </c>
      <c r="E1402" s="43" t="s">
        <v>652</v>
      </c>
      <c r="F1402" s="43" t="s">
        <v>491</v>
      </c>
      <c r="G1402" s="43" t="s">
        <v>234</v>
      </c>
      <c r="H1402" s="43" t="s">
        <v>218</v>
      </c>
      <c r="I1402" s="44">
        <v>45633</v>
      </c>
      <c r="J1402" s="44">
        <v>45647</v>
      </c>
      <c r="K1402" s="45">
        <v>1</v>
      </c>
      <c r="L1402" s="45">
        <v>99.012500000000003</v>
      </c>
      <c r="M1402" s="45">
        <v>256.29000000000002</v>
      </c>
      <c r="N1402" s="45">
        <v>4</v>
      </c>
      <c r="O1402" s="45">
        <v>396.05</v>
      </c>
      <c r="P1402" s="62">
        <f t="shared" si="22"/>
        <v>5</v>
      </c>
    </row>
    <row r="1403" spans="1:16" x14ac:dyDescent="0.25">
      <c r="A1403" s="43" t="s">
        <v>200</v>
      </c>
      <c r="B1403" s="43" t="s">
        <v>291</v>
      </c>
      <c r="C1403" s="43" t="s">
        <v>265</v>
      </c>
      <c r="D1403" s="43" t="s">
        <v>435</v>
      </c>
      <c r="E1403" s="43" t="s">
        <v>652</v>
      </c>
      <c r="F1403" s="43" t="s">
        <v>491</v>
      </c>
      <c r="G1403" s="43" t="s">
        <v>296</v>
      </c>
      <c r="H1403" s="43" t="s">
        <v>218</v>
      </c>
      <c r="I1403" s="44">
        <v>45633</v>
      </c>
      <c r="J1403" s="44">
        <v>45647</v>
      </c>
      <c r="K1403" s="45">
        <v>2</v>
      </c>
      <c r="L1403" s="45">
        <v>198.02500000000001</v>
      </c>
      <c r="M1403" s="45">
        <v>569.52</v>
      </c>
      <c r="N1403" s="45">
        <v>2</v>
      </c>
      <c r="O1403" s="45">
        <v>198.02500000000001</v>
      </c>
      <c r="P1403" s="62">
        <f t="shared" si="22"/>
        <v>4</v>
      </c>
    </row>
    <row r="1404" spans="1:16" x14ac:dyDescent="0.25">
      <c r="A1404" s="43" t="s">
        <v>200</v>
      </c>
      <c r="B1404" s="43" t="s">
        <v>291</v>
      </c>
      <c r="C1404" s="43" t="s">
        <v>265</v>
      </c>
      <c r="D1404" s="43" t="s">
        <v>435</v>
      </c>
      <c r="E1404" s="43" t="s">
        <v>653</v>
      </c>
      <c r="F1404" s="43" t="s">
        <v>496</v>
      </c>
      <c r="G1404" s="43" t="s">
        <v>232</v>
      </c>
      <c r="H1404" s="43" t="s">
        <v>218</v>
      </c>
      <c r="I1404" s="44">
        <v>45625</v>
      </c>
      <c r="J1404" s="44">
        <v>45639</v>
      </c>
      <c r="K1404" s="45">
        <v>1</v>
      </c>
      <c r="L1404" s="45">
        <v>99.012500000000003</v>
      </c>
      <c r="M1404" s="45">
        <v>256.29000000000002</v>
      </c>
      <c r="N1404" s="45">
        <v>6</v>
      </c>
      <c r="O1404" s="45">
        <v>594.07500000000005</v>
      </c>
      <c r="P1404" s="62">
        <f t="shared" si="22"/>
        <v>7</v>
      </c>
    </row>
    <row r="1405" spans="1:16" x14ac:dyDescent="0.25">
      <c r="A1405" s="43" t="s">
        <v>200</v>
      </c>
      <c r="B1405" s="43" t="s">
        <v>291</v>
      </c>
      <c r="C1405" s="43" t="s">
        <v>265</v>
      </c>
      <c r="D1405" s="43" t="s">
        <v>435</v>
      </c>
      <c r="E1405" s="43" t="s">
        <v>653</v>
      </c>
      <c r="F1405" s="43" t="s">
        <v>496</v>
      </c>
      <c r="G1405" s="43" t="s">
        <v>233</v>
      </c>
      <c r="H1405" s="43" t="s">
        <v>218</v>
      </c>
      <c r="I1405" s="44">
        <v>45625</v>
      </c>
      <c r="J1405" s="44">
        <v>45639</v>
      </c>
      <c r="K1405" s="45">
        <v>5</v>
      </c>
      <c r="L1405" s="45">
        <v>495.0625</v>
      </c>
      <c r="M1405" s="45">
        <v>1224.47</v>
      </c>
      <c r="N1405" s="45">
        <v>6</v>
      </c>
      <c r="O1405" s="45">
        <v>594.07500000000005</v>
      </c>
      <c r="P1405" s="62">
        <f t="shared" si="22"/>
        <v>11</v>
      </c>
    </row>
    <row r="1406" spans="1:16" x14ac:dyDescent="0.25">
      <c r="A1406" s="43" t="s">
        <v>200</v>
      </c>
      <c r="B1406" s="43" t="s">
        <v>291</v>
      </c>
      <c r="C1406" s="43" t="s">
        <v>265</v>
      </c>
      <c r="D1406" s="43" t="s">
        <v>435</v>
      </c>
      <c r="E1406" s="43" t="s">
        <v>653</v>
      </c>
      <c r="F1406" s="43" t="s">
        <v>496</v>
      </c>
      <c r="G1406" s="43" t="s">
        <v>234</v>
      </c>
      <c r="H1406" s="43" t="s">
        <v>218</v>
      </c>
      <c r="I1406" s="44">
        <v>45625</v>
      </c>
      <c r="J1406" s="44">
        <v>45647</v>
      </c>
      <c r="K1406" s="45">
        <v>3</v>
      </c>
      <c r="L1406" s="45">
        <v>297.03750000000002</v>
      </c>
      <c r="M1406" s="45">
        <v>768.86</v>
      </c>
      <c r="N1406" s="45">
        <v>6</v>
      </c>
      <c r="O1406" s="45">
        <v>594.07500000000005</v>
      </c>
      <c r="P1406" s="62">
        <f t="shared" si="22"/>
        <v>9</v>
      </c>
    </row>
    <row r="1407" spans="1:16" x14ac:dyDescent="0.25">
      <c r="A1407" s="43" t="s">
        <v>200</v>
      </c>
      <c r="B1407" s="43" t="s">
        <v>291</v>
      </c>
      <c r="C1407" s="43" t="s">
        <v>265</v>
      </c>
      <c r="D1407" s="43" t="s">
        <v>435</v>
      </c>
      <c r="E1407" s="43" t="s">
        <v>653</v>
      </c>
      <c r="F1407" s="43" t="s">
        <v>496</v>
      </c>
      <c r="G1407" s="43" t="s">
        <v>296</v>
      </c>
      <c r="H1407" s="43" t="s">
        <v>218</v>
      </c>
      <c r="I1407" s="44">
        <v>45625</v>
      </c>
      <c r="J1407" s="44">
        <v>45639</v>
      </c>
      <c r="K1407" s="45">
        <v>3</v>
      </c>
      <c r="L1407" s="45">
        <v>297.03750000000002</v>
      </c>
      <c r="M1407" s="45">
        <v>768.85</v>
      </c>
      <c r="N1407" s="45">
        <v>4</v>
      </c>
      <c r="O1407" s="45">
        <v>396.05</v>
      </c>
      <c r="P1407" s="62">
        <f t="shared" si="22"/>
        <v>7</v>
      </c>
    </row>
    <row r="1408" spans="1:16" x14ac:dyDescent="0.25">
      <c r="A1408" s="43" t="s">
        <v>200</v>
      </c>
      <c r="B1408" s="43" t="s">
        <v>291</v>
      </c>
      <c r="C1408" s="43" t="s">
        <v>265</v>
      </c>
      <c r="D1408" s="43" t="s">
        <v>435</v>
      </c>
      <c r="E1408" s="43" t="s">
        <v>653</v>
      </c>
      <c r="F1408" s="43" t="s">
        <v>496</v>
      </c>
      <c r="G1408" s="43" t="s">
        <v>368</v>
      </c>
      <c r="H1408" s="43" t="s">
        <v>218</v>
      </c>
      <c r="I1408" s="44">
        <v>45625</v>
      </c>
      <c r="J1408" s="44">
        <v>45625</v>
      </c>
      <c r="K1408" s="45">
        <v>0</v>
      </c>
      <c r="L1408" s="45">
        <v>0</v>
      </c>
      <c r="M1408" s="45">
        <v>0</v>
      </c>
      <c r="N1408" s="45">
        <v>1</v>
      </c>
      <c r="O1408" s="45">
        <v>99.012500000000003</v>
      </c>
      <c r="P1408" s="62">
        <f t="shared" si="22"/>
        <v>1</v>
      </c>
    </row>
    <row r="1409" spans="1:16" x14ac:dyDescent="0.25">
      <c r="A1409" s="43" t="s">
        <v>200</v>
      </c>
      <c r="B1409" s="43" t="s">
        <v>291</v>
      </c>
      <c r="C1409" s="43" t="s">
        <v>265</v>
      </c>
      <c r="D1409" s="43" t="s">
        <v>435</v>
      </c>
      <c r="E1409" s="43" t="s">
        <v>654</v>
      </c>
      <c r="F1409" s="43" t="s">
        <v>496</v>
      </c>
      <c r="G1409" s="43" t="s">
        <v>232</v>
      </c>
      <c r="H1409" s="43" t="s">
        <v>218</v>
      </c>
      <c r="I1409" s="44">
        <v>45625</v>
      </c>
      <c r="J1409" s="44">
        <v>45625</v>
      </c>
      <c r="K1409" s="45">
        <v>1</v>
      </c>
      <c r="L1409" s="45">
        <v>99.012500000000003</v>
      </c>
      <c r="M1409" s="45">
        <v>256.29000000000002</v>
      </c>
      <c r="N1409" s="45">
        <v>4</v>
      </c>
      <c r="O1409" s="45">
        <v>396.05</v>
      </c>
      <c r="P1409" s="62">
        <f t="shared" si="22"/>
        <v>5</v>
      </c>
    </row>
    <row r="1410" spans="1:16" x14ac:dyDescent="0.25">
      <c r="A1410" s="43" t="s">
        <v>200</v>
      </c>
      <c r="B1410" s="43" t="s">
        <v>291</v>
      </c>
      <c r="C1410" s="43" t="s">
        <v>265</v>
      </c>
      <c r="D1410" s="43" t="s">
        <v>435</v>
      </c>
      <c r="E1410" s="43" t="s">
        <v>654</v>
      </c>
      <c r="F1410" s="43" t="s">
        <v>496</v>
      </c>
      <c r="G1410" s="43" t="s">
        <v>233</v>
      </c>
      <c r="H1410" s="43" t="s">
        <v>218</v>
      </c>
      <c r="I1410" s="44">
        <v>45625</v>
      </c>
      <c r="J1410" s="44">
        <v>45638</v>
      </c>
      <c r="K1410" s="45">
        <v>6</v>
      </c>
      <c r="L1410" s="45">
        <v>594.07500000000005</v>
      </c>
      <c r="M1410" s="45">
        <v>1566.19</v>
      </c>
      <c r="N1410" s="45">
        <v>7</v>
      </c>
      <c r="O1410" s="45">
        <v>693.08749999999998</v>
      </c>
      <c r="P1410" s="62">
        <f t="shared" si="22"/>
        <v>13</v>
      </c>
    </row>
    <row r="1411" spans="1:16" x14ac:dyDescent="0.25">
      <c r="A1411" s="43" t="s">
        <v>200</v>
      </c>
      <c r="B1411" s="43" t="s">
        <v>291</v>
      </c>
      <c r="C1411" s="43" t="s">
        <v>265</v>
      </c>
      <c r="D1411" s="43" t="s">
        <v>435</v>
      </c>
      <c r="E1411" s="43" t="s">
        <v>654</v>
      </c>
      <c r="F1411" s="43" t="s">
        <v>496</v>
      </c>
      <c r="G1411" s="43" t="s">
        <v>234</v>
      </c>
      <c r="H1411" s="43" t="s">
        <v>218</v>
      </c>
      <c r="I1411" s="44">
        <v>45625</v>
      </c>
      <c r="J1411" s="44">
        <v>45638</v>
      </c>
      <c r="K1411" s="45">
        <v>4</v>
      </c>
      <c r="L1411" s="45">
        <v>396.05</v>
      </c>
      <c r="M1411" s="45">
        <v>1025.1600000000001</v>
      </c>
      <c r="N1411" s="45">
        <v>6</v>
      </c>
      <c r="O1411" s="45">
        <v>594.07500000000005</v>
      </c>
      <c r="P1411" s="62">
        <f t="shared" si="22"/>
        <v>10</v>
      </c>
    </row>
    <row r="1412" spans="1:16" x14ac:dyDescent="0.25">
      <c r="A1412" s="43" t="s">
        <v>200</v>
      </c>
      <c r="B1412" s="43" t="s">
        <v>291</v>
      </c>
      <c r="C1412" s="43" t="s">
        <v>265</v>
      </c>
      <c r="D1412" s="43" t="s">
        <v>435</v>
      </c>
      <c r="E1412" s="43" t="s">
        <v>654</v>
      </c>
      <c r="F1412" s="43" t="s">
        <v>496</v>
      </c>
      <c r="G1412" s="43" t="s">
        <v>296</v>
      </c>
      <c r="H1412" s="43" t="s">
        <v>218</v>
      </c>
      <c r="I1412" s="44">
        <v>45625</v>
      </c>
      <c r="J1412" s="44">
        <v>45647</v>
      </c>
      <c r="K1412" s="45">
        <v>4</v>
      </c>
      <c r="L1412" s="45">
        <v>396.05</v>
      </c>
      <c r="M1412" s="45">
        <v>1025.1500000000001</v>
      </c>
      <c r="N1412" s="45">
        <v>3</v>
      </c>
      <c r="O1412" s="45">
        <v>297.03750000000002</v>
      </c>
      <c r="P1412" s="62">
        <f t="shared" si="22"/>
        <v>7</v>
      </c>
    </row>
    <row r="1413" spans="1:16" x14ac:dyDescent="0.25">
      <c r="A1413" s="43" t="s">
        <v>200</v>
      </c>
      <c r="B1413" s="43" t="s">
        <v>291</v>
      </c>
      <c r="C1413" s="43" t="s">
        <v>265</v>
      </c>
      <c r="D1413" s="43" t="s">
        <v>435</v>
      </c>
      <c r="E1413" s="43" t="s">
        <v>654</v>
      </c>
      <c r="F1413" s="43" t="s">
        <v>496</v>
      </c>
      <c r="G1413" s="43" t="s">
        <v>368</v>
      </c>
      <c r="H1413" s="43" t="s">
        <v>218</v>
      </c>
      <c r="I1413" s="44">
        <v>45625</v>
      </c>
      <c r="J1413" s="44">
        <v>45625</v>
      </c>
      <c r="K1413" s="45">
        <v>0</v>
      </c>
      <c r="L1413" s="45">
        <v>0</v>
      </c>
      <c r="M1413" s="45">
        <v>0</v>
      </c>
      <c r="N1413" s="45">
        <v>1</v>
      </c>
      <c r="O1413" s="45">
        <v>99.012500000000003</v>
      </c>
      <c r="P1413" s="62">
        <f t="shared" si="22"/>
        <v>1</v>
      </c>
    </row>
    <row r="1414" spans="1:16" x14ac:dyDescent="0.25">
      <c r="A1414" s="43" t="s">
        <v>200</v>
      </c>
      <c r="B1414" s="43" t="s">
        <v>291</v>
      </c>
      <c r="C1414" s="43" t="s">
        <v>265</v>
      </c>
      <c r="D1414" s="43" t="s">
        <v>435</v>
      </c>
      <c r="E1414" s="43" t="s">
        <v>655</v>
      </c>
      <c r="F1414" s="43" t="s">
        <v>484</v>
      </c>
      <c r="G1414" s="43" t="s">
        <v>232</v>
      </c>
      <c r="H1414" s="43" t="s">
        <v>207</v>
      </c>
      <c r="I1414" s="44">
        <v>45591</v>
      </c>
      <c r="J1414" s="44">
        <v>45646</v>
      </c>
      <c r="K1414" s="45">
        <v>4</v>
      </c>
      <c r="L1414" s="45">
        <v>239.5924</v>
      </c>
      <c r="M1414" s="45">
        <v>612</v>
      </c>
      <c r="N1414" s="45">
        <v>5</v>
      </c>
      <c r="O1414" s="45">
        <v>302.60500000000002</v>
      </c>
      <c r="P1414" s="62">
        <f t="shared" si="22"/>
        <v>9</v>
      </c>
    </row>
    <row r="1415" spans="1:16" x14ac:dyDescent="0.25">
      <c r="A1415" s="43" t="s">
        <v>200</v>
      </c>
      <c r="B1415" s="43" t="s">
        <v>291</v>
      </c>
      <c r="C1415" s="43" t="s">
        <v>265</v>
      </c>
      <c r="D1415" s="43" t="s">
        <v>435</v>
      </c>
      <c r="E1415" s="43" t="s">
        <v>655</v>
      </c>
      <c r="F1415" s="43" t="s">
        <v>484</v>
      </c>
      <c r="G1415" s="43" t="s">
        <v>233</v>
      </c>
      <c r="H1415" s="43" t="s">
        <v>207</v>
      </c>
      <c r="I1415" s="44">
        <v>45590</v>
      </c>
      <c r="J1415" s="44">
        <v>45646</v>
      </c>
      <c r="K1415" s="45">
        <v>12</v>
      </c>
      <c r="L1415" s="45">
        <v>724.97159999999997</v>
      </c>
      <c r="M1415" s="45">
        <v>1962</v>
      </c>
      <c r="N1415" s="45">
        <v>5</v>
      </c>
      <c r="O1415" s="45">
        <v>315.04899999999998</v>
      </c>
      <c r="P1415" s="62">
        <f t="shared" si="22"/>
        <v>17</v>
      </c>
    </row>
    <row r="1416" spans="1:16" x14ac:dyDescent="0.25">
      <c r="A1416" s="43" t="s">
        <v>200</v>
      </c>
      <c r="B1416" s="43" t="s">
        <v>291</v>
      </c>
      <c r="C1416" s="43" t="s">
        <v>265</v>
      </c>
      <c r="D1416" s="43" t="s">
        <v>435</v>
      </c>
      <c r="E1416" s="43" t="s">
        <v>655</v>
      </c>
      <c r="F1416" s="43" t="s">
        <v>484</v>
      </c>
      <c r="G1416" s="43" t="s">
        <v>234</v>
      </c>
      <c r="H1416" s="43" t="s">
        <v>207</v>
      </c>
      <c r="I1416" s="44">
        <v>45591</v>
      </c>
      <c r="J1416" s="44">
        <v>45647</v>
      </c>
      <c r="K1416" s="45">
        <v>13</v>
      </c>
      <c r="L1416" s="45">
        <v>789.87289999999996</v>
      </c>
      <c r="M1416" s="45">
        <v>2088</v>
      </c>
      <c r="N1416" s="45">
        <v>7</v>
      </c>
      <c r="O1416" s="45">
        <v>440.08089999999999</v>
      </c>
      <c r="P1416" s="62">
        <f t="shared" ref="P1416:P1442" si="23">K1416+N1416</f>
        <v>20</v>
      </c>
    </row>
    <row r="1417" spans="1:16" x14ac:dyDescent="0.25">
      <c r="A1417" s="43" t="s">
        <v>200</v>
      </c>
      <c r="B1417" s="43" t="s">
        <v>291</v>
      </c>
      <c r="C1417" s="43" t="s">
        <v>265</v>
      </c>
      <c r="D1417" s="43" t="s">
        <v>435</v>
      </c>
      <c r="E1417" s="43" t="s">
        <v>655</v>
      </c>
      <c r="F1417" s="43" t="s">
        <v>484</v>
      </c>
      <c r="G1417" s="43" t="s">
        <v>259</v>
      </c>
      <c r="H1417" s="43" t="s">
        <v>207</v>
      </c>
      <c r="I1417" s="44">
        <v>45591</v>
      </c>
      <c r="J1417" s="44">
        <v>45633</v>
      </c>
      <c r="K1417" s="45">
        <v>1</v>
      </c>
      <c r="L1417" s="45">
        <v>59.889899999999997</v>
      </c>
      <c r="M1417" s="45">
        <v>162</v>
      </c>
      <c r="N1417" s="45">
        <v>2</v>
      </c>
      <c r="O1417" s="45">
        <v>122.89400000000001</v>
      </c>
      <c r="P1417" s="62">
        <f t="shared" si="23"/>
        <v>3</v>
      </c>
    </row>
    <row r="1418" spans="1:16" x14ac:dyDescent="0.25">
      <c r="A1418" s="43" t="s">
        <v>200</v>
      </c>
      <c r="B1418" s="43" t="s">
        <v>291</v>
      </c>
      <c r="C1418" s="43" t="s">
        <v>265</v>
      </c>
      <c r="D1418" s="43" t="s">
        <v>435</v>
      </c>
      <c r="E1418" s="43" t="s">
        <v>655</v>
      </c>
      <c r="F1418" s="43" t="s">
        <v>484</v>
      </c>
      <c r="G1418" s="43" t="s">
        <v>296</v>
      </c>
      <c r="H1418" s="43" t="s">
        <v>207</v>
      </c>
      <c r="I1418" s="44">
        <v>45590</v>
      </c>
      <c r="J1418" s="44">
        <v>45640</v>
      </c>
      <c r="K1418" s="45">
        <v>11</v>
      </c>
      <c r="L1418" s="45">
        <v>671.245</v>
      </c>
      <c r="M1418" s="45">
        <v>1782</v>
      </c>
      <c r="N1418" s="45">
        <v>3</v>
      </c>
      <c r="O1418" s="45">
        <v>189.01230000000001</v>
      </c>
      <c r="P1418" s="62">
        <f t="shared" si="23"/>
        <v>14</v>
      </c>
    </row>
    <row r="1419" spans="1:16" x14ac:dyDescent="0.25">
      <c r="A1419" s="43" t="s">
        <v>200</v>
      </c>
      <c r="B1419" s="43" t="s">
        <v>291</v>
      </c>
      <c r="C1419" s="43" t="s">
        <v>265</v>
      </c>
      <c r="D1419" s="43" t="s">
        <v>435</v>
      </c>
      <c r="E1419" s="43" t="s">
        <v>656</v>
      </c>
      <c r="F1419" s="43" t="s">
        <v>484</v>
      </c>
      <c r="G1419" s="43" t="s">
        <v>232</v>
      </c>
      <c r="H1419" s="43" t="s">
        <v>207</v>
      </c>
      <c r="I1419" s="44">
        <v>45591</v>
      </c>
      <c r="J1419" s="44">
        <v>45605</v>
      </c>
      <c r="K1419" s="45">
        <v>2</v>
      </c>
      <c r="L1419" s="45">
        <v>119.7796</v>
      </c>
      <c r="M1419" s="45">
        <v>314.95</v>
      </c>
      <c r="N1419" s="45">
        <v>6</v>
      </c>
      <c r="O1419" s="45">
        <v>359.33879999999999</v>
      </c>
      <c r="P1419" s="62">
        <f t="shared" si="23"/>
        <v>8</v>
      </c>
    </row>
    <row r="1420" spans="1:16" x14ac:dyDescent="0.25">
      <c r="A1420" s="43" t="s">
        <v>200</v>
      </c>
      <c r="B1420" s="43" t="s">
        <v>291</v>
      </c>
      <c r="C1420" s="43" t="s">
        <v>265</v>
      </c>
      <c r="D1420" s="43" t="s">
        <v>435</v>
      </c>
      <c r="E1420" s="43" t="s">
        <v>656</v>
      </c>
      <c r="F1420" s="43" t="s">
        <v>484</v>
      </c>
      <c r="G1420" s="43" t="s">
        <v>233</v>
      </c>
      <c r="H1420" s="43" t="s">
        <v>207</v>
      </c>
      <c r="I1420" s="44">
        <v>45590</v>
      </c>
      <c r="J1420" s="44">
        <v>45622</v>
      </c>
      <c r="K1420" s="45">
        <v>9</v>
      </c>
      <c r="L1420" s="45">
        <v>542.74540000000002</v>
      </c>
      <c r="M1420" s="45">
        <v>1476</v>
      </c>
      <c r="N1420" s="45">
        <v>5</v>
      </c>
      <c r="O1420" s="45">
        <v>311.2835</v>
      </c>
      <c r="P1420" s="62">
        <f t="shared" si="23"/>
        <v>14</v>
      </c>
    </row>
    <row r="1421" spans="1:16" x14ac:dyDescent="0.25">
      <c r="A1421" s="43" t="s">
        <v>200</v>
      </c>
      <c r="B1421" s="43" t="s">
        <v>291</v>
      </c>
      <c r="C1421" s="43" t="s">
        <v>265</v>
      </c>
      <c r="D1421" s="43" t="s">
        <v>435</v>
      </c>
      <c r="E1421" s="43" t="s">
        <v>656</v>
      </c>
      <c r="F1421" s="43" t="s">
        <v>484</v>
      </c>
      <c r="G1421" s="43" t="s">
        <v>234</v>
      </c>
      <c r="H1421" s="43" t="s">
        <v>207</v>
      </c>
      <c r="I1421" s="44">
        <v>45591</v>
      </c>
      <c r="J1421" s="44">
        <v>45642</v>
      </c>
      <c r="K1421" s="45">
        <v>12</v>
      </c>
      <c r="L1421" s="45">
        <v>726.87729999999999</v>
      </c>
      <c r="M1421" s="45">
        <v>1944</v>
      </c>
      <c r="N1421" s="45">
        <v>4</v>
      </c>
      <c r="O1421" s="45">
        <v>250.04599999999999</v>
      </c>
      <c r="P1421" s="62">
        <f t="shared" si="23"/>
        <v>16</v>
      </c>
    </row>
    <row r="1422" spans="1:16" x14ac:dyDescent="0.25">
      <c r="A1422" s="43" t="s">
        <v>200</v>
      </c>
      <c r="B1422" s="43" t="s">
        <v>291</v>
      </c>
      <c r="C1422" s="43" t="s">
        <v>265</v>
      </c>
      <c r="D1422" s="43" t="s">
        <v>435</v>
      </c>
      <c r="E1422" s="43" t="s">
        <v>656</v>
      </c>
      <c r="F1422" s="43" t="s">
        <v>484</v>
      </c>
      <c r="G1422" s="43" t="s">
        <v>296</v>
      </c>
      <c r="H1422" s="43" t="s">
        <v>207</v>
      </c>
      <c r="I1422" s="44">
        <v>45591</v>
      </c>
      <c r="J1422" s="44">
        <v>45626</v>
      </c>
      <c r="K1422" s="45">
        <v>8</v>
      </c>
      <c r="L1422" s="45">
        <v>485.34699999999998</v>
      </c>
      <c r="M1422" s="45">
        <v>1296</v>
      </c>
      <c r="N1422" s="45">
        <v>5</v>
      </c>
      <c r="O1422" s="45">
        <v>315.02050000000003</v>
      </c>
      <c r="P1422" s="62">
        <f t="shared" si="23"/>
        <v>13</v>
      </c>
    </row>
    <row r="1423" spans="1:16" x14ac:dyDescent="0.25">
      <c r="A1423" s="43" t="s">
        <v>200</v>
      </c>
      <c r="B1423" s="43" t="s">
        <v>291</v>
      </c>
      <c r="C1423" s="43" t="s">
        <v>265</v>
      </c>
      <c r="D1423" s="43" t="s">
        <v>435</v>
      </c>
      <c r="E1423" s="43" t="s">
        <v>657</v>
      </c>
      <c r="F1423" s="43" t="s">
        <v>356</v>
      </c>
      <c r="G1423" s="43" t="s">
        <v>232</v>
      </c>
      <c r="H1423" s="43" t="s">
        <v>218</v>
      </c>
      <c r="I1423" s="44">
        <v>45593</v>
      </c>
      <c r="J1423" s="44">
        <v>45593</v>
      </c>
      <c r="K1423" s="45">
        <v>1</v>
      </c>
      <c r="L1423" s="45">
        <v>99.250600000000006</v>
      </c>
      <c r="M1423" s="45">
        <v>273.43</v>
      </c>
      <c r="N1423" s="45">
        <v>4</v>
      </c>
      <c r="O1423" s="45">
        <v>397.00240000000002</v>
      </c>
      <c r="P1423" s="62">
        <f t="shared" si="23"/>
        <v>5</v>
      </c>
    </row>
    <row r="1424" spans="1:16" x14ac:dyDescent="0.25">
      <c r="A1424" s="43" t="s">
        <v>200</v>
      </c>
      <c r="B1424" s="43" t="s">
        <v>291</v>
      </c>
      <c r="C1424" s="43" t="s">
        <v>265</v>
      </c>
      <c r="D1424" s="43" t="s">
        <v>435</v>
      </c>
      <c r="E1424" s="43" t="s">
        <v>657</v>
      </c>
      <c r="F1424" s="43" t="s">
        <v>356</v>
      </c>
      <c r="G1424" s="43" t="s">
        <v>233</v>
      </c>
      <c r="H1424" s="43" t="s">
        <v>218</v>
      </c>
      <c r="I1424" s="44">
        <v>45593</v>
      </c>
      <c r="J1424" s="44">
        <v>45647</v>
      </c>
      <c r="K1424" s="45">
        <v>2</v>
      </c>
      <c r="L1424" s="45">
        <v>199.5334</v>
      </c>
      <c r="M1424" s="45">
        <v>546.85</v>
      </c>
      <c r="N1424" s="45">
        <v>5</v>
      </c>
      <c r="O1424" s="45">
        <v>505.54300000000001</v>
      </c>
      <c r="P1424" s="62">
        <f t="shared" si="23"/>
        <v>7</v>
      </c>
    </row>
    <row r="1425" spans="1:16" x14ac:dyDescent="0.25">
      <c r="A1425" s="43" t="s">
        <v>200</v>
      </c>
      <c r="B1425" s="43" t="s">
        <v>291</v>
      </c>
      <c r="C1425" s="43" t="s">
        <v>265</v>
      </c>
      <c r="D1425" s="43" t="s">
        <v>435</v>
      </c>
      <c r="E1425" s="43" t="s">
        <v>657</v>
      </c>
      <c r="F1425" s="43" t="s">
        <v>356</v>
      </c>
      <c r="G1425" s="43" t="s">
        <v>234</v>
      </c>
      <c r="H1425" s="43" t="s">
        <v>218</v>
      </c>
      <c r="I1425" s="44">
        <v>45593</v>
      </c>
      <c r="J1425" s="44">
        <v>45642</v>
      </c>
      <c r="K1425" s="45">
        <v>10</v>
      </c>
      <c r="L1425" s="45">
        <v>1025.7370000000001</v>
      </c>
      <c r="M1425" s="45">
        <v>2825.43</v>
      </c>
      <c r="N1425" s="45">
        <v>2</v>
      </c>
      <c r="O1425" s="45">
        <v>208.279</v>
      </c>
      <c r="P1425" s="62">
        <f t="shared" si="23"/>
        <v>12</v>
      </c>
    </row>
    <row r="1426" spans="1:16" x14ac:dyDescent="0.25">
      <c r="A1426" s="43" t="s">
        <v>200</v>
      </c>
      <c r="B1426" s="43" t="s">
        <v>291</v>
      </c>
      <c r="C1426" s="43" t="s">
        <v>265</v>
      </c>
      <c r="D1426" s="43" t="s">
        <v>435</v>
      </c>
      <c r="E1426" s="43" t="s">
        <v>657</v>
      </c>
      <c r="F1426" s="43" t="s">
        <v>356</v>
      </c>
      <c r="G1426" s="43" t="s">
        <v>296</v>
      </c>
      <c r="H1426" s="43" t="s">
        <v>218</v>
      </c>
      <c r="I1426" s="44">
        <v>45593</v>
      </c>
      <c r="J1426" s="44">
        <v>45632</v>
      </c>
      <c r="K1426" s="45">
        <v>5</v>
      </c>
      <c r="L1426" s="45">
        <v>503.73070000000001</v>
      </c>
      <c r="M1426" s="45">
        <v>1367.14</v>
      </c>
      <c r="N1426" s="45">
        <v>0</v>
      </c>
      <c r="O1426" s="45">
        <v>0</v>
      </c>
      <c r="P1426" s="62">
        <f t="shared" si="23"/>
        <v>5</v>
      </c>
    </row>
    <row r="1427" spans="1:16" x14ac:dyDescent="0.25">
      <c r="A1427" s="43" t="s">
        <v>200</v>
      </c>
      <c r="B1427" s="43" t="s">
        <v>291</v>
      </c>
      <c r="C1427" s="43" t="s">
        <v>265</v>
      </c>
      <c r="D1427" s="43" t="s">
        <v>460</v>
      </c>
      <c r="E1427" s="43" t="s">
        <v>658</v>
      </c>
      <c r="F1427" s="43" t="s">
        <v>352</v>
      </c>
      <c r="G1427" s="43" t="s">
        <v>232</v>
      </c>
      <c r="H1427" s="43" t="s">
        <v>207</v>
      </c>
      <c r="I1427" s="44">
        <v>45633</v>
      </c>
      <c r="J1427" s="44">
        <v>45646</v>
      </c>
      <c r="K1427" s="45">
        <v>1</v>
      </c>
      <c r="L1427" s="45">
        <v>50.427300000000002</v>
      </c>
      <c r="M1427" s="45">
        <v>141.9</v>
      </c>
      <c r="N1427" s="45">
        <v>4</v>
      </c>
      <c r="O1427" s="45">
        <v>201.70920000000001</v>
      </c>
      <c r="P1427" s="62">
        <f t="shared" si="23"/>
        <v>5</v>
      </c>
    </row>
    <row r="1428" spans="1:16" x14ac:dyDescent="0.25">
      <c r="A1428" s="43" t="s">
        <v>200</v>
      </c>
      <c r="B1428" s="43" t="s">
        <v>291</v>
      </c>
      <c r="C1428" s="43" t="s">
        <v>265</v>
      </c>
      <c r="D1428" s="43" t="s">
        <v>460</v>
      </c>
      <c r="E1428" s="43" t="s">
        <v>658</v>
      </c>
      <c r="F1428" s="43" t="s">
        <v>352</v>
      </c>
      <c r="G1428" s="43" t="s">
        <v>233</v>
      </c>
      <c r="H1428" s="43" t="s">
        <v>207</v>
      </c>
      <c r="I1428" s="44">
        <v>45633</v>
      </c>
      <c r="J1428" s="44">
        <v>45646</v>
      </c>
      <c r="K1428" s="45">
        <v>1</v>
      </c>
      <c r="L1428" s="45">
        <v>50.4208</v>
      </c>
      <c r="M1428" s="45">
        <v>127.71</v>
      </c>
      <c r="N1428" s="45">
        <v>5</v>
      </c>
      <c r="O1428" s="45">
        <v>252.10400000000001</v>
      </c>
      <c r="P1428" s="62">
        <f t="shared" si="23"/>
        <v>6</v>
      </c>
    </row>
    <row r="1429" spans="1:16" x14ac:dyDescent="0.25">
      <c r="A1429" s="43" t="s">
        <v>200</v>
      </c>
      <c r="B1429" s="43" t="s">
        <v>291</v>
      </c>
      <c r="C1429" s="43" t="s">
        <v>265</v>
      </c>
      <c r="D1429" s="43" t="s">
        <v>460</v>
      </c>
      <c r="E1429" s="43" t="s">
        <v>658</v>
      </c>
      <c r="F1429" s="43" t="s">
        <v>352</v>
      </c>
      <c r="G1429" s="43" t="s">
        <v>234</v>
      </c>
      <c r="H1429" s="43" t="s">
        <v>207</v>
      </c>
      <c r="I1429" s="44">
        <v>45633</v>
      </c>
      <c r="J1429" s="44">
        <v>45647</v>
      </c>
      <c r="K1429" s="45">
        <v>2</v>
      </c>
      <c r="L1429" s="45">
        <v>100.8608</v>
      </c>
      <c r="M1429" s="45">
        <v>255.42</v>
      </c>
      <c r="N1429" s="45">
        <v>3</v>
      </c>
      <c r="O1429" s="45">
        <v>151.2912</v>
      </c>
      <c r="P1429" s="62">
        <f t="shared" si="23"/>
        <v>5</v>
      </c>
    </row>
    <row r="1430" spans="1:16" x14ac:dyDescent="0.25">
      <c r="A1430" s="43" t="s">
        <v>200</v>
      </c>
      <c r="B1430" s="43" t="s">
        <v>291</v>
      </c>
      <c r="C1430" s="43" t="s">
        <v>265</v>
      </c>
      <c r="D1430" s="43" t="s">
        <v>460</v>
      </c>
      <c r="E1430" s="43" t="s">
        <v>658</v>
      </c>
      <c r="F1430" s="43" t="s">
        <v>352</v>
      </c>
      <c r="G1430" s="43" t="s">
        <v>296</v>
      </c>
      <c r="H1430" s="43" t="s">
        <v>207</v>
      </c>
      <c r="I1430" s="44">
        <v>45633</v>
      </c>
      <c r="J1430" s="44">
        <v>45643</v>
      </c>
      <c r="K1430" s="45">
        <v>3</v>
      </c>
      <c r="L1430" s="45">
        <v>151.29599999999999</v>
      </c>
      <c r="M1430" s="45">
        <v>383.13</v>
      </c>
      <c r="N1430" s="45">
        <v>2</v>
      </c>
      <c r="O1430" s="45">
        <v>100.864</v>
      </c>
      <c r="P1430" s="62">
        <f t="shared" si="23"/>
        <v>5</v>
      </c>
    </row>
    <row r="1431" spans="1:16" x14ac:dyDescent="0.25">
      <c r="A1431" s="43" t="s">
        <v>200</v>
      </c>
      <c r="B1431" s="43" t="s">
        <v>291</v>
      </c>
      <c r="C1431" s="43" t="s">
        <v>265</v>
      </c>
      <c r="D1431" s="43" t="s">
        <v>460</v>
      </c>
      <c r="E1431" s="43" t="s">
        <v>659</v>
      </c>
      <c r="F1431" s="43" t="s">
        <v>352</v>
      </c>
      <c r="G1431" s="43" t="s">
        <v>232</v>
      </c>
      <c r="H1431" s="43" t="s">
        <v>207</v>
      </c>
      <c r="I1431" s="44">
        <v>45591</v>
      </c>
      <c r="J1431" s="44">
        <v>45605</v>
      </c>
      <c r="K1431" s="45">
        <v>1</v>
      </c>
      <c r="L1431" s="45">
        <v>47.968400000000003</v>
      </c>
      <c r="M1431" s="45">
        <v>127.71</v>
      </c>
      <c r="N1431" s="45">
        <v>5</v>
      </c>
      <c r="O1431" s="45">
        <v>239.84200000000001</v>
      </c>
      <c r="P1431" s="62">
        <f t="shared" si="23"/>
        <v>6</v>
      </c>
    </row>
    <row r="1432" spans="1:16" x14ac:dyDescent="0.25">
      <c r="A1432" s="43" t="s">
        <v>200</v>
      </c>
      <c r="B1432" s="43" t="s">
        <v>291</v>
      </c>
      <c r="C1432" s="43" t="s">
        <v>265</v>
      </c>
      <c r="D1432" s="43" t="s">
        <v>460</v>
      </c>
      <c r="E1432" s="43" t="s">
        <v>659</v>
      </c>
      <c r="F1432" s="43" t="s">
        <v>352</v>
      </c>
      <c r="G1432" s="43" t="s">
        <v>233</v>
      </c>
      <c r="H1432" s="43" t="s">
        <v>207</v>
      </c>
      <c r="I1432" s="44">
        <v>45591</v>
      </c>
      <c r="J1432" s="44">
        <v>45643</v>
      </c>
      <c r="K1432" s="45">
        <v>10</v>
      </c>
      <c r="L1432" s="45">
        <v>484.62619999999998</v>
      </c>
      <c r="M1432" s="45">
        <v>1291.31</v>
      </c>
      <c r="N1432" s="45">
        <v>5</v>
      </c>
      <c r="O1432" s="45">
        <v>252.2895</v>
      </c>
      <c r="P1432" s="62">
        <f t="shared" si="23"/>
        <v>15</v>
      </c>
    </row>
    <row r="1433" spans="1:16" x14ac:dyDescent="0.25">
      <c r="A1433" s="43" t="s">
        <v>200</v>
      </c>
      <c r="B1433" s="43" t="s">
        <v>291</v>
      </c>
      <c r="C1433" s="43" t="s">
        <v>265</v>
      </c>
      <c r="D1433" s="43" t="s">
        <v>460</v>
      </c>
      <c r="E1433" s="43" t="s">
        <v>659</v>
      </c>
      <c r="F1433" s="43" t="s">
        <v>352</v>
      </c>
      <c r="G1433" s="43" t="s">
        <v>234</v>
      </c>
      <c r="H1433" s="43" t="s">
        <v>207</v>
      </c>
      <c r="I1433" s="44">
        <v>45591</v>
      </c>
      <c r="J1433" s="44">
        <v>45622</v>
      </c>
      <c r="K1433" s="45">
        <v>8</v>
      </c>
      <c r="L1433" s="45">
        <v>384.99439999999998</v>
      </c>
      <c r="M1433" s="45">
        <v>1021.69</v>
      </c>
      <c r="N1433" s="45">
        <v>4</v>
      </c>
      <c r="O1433" s="45">
        <v>198.1096</v>
      </c>
      <c r="P1433" s="62">
        <f t="shared" si="23"/>
        <v>12</v>
      </c>
    </row>
    <row r="1434" spans="1:16" x14ac:dyDescent="0.25">
      <c r="A1434" s="43" t="s">
        <v>200</v>
      </c>
      <c r="B1434" s="43" t="s">
        <v>291</v>
      </c>
      <c r="C1434" s="43" t="s">
        <v>265</v>
      </c>
      <c r="D1434" s="43" t="s">
        <v>460</v>
      </c>
      <c r="E1434" s="43" t="s">
        <v>659</v>
      </c>
      <c r="F1434" s="43" t="s">
        <v>352</v>
      </c>
      <c r="G1434" s="43" t="s">
        <v>259</v>
      </c>
      <c r="H1434" s="43" t="s">
        <v>207</v>
      </c>
      <c r="I1434" s="44">
        <v>45591</v>
      </c>
      <c r="J1434" s="44">
        <v>45591</v>
      </c>
      <c r="K1434" s="45">
        <v>0</v>
      </c>
      <c r="L1434" s="45">
        <v>0</v>
      </c>
      <c r="M1434" s="45">
        <v>0</v>
      </c>
      <c r="N1434" s="45">
        <v>2</v>
      </c>
      <c r="O1434" s="45">
        <v>95.936800000000005</v>
      </c>
      <c r="P1434" s="62">
        <f t="shared" si="23"/>
        <v>2</v>
      </c>
    </row>
    <row r="1435" spans="1:16" x14ac:dyDescent="0.25">
      <c r="A1435" s="43" t="s">
        <v>200</v>
      </c>
      <c r="B1435" s="43" t="s">
        <v>291</v>
      </c>
      <c r="C1435" s="43" t="s">
        <v>265</v>
      </c>
      <c r="D1435" s="43" t="s">
        <v>460</v>
      </c>
      <c r="E1435" s="43" t="s">
        <v>659</v>
      </c>
      <c r="F1435" s="43" t="s">
        <v>352</v>
      </c>
      <c r="G1435" s="43" t="s">
        <v>296</v>
      </c>
      <c r="H1435" s="43" t="s">
        <v>207</v>
      </c>
      <c r="I1435" s="44">
        <v>45591</v>
      </c>
      <c r="J1435" s="44">
        <v>45622</v>
      </c>
      <c r="K1435" s="45">
        <v>4</v>
      </c>
      <c r="L1435" s="45">
        <v>193.3518</v>
      </c>
      <c r="M1435" s="45">
        <v>510.85</v>
      </c>
      <c r="N1435" s="45">
        <v>4</v>
      </c>
      <c r="O1435" s="45">
        <v>200.3732</v>
      </c>
      <c r="P1435" s="62">
        <f t="shared" si="23"/>
        <v>8</v>
      </c>
    </row>
    <row r="1436" spans="1:16" x14ac:dyDescent="0.25">
      <c r="A1436" s="43" t="s">
        <v>200</v>
      </c>
      <c r="B1436" s="43" t="s">
        <v>291</v>
      </c>
      <c r="C1436" s="43" t="s">
        <v>265</v>
      </c>
      <c r="D1436" s="43" t="s">
        <v>460</v>
      </c>
      <c r="E1436" s="43" t="s">
        <v>660</v>
      </c>
      <c r="F1436" s="43" t="s">
        <v>352</v>
      </c>
      <c r="G1436" s="43" t="s">
        <v>233</v>
      </c>
      <c r="H1436" s="43" t="s">
        <v>207</v>
      </c>
      <c r="I1436" s="44">
        <v>45608</v>
      </c>
      <c r="J1436" s="44">
        <v>45622</v>
      </c>
      <c r="K1436" s="45">
        <v>1</v>
      </c>
      <c r="L1436" s="45">
        <v>47.968400000000003</v>
      </c>
      <c r="M1436" s="45">
        <v>127.71</v>
      </c>
      <c r="N1436" s="45">
        <v>1</v>
      </c>
      <c r="O1436" s="45">
        <v>48.467300000000002</v>
      </c>
      <c r="P1436" s="62">
        <f t="shared" si="23"/>
        <v>2</v>
      </c>
    </row>
    <row r="1437" spans="1:16" x14ac:dyDescent="0.25">
      <c r="A1437" s="43" t="s">
        <v>200</v>
      </c>
      <c r="B1437" s="43" t="s">
        <v>291</v>
      </c>
      <c r="C1437" s="43" t="s">
        <v>265</v>
      </c>
      <c r="D1437" s="43" t="s">
        <v>460</v>
      </c>
      <c r="E1437" s="43" t="s">
        <v>660</v>
      </c>
      <c r="F1437" s="43" t="s">
        <v>352</v>
      </c>
      <c r="G1437" s="43" t="s">
        <v>234</v>
      </c>
      <c r="H1437" s="43" t="s">
        <v>207</v>
      </c>
      <c r="I1437" s="44">
        <v>45608</v>
      </c>
      <c r="J1437" s="44">
        <v>45617</v>
      </c>
      <c r="K1437" s="45">
        <v>1</v>
      </c>
      <c r="L1437" s="45">
        <v>47.968400000000003</v>
      </c>
      <c r="M1437" s="45">
        <v>127.71</v>
      </c>
      <c r="N1437" s="45">
        <v>0</v>
      </c>
      <c r="O1437" s="45">
        <v>0</v>
      </c>
      <c r="P1437" s="62">
        <f t="shared" si="23"/>
        <v>1</v>
      </c>
    </row>
    <row r="1438" spans="1:16" x14ac:dyDescent="0.25">
      <c r="A1438" s="43" t="s">
        <v>200</v>
      </c>
      <c r="B1438" s="43" t="s">
        <v>291</v>
      </c>
      <c r="C1438" s="43" t="s">
        <v>265</v>
      </c>
      <c r="D1438" s="43" t="s">
        <v>460</v>
      </c>
      <c r="E1438" s="43" t="s">
        <v>661</v>
      </c>
      <c r="F1438" s="43" t="s">
        <v>516</v>
      </c>
      <c r="G1438" s="43" t="s">
        <v>232</v>
      </c>
      <c r="H1438" s="43" t="s">
        <v>207</v>
      </c>
      <c r="I1438" s="44">
        <v>45590</v>
      </c>
      <c r="J1438" s="44">
        <v>45644</v>
      </c>
      <c r="K1438" s="45">
        <v>7</v>
      </c>
      <c r="L1438" s="45">
        <v>300.512</v>
      </c>
      <c r="M1438" s="45">
        <v>827.33</v>
      </c>
      <c r="N1438" s="45">
        <v>5</v>
      </c>
      <c r="O1438" s="45">
        <v>219.80250000000001</v>
      </c>
      <c r="P1438" s="62">
        <f t="shared" si="23"/>
        <v>12</v>
      </c>
    </row>
    <row r="1439" spans="1:16" x14ac:dyDescent="0.25">
      <c r="A1439" s="43" t="s">
        <v>200</v>
      </c>
      <c r="B1439" s="43" t="s">
        <v>291</v>
      </c>
      <c r="C1439" s="43" t="s">
        <v>265</v>
      </c>
      <c r="D1439" s="43" t="s">
        <v>460</v>
      </c>
      <c r="E1439" s="43" t="s">
        <v>661</v>
      </c>
      <c r="F1439" s="43" t="s">
        <v>516</v>
      </c>
      <c r="G1439" s="43" t="s">
        <v>233</v>
      </c>
      <c r="H1439" s="43" t="s">
        <v>207</v>
      </c>
      <c r="I1439" s="44">
        <v>45591</v>
      </c>
      <c r="J1439" s="44">
        <v>45646</v>
      </c>
      <c r="K1439" s="45">
        <v>11</v>
      </c>
      <c r="L1439" s="45">
        <v>472.6103</v>
      </c>
      <c r="M1439" s="45">
        <v>1231.17</v>
      </c>
      <c r="N1439" s="45">
        <v>5</v>
      </c>
      <c r="O1439" s="45">
        <v>223.36150000000001</v>
      </c>
      <c r="P1439" s="62">
        <f t="shared" si="23"/>
        <v>16</v>
      </c>
    </row>
    <row r="1440" spans="1:16" x14ac:dyDescent="0.25">
      <c r="A1440" s="43" t="s">
        <v>200</v>
      </c>
      <c r="B1440" s="43" t="s">
        <v>291</v>
      </c>
      <c r="C1440" s="43" t="s">
        <v>265</v>
      </c>
      <c r="D1440" s="43" t="s">
        <v>460</v>
      </c>
      <c r="E1440" s="43" t="s">
        <v>661</v>
      </c>
      <c r="F1440" s="43" t="s">
        <v>516</v>
      </c>
      <c r="G1440" s="43" t="s">
        <v>234</v>
      </c>
      <c r="H1440" s="43" t="s">
        <v>207</v>
      </c>
      <c r="I1440" s="44">
        <v>45590</v>
      </c>
      <c r="J1440" s="44">
        <v>45647</v>
      </c>
      <c r="K1440" s="45">
        <v>12</v>
      </c>
      <c r="L1440" s="45">
        <v>525.05809999999997</v>
      </c>
      <c r="M1440" s="45">
        <v>1442.93</v>
      </c>
      <c r="N1440" s="45">
        <v>4</v>
      </c>
      <c r="O1440" s="45">
        <v>179.74279999999999</v>
      </c>
      <c r="P1440" s="62">
        <f t="shared" si="23"/>
        <v>16</v>
      </c>
    </row>
    <row r="1441" spans="1:16" x14ac:dyDescent="0.25">
      <c r="A1441" s="43" t="s">
        <v>200</v>
      </c>
      <c r="B1441" s="43" t="s">
        <v>291</v>
      </c>
      <c r="C1441" s="43" t="s">
        <v>265</v>
      </c>
      <c r="D1441" s="43" t="s">
        <v>460</v>
      </c>
      <c r="E1441" s="43" t="s">
        <v>661</v>
      </c>
      <c r="F1441" s="43" t="s">
        <v>516</v>
      </c>
      <c r="G1441" s="43" t="s">
        <v>259</v>
      </c>
      <c r="H1441" s="43" t="s">
        <v>207</v>
      </c>
      <c r="I1441" s="44">
        <v>45590</v>
      </c>
      <c r="J1441" s="44">
        <v>45638</v>
      </c>
      <c r="K1441" s="45">
        <v>2</v>
      </c>
      <c r="L1441" s="45">
        <v>86.7346</v>
      </c>
      <c r="M1441" s="45">
        <v>238.28</v>
      </c>
      <c r="N1441" s="45">
        <v>2</v>
      </c>
      <c r="O1441" s="45">
        <v>88.939800000000005</v>
      </c>
      <c r="P1441" s="62">
        <f t="shared" si="23"/>
        <v>4</v>
      </c>
    </row>
    <row r="1442" spans="1:16" x14ac:dyDescent="0.25">
      <c r="A1442" s="43" t="s">
        <v>200</v>
      </c>
      <c r="B1442" s="43" t="s">
        <v>291</v>
      </c>
      <c r="C1442" s="43" t="s">
        <v>265</v>
      </c>
      <c r="D1442" s="43" t="s">
        <v>460</v>
      </c>
      <c r="E1442" s="43" t="s">
        <v>661</v>
      </c>
      <c r="F1442" s="43" t="s">
        <v>516</v>
      </c>
      <c r="G1442" s="43" t="s">
        <v>296</v>
      </c>
      <c r="H1442" s="43" t="s">
        <v>207</v>
      </c>
      <c r="I1442" s="44">
        <v>45591</v>
      </c>
      <c r="J1442" s="44">
        <v>45605</v>
      </c>
      <c r="K1442" s="45">
        <v>2</v>
      </c>
      <c r="L1442" s="45">
        <v>85.604399999999998</v>
      </c>
      <c r="M1442" s="45">
        <v>238.29</v>
      </c>
      <c r="N1442" s="45">
        <v>3</v>
      </c>
      <c r="O1442" s="45">
        <v>128.4066</v>
      </c>
      <c r="P1442" s="62">
        <f t="shared" si="23"/>
        <v>5</v>
      </c>
    </row>
  </sheetData>
  <autoFilter ref="A6:O6" xr:uid="{B9D31D31-70C8-4F12-B7C0-3B49251481C2}"/>
  <mergeCells count="1">
    <mergeCell ref="G1:P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FA98A-61E3-440C-878A-5D2984774E5F}">
  <sheetPr>
    <tabColor theme="8" tint="0.59999389629810485"/>
  </sheetPr>
  <dimension ref="A1:BH31"/>
  <sheetViews>
    <sheetView showGridLines="0" tabSelected="1" zoomScale="77" zoomScaleNormal="96" workbookViewId="0">
      <selection activeCell="A4" sqref="A4"/>
    </sheetView>
  </sheetViews>
  <sheetFormatPr defaultRowHeight="12.5" x14ac:dyDescent="0.25"/>
  <cols>
    <col min="1" max="1" width="19.81640625" style="16" customWidth="1"/>
    <col min="2" max="2" width="3.08984375" style="24" customWidth="1"/>
    <col min="3" max="3" width="11.08984375" bestFit="1" customWidth="1"/>
    <col min="4" max="4" width="10.7265625" bestFit="1" customWidth="1"/>
    <col min="5" max="5" width="8.36328125" customWidth="1"/>
    <col min="6" max="6" width="13.7265625" customWidth="1"/>
    <col min="7" max="7" width="10.6328125" bestFit="1" customWidth="1"/>
    <col min="8" max="8" width="12.81640625" customWidth="1"/>
    <col min="9" max="9" width="13.90625" style="16" customWidth="1"/>
    <col min="10" max="10" width="2" customWidth="1"/>
    <col min="54" max="54" width="17" bestFit="1" customWidth="1"/>
    <col min="55" max="55" width="28.453125" customWidth="1"/>
    <col min="57" max="57" width="22.7265625" bestFit="1" customWidth="1"/>
    <col min="58" max="58" width="7.6328125" bestFit="1" customWidth="1"/>
    <col min="59" max="59" width="18" customWidth="1"/>
    <col min="60" max="60" width="11.90625" style="24" customWidth="1"/>
  </cols>
  <sheetData>
    <row r="1" spans="1:60" x14ac:dyDescent="0.25">
      <c r="BB1" s="36" t="s">
        <v>685</v>
      </c>
      <c r="BE1" s="36" t="s">
        <v>686</v>
      </c>
    </row>
    <row r="2" spans="1:60" ht="23" customHeight="1" x14ac:dyDescent="0.3">
      <c r="A2" s="67" t="s">
        <v>674</v>
      </c>
      <c r="B2" s="59"/>
      <c r="C2" s="55"/>
      <c r="D2" s="55"/>
      <c r="E2" s="55"/>
      <c r="F2" s="55"/>
      <c r="G2" s="55"/>
      <c r="BB2" s="57" t="s">
        <v>678</v>
      </c>
      <c r="BC2" s="60" t="s">
        <v>677</v>
      </c>
      <c r="BE2" s="57" t="s">
        <v>684</v>
      </c>
      <c r="BF2" s="60" t="s">
        <v>677</v>
      </c>
      <c r="BG2" t="s">
        <v>684</v>
      </c>
    </row>
    <row r="3" spans="1:60" hidden="1" x14ac:dyDescent="0.25">
      <c r="BB3" s="58" t="s">
        <v>293</v>
      </c>
      <c r="BC3" s="24">
        <v>406468.22000000015</v>
      </c>
      <c r="BE3" s="58" t="s">
        <v>352</v>
      </c>
      <c r="BF3" s="24">
        <v>170139.43999999997</v>
      </c>
      <c r="BG3" t="str">
        <f>BE3</f>
        <v>Vital</v>
      </c>
      <c r="BH3" s="24">
        <f>GETPIVOTDATA("Sales Retail Value",$BE$2,"Family (32713)",BG3)</f>
        <v>170139.43999999997</v>
      </c>
    </row>
    <row r="4" spans="1:60" ht="13" x14ac:dyDescent="0.3">
      <c r="C4" s="1" t="s">
        <v>679</v>
      </c>
      <c r="F4" s="1" t="s">
        <v>679</v>
      </c>
      <c r="BB4" s="58" t="s">
        <v>370</v>
      </c>
      <c r="BC4" s="24">
        <v>170177.64000000007</v>
      </c>
      <c r="BE4" s="58" t="s">
        <v>312</v>
      </c>
      <c r="BF4" s="24">
        <v>165828.40999999997</v>
      </c>
      <c r="BG4" t="str">
        <f t="shared" ref="BG4:BG12" si="0">BE4</f>
        <v>GFX GS X AT</v>
      </c>
      <c r="BH4" s="24">
        <f t="shared" ref="BH4:BH12" si="1">GETPIVOTDATA("Sales Retail Value",$BE$2,"Family (32713)",BG4)</f>
        <v>165828.40999999997</v>
      </c>
    </row>
    <row r="5" spans="1:60" s="63" customFormat="1" x14ac:dyDescent="0.25">
      <c r="A5" s="65" t="s">
        <v>679</v>
      </c>
      <c r="C5" s="61" t="s">
        <v>186</v>
      </c>
      <c r="D5" s="64" t="s">
        <v>683</v>
      </c>
      <c r="F5" s="61" t="s">
        <v>192</v>
      </c>
      <c r="G5" s="65" t="s">
        <v>683</v>
      </c>
      <c r="I5" s="69"/>
      <c r="BB5" s="58" t="s">
        <v>532</v>
      </c>
      <c r="BC5" s="24">
        <v>161649.81</v>
      </c>
      <c r="BE5" s="58" t="s">
        <v>286</v>
      </c>
      <c r="BF5" s="24">
        <v>137837.07999999999</v>
      </c>
      <c r="BG5" t="str">
        <f t="shared" si="0"/>
        <v>Power</v>
      </c>
      <c r="BH5" s="24">
        <f t="shared" si="1"/>
        <v>137837.07999999999</v>
      </c>
    </row>
    <row r="6" spans="1:60" ht="13" x14ac:dyDescent="0.3">
      <c r="A6" s="73">
        <v>1308930.9399999976</v>
      </c>
      <c r="B6"/>
      <c r="C6" s="58" t="s">
        <v>291</v>
      </c>
      <c r="D6" s="24">
        <v>1213687.7699999996</v>
      </c>
      <c r="F6" s="58" t="s">
        <v>207</v>
      </c>
      <c r="G6" s="24">
        <v>923926.46999999892</v>
      </c>
      <c r="BB6" s="58" t="s">
        <v>435</v>
      </c>
      <c r="BC6" s="24">
        <v>144304.84000000005</v>
      </c>
      <c r="BE6" s="58" t="s">
        <v>516</v>
      </c>
      <c r="BF6" s="24">
        <v>101654.71</v>
      </c>
      <c r="BG6" t="str">
        <f t="shared" si="0"/>
        <v>Everyday Seamless</v>
      </c>
      <c r="BH6" s="24">
        <f t="shared" si="1"/>
        <v>101654.71</v>
      </c>
    </row>
    <row r="7" spans="1:60" x14ac:dyDescent="0.25">
      <c r="B7"/>
      <c r="C7" s="58" t="s">
        <v>201</v>
      </c>
      <c r="D7" s="24">
        <v>75760.340000000026</v>
      </c>
      <c r="F7" s="58" t="s">
        <v>218</v>
      </c>
      <c r="G7" s="24">
        <v>355806.39000000007</v>
      </c>
      <c r="BB7" s="58" t="s">
        <v>582</v>
      </c>
      <c r="BC7" s="24">
        <v>103162.38000000002</v>
      </c>
      <c r="BE7" s="58" t="s">
        <v>304</v>
      </c>
      <c r="BF7" s="24">
        <v>83090.099999999962</v>
      </c>
      <c r="BG7" t="str">
        <f t="shared" si="0"/>
        <v>Crest</v>
      </c>
      <c r="BH7" s="24">
        <f t="shared" si="1"/>
        <v>83090.099999999962</v>
      </c>
    </row>
    <row r="8" spans="1:60" x14ac:dyDescent="0.25">
      <c r="B8"/>
      <c r="C8" s="58" t="s">
        <v>272</v>
      </c>
      <c r="D8" s="24">
        <v>19482.830000000002</v>
      </c>
      <c r="F8" s="58" t="s">
        <v>349</v>
      </c>
      <c r="G8" s="24">
        <v>13332.139999999998</v>
      </c>
      <c r="BB8" s="58" t="s">
        <v>407</v>
      </c>
      <c r="BC8" s="24">
        <v>92258.73000000004</v>
      </c>
      <c r="BE8" s="58" t="s">
        <v>585</v>
      </c>
      <c r="BF8" s="24">
        <v>74153.39</v>
      </c>
      <c r="BG8" t="str">
        <f t="shared" si="0"/>
        <v>Fundamental Sports Bras</v>
      </c>
      <c r="BH8" s="24">
        <f t="shared" si="1"/>
        <v>74153.39</v>
      </c>
    </row>
    <row r="9" spans="1:60" x14ac:dyDescent="0.25">
      <c r="B9"/>
      <c r="C9" s="58" t="s">
        <v>676</v>
      </c>
      <c r="D9" s="24">
        <v>1308930.9399999995</v>
      </c>
      <c r="F9" s="58" t="s">
        <v>226</v>
      </c>
      <c r="G9" s="24">
        <v>15865.939999999995</v>
      </c>
      <c r="BB9" s="58" t="s">
        <v>230</v>
      </c>
      <c r="BC9" s="24">
        <v>48024.119999999995</v>
      </c>
      <c r="BE9" s="58" t="s">
        <v>344</v>
      </c>
      <c r="BF9" s="24">
        <v>70113.890000000014</v>
      </c>
      <c r="BG9" t="str">
        <f t="shared" si="0"/>
        <v>Apex</v>
      </c>
      <c r="BH9" s="24">
        <f t="shared" si="1"/>
        <v>70113.890000000014</v>
      </c>
    </row>
    <row r="10" spans="1:60" x14ac:dyDescent="0.25">
      <c r="A10" s="65" t="s">
        <v>680</v>
      </c>
      <c r="B10"/>
      <c r="F10" s="58" t="s">
        <v>676</v>
      </c>
      <c r="G10" s="24">
        <v>1308930.9399999988</v>
      </c>
      <c r="BB10" s="58" t="s">
        <v>460</v>
      </c>
      <c r="BC10" s="24">
        <v>45227.010000000009</v>
      </c>
      <c r="BE10" s="58" t="s">
        <v>372</v>
      </c>
      <c r="BF10" s="24">
        <v>64005.509999999995</v>
      </c>
      <c r="BG10" t="str">
        <f t="shared" si="0"/>
        <v>Sport</v>
      </c>
      <c r="BH10" s="24">
        <f t="shared" si="1"/>
        <v>64005.509999999995</v>
      </c>
    </row>
    <row r="11" spans="1:60" ht="13" x14ac:dyDescent="0.3">
      <c r="A11" s="73">
        <v>824198.59279999649</v>
      </c>
      <c r="B11"/>
      <c r="BB11" s="58" t="s">
        <v>618</v>
      </c>
      <c r="BC11" s="24">
        <v>33944.129999999997</v>
      </c>
      <c r="BE11" s="58" t="s">
        <v>390</v>
      </c>
      <c r="BF11" s="24">
        <v>52104.490000000005</v>
      </c>
      <c r="BG11" t="str">
        <f t="shared" si="0"/>
        <v>Heritage</v>
      </c>
      <c r="BH11" s="24">
        <f t="shared" si="1"/>
        <v>52104.490000000005</v>
      </c>
    </row>
    <row r="12" spans="1:60" x14ac:dyDescent="0.25">
      <c r="BB12" s="58" t="s">
        <v>362</v>
      </c>
      <c r="BC12" s="24">
        <v>31141.960000000003</v>
      </c>
      <c r="BE12" s="58" t="s">
        <v>228</v>
      </c>
      <c r="BF12" s="24">
        <v>45358.570000000007</v>
      </c>
      <c r="BG12" t="str">
        <f t="shared" si="0"/>
        <v>Legacy</v>
      </c>
      <c r="BH12" s="24">
        <f t="shared" si="1"/>
        <v>45358.570000000007</v>
      </c>
    </row>
    <row r="13" spans="1:60" x14ac:dyDescent="0.25">
      <c r="BB13" s="58" t="s">
        <v>676</v>
      </c>
      <c r="BC13" s="24">
        <v>1236358.8400000005</v>
      </c>
      <c r="BE13" s="58" t="s">
        <v>676</v>
      </c>
      <c r="BF13" s="24">
        <v>964285.59</v>
      </c>
    </row>
    <row r="14" spans="1:60" ht="25" x14ac:dyDescent="0.25">
      <c r="A14" s="65" t="s">
        <v>682</v>
      </c>
      <c r="B14"/>
      <c r="C14" s="61" t="s">
        <v>186</v>
      </c>
      <c r="D14" s="63" t="s">
        <v>688</v>
      </c>
      <c r="E14" s="63" t="s">
        <v>689</v>
      </c>
      <c r="F14" s="70" t="s">
        <v>690</v>
      </c>
      <c r="G14" s="63" t="s">
        <v>691</v>
      </c>
      <c r="H14" s="63" t="s">
        <v>692</v>
      </c>
      <c r="I14" s="69" t="s">
        <v>681</v>
      </c>
    </row>
    <row r="15" spans="1:60" ht="13" x14ac:dyDescent="0.3">
      <c r="A15" s="74">
        <v>0.57965619924201406</v>
      </c>
      <c r="B15"/>
      <c r="C15" s="58" t="s">
        <v>201</v>
      </c>
      <c r="D15" s="41">
        <v>2174</v>
      </c>
      <c r="E15" s="41">
        <v>1097</v>
      </c>
      <c r="F15" s="41">
        <v>75760.340000000026</v>
      </c>
      <c r="G15" s="41">
        <v>25730.649699999998</v>
      </c>
      <c r="H15" s="41">
        <v>50029.690300000031</v>
      </c>
      <c r="I15" s="66">
        <v>0.5045998160073597</v>
      </c>
    </row>
    <row r="16" spans="1:60" x14ac:dyDescent="0.25">
      <c r="C16" s="58" t="s">
        <v>272</v>
      </c>
      <c r="D16" s="41">
        <v>189</v>
      </c>
      <c r="E16" s="41">
        <v>117</v>
      </c>
      <c r="F16" s="41">
        <v>19482.830000000002</v>
      </c>
      <c r="G16" s="41">
        <v>7284.6671000000006</v>
      </c>
      <c r="H16" s="41">
        <v>12198.162900000001</v>
      </c>
      <c r="I16" s="66">
        <v>0.61904761904761907</v>
      </c>
    </row>
    <row r="17" spans="3:9" x14ac:dyDescent="0.25">
      <c r="C17" s="58" t="s">
        <v>291</v>
      </c>
      <c r="D17" s="41">
        <v>12413</v>
      </c>
      <c r="E17" s="41">
        <v>7351</v>
      </c>
      <c r="F17" s="41">
        <v>1213687.7699999996</v>
      </c>
      <c r="G17" s="41">
        <v>451717.03040000086</v>
      </c>
      <c r="H17" s="41">
        <v>761970.73959999869</v>
      </c>
      <c r="I17" s="66">
        <v>0.59220172399903326</v>
      </c>
    </row>
    <row r="18" spans="3:9" x14ac:dyDescent="0.25">
      <c r="C18" s="58" t="s">
        <v>676</v>
      </c>
      <c r="D18" s="41">
        <v>14776</v>
      </c>
      <c r="E18" s="41">
        <v>8565</v>
      </c>
      <c r="F18" s="41">
        <v>1308930.9399999995</v>
      </c>
      <c r="G18" s="41">
        <v>484732.34720000089</v>
      </c>
      <c r="H18" s="41">
        <v>824198.59279999649</v>
      </c>
      <c r="I18" s="66">
        <v>0.57965619924201406</v>
      </c>
    </row>
    <row r="20" spans="3:9" ht="25" x14ac:dyDescent="0.25">
      <c r="C20" s="71" t="s">
        <v>187</v>
      </c>
      <c r="D20" s="70" t="s">
        <v>688</v>
      </c>
      <c r="E20" s="70" t="s">
        <v>689</v>
      </c>
      <c r="F20" s="70" t="s">
        <v>690</v>
      </c>
      <c r="G20" s="70" t="s">
        <v>691</v>
      </c>
      <c r="H20" s="70" t="s">
        <v>692</v>
      </c>
      <c r="I20" s="72" t="s">
        <v>681</v>
      </c>
    </row>
    <row r="21" spans="3:9" x14ac:dyDescent="0.25">
      <c r="C21" s="58" t="s">
        <v>292</v>
      </c>
      <c r="D21" s="41">
        <v>6446</v>
      </c>
      <c r="E21" s="41">
        <v>4120</v>
      </c>
      <c r="F21" s="41">
        <v>692893.64</v>
      </c>
      <c r="G21" s="41">
        <v>256673.49229999995</v>
      </c>
      <c r="H21" s="41">
        <v>436220.14770000009</v>
      </c>
      <c r="I21" s="66">
        <v>0.63915606577722617</v>
      </c>
    </row>
    <row r="22" spans="3:9" x14ac:dyDescent="0.25">
      <c r="C22" s="58" t="s">
        <v>202</v>
      </c>
      <c r="D22" s="41">
        <v>2276</v>
      </c>
      <c r="E22" s="41">
        <v>1202</v>
      </c>
      <c r="F22" s="41">
        <v>93878.3</v>
      </c>
      <c r="G22" s="41">
        <v>32585.419799999996</v>
      </c>
      <c r="H22" s="41">
        <v>61292.880200000007</v>
      </c>
      <c r="I22" s="66">
        <v>0.52811950790861162</v>
      </c>
    </row>
    <row r="23" spans="3:9" x14ac:dyDescent="0.25">
      <c r="C23" s="58" t="s">
        <v>265</v>
      </c>
      <c r="D23" s="41">
        <v>6054</v>
      </c>
      <c r="E23" s="41">
        <v>3243</v>
      </c>
      <c r="F23" s="41">
        <v>522159</v>
      </c>
      <c r="G23" s="41">
        <v>195473.43510000024</v>
      </c>
      <c r="H23" s="41">
        <v>326685.56489999976</v>
      </c>
      <c r="I23" s="66">
        <v>0.53567888999008917</v>
      </c>
    </row>
    <row r="24" spans="3:9" x14ac:dyDescent="0.25">
      <c r="C24" s="58" t="s">
        <v>676</v>
      </c>
      <c r="D24" s="41">
        <v>14776</v>
      </c>
      <c r="E24" s="41">
        <v>8565</v>
      </c>
      <c r="F24" s="41">
        <v>1308930.94</v>
      </c>
      <c r="G24" s="41">
        <v>484732.34720000019</v>
      </c>
      <c r="H24" s="41">
        <v>824198.59279999835</v>
      </c>
      <c r="I24" s="66">
        <v>0.57965619924201406</v>
      </c>
    </row>
    <row r="26" spans="3:9" ht="25" x14ac:dyDescent="0.25">
      <c r="C26" s="71" t="s">
        <v>192</v>
      </c>
      <c r="D26" s="70" t="s">
        <v>688</v>
      </c>
      <c r="E26" s="70" t="s">
        <v>689</v>
      </c>
      <c r="F26" s="70" t="s">
        <v>690</v>
      </c>
      <c r="G26" s="70" t="s">
        <v>691</v>
      </c>
      <c r="H26" s="70" t="s">
        <v>692</v>
      </c>
      <c r="I26" s="72" t="s">
        <v>681</v>
      </c>
    </row>
    <row r="27" spans="3:9" x14ac:dyDescent="0.25">
      <c r="C27" s="58" t="s">
        <v>207</v>
      </c>
      <c r="D27" s="41">
        <v>9445</v>
      </c>
      <c r="E27" s="41">
        <v>6222</v>
      </c>
      <c r="F27" s="41">
        <v>923926.46999999892</v>
      </c>
      <c r="G27" s="41">
        <v>343243.0697000004</v>
      </c>
      <c r="H27" s="41">
        <v>580683.40029999847</v>
      </c>
      <c r="I27" s="66">
        <v>0.65876124933827418</v>
      </c>
    </row>
    <row r="28" spans="3:9" x14ac:dyDescent="0.25">
      <c r="C28" s="58" t="s">
        <v>218</v>
      </c>
      <c r="D28" s="41">
        <v>4220</v>
      </c>
      <c r="E28" s="41">
        <v>2171</v>
      </c>
      <c r="F28" s="41">
        <v>355806.39000000007</v>
      </c>
      <c r="G28" s="41">
        <v>130487.53839999987</v>
      </c>
      <c r="H28" s="41">
        <v>225318.8516000002</v>
      </c>
      <c r="I28" s="66">
        <v>0.51445497630331749</v>
      </c>
    </row>
    <row r="29" spans="3:9" x14ac:dyDescent="0.25">
      <c r="C29" s="58" t="s">
        <v>349</v>
      </c>
      <c r="D29" s="41">
        <v>124</v>
      </c>
      <c r="E29" s="41">
        <v>82</v>
      </c>
      <c r="F29" s="41">
        <v>13332.139999999998</v>
      </c>
      <c r="G29" s="41">
        <v>5039.4682000000003</v>
      </c>
      <c r="H29" s="41">
        <v>8292.6717999999964</v>
      </c>
      <c r="I29" s="66">
        <v>0.66129032258064513</v>
      </c>
    </row>
    <row r="30" spans="3:9" x14ac:dyDescent="0.25">
      <c r="C30" s="58" t="s">
        <v>226</v>
      </c>
      <c r="D30" s="41">
        <v>987</v>
      </c>
      <c r="E30" s="41">
        <v>90</v>
      </c>
      <c r="F30" s="41">
        <v>15865.939999999995</v>
      </c>
      <c r="G30" s="41">
        <v>5962.2708999999995</v>
      </c>
      <c r="H30" s="41">
        <v>9903.6690999999955</v>
      </c>
      <c r="I30" s="66">
        <v>9.1185410334346503E-2</v>
      </c>
    </row>
    <row r="31" spans="3:9" x14ac:dyDescent="0.25">
      <c r="C31" s="58" t="s">
        <v>676</v>
      </c>
      <c r="D31" s="41">
        <v>14776</v>
      </c>
      <c r="E31" s="41">
        <v>8565</v>
      </c>
      <c r="F31" s="41">
        <v>1308930.9399999988</v>
      </c>
      <c r="G31" s="41">
        <v>484732.34720000031</v>
      </c>
      <c r="H31" s="41">
        <v>824198.59280000057</v>
      </c>
      <c r="I31" s="66">
        <v>0.57965619924201406</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Q # 1</vt:lpstr>
      <vt:lpstr>Q # 2</vt:lpstr>
      <vt:lpstr>Q # 3</vt:lpstr>
      <vt:lpstr>Q # 4</vt:lpstr>
      <vt:lpstr>Q # 5</vt:lpstr>
      <vt:lpstr>Report (Q # 5)</vt:lpstr>
      <vt:lpstr>'Q # 1'!Print_Titles</vt:lpstr>
    </vt:vector>
  </TitlesOfParts>
  <Manager/>
  <Company>Al Tayer Insignia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Manthan Gupta</dc:creator>
  <cp:keywords/>
  <dc:description/>
  <cp:lastModifiedBy>Vidura Madhubhasha</cp:lastModifiedBy>
  <cp:revision/>
  <dcterms:created xsi:type="dcterms:W3CDTF">2006-04-10T02:06:42Z</dcterms:created>
  <dcterms:modified xsi:type="dcterms:W3CDTF">2026-01-12T09:08:25Z</dcterms:modified>
  <cp:category/>
  <cp:contentStatus/>
</cp:coreProperties>
</file>